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tables/table1.xml" ContentType="application/vnd.openxmlformats-officedocument.spreadsheetml.table+xml"/>
  <Override PartName="/xl/tables/table2.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Commission Plan Rules" sheetId="2" state="visible" r:id="rId4"/>
    <sheet name="Sales Roster &amp; Quotas" sheetId="3" state="visible" r:id="rId5"/>
    <sheet name="Bookings Detail" sheetId="4" state="visible" r:id="rId6"/>
    <sheet name="Rep-Quarter Summary" sheetId="5" state="visible" r:id="rId7"/>
    <sheet name="Monthly Accrual &amp; Forecast" sheetId="6" state="visible" r:id="rId8"/>
    <sheet name="Executive Dashboard" sheetId="7" state="visible" r:id="rId9"/>
    <sheet name="Scenario Planner" sheetId="8" state="visible" r:id="rId10"/>
    <sheet name="Audit &amp; Exceptions" sheetId="9" state="visible" r:id="rId11"/>
    <sheet name="Budget vs Actual" sheetId="10" state="visible" r:id="rId12"/>
  </sheets>
  <definedNames>
    <definedName function="false" hidden="false" localSheetId="8" name="_xlnm.Print_Titles" vbProcedure="false">'Audit &amp; Exceptions'!$9:$9</definedName>
    <definedName function="false" hidden="false" localSheetId="3" name="_xlnm.Print_Titles" vbProcedure="false">'Bookings Detail'!$4:$4</definedName>
    <definedName function="false" hidden="false" localSheetId="4" name="_xlnm.Print_Titles" vbProcedure="false">'Rep-Quarter Summary'!$4:$4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<sst xmlns="http://schemas.openxmlformats.org/spreadsheetml/2006/main" count="1742" uniqueCount="661">
  <si>
    <t xml:space="preserve">MERIDIAN RISK TECHNOLOGIES</t>
  </si>
  <si>
    <t xml:space="preserve">FY26 Sales Commission &amp; FP&amp;A Model</t>
  </si>
  <si>
    <t xml:space="preserve">Financial Planning &amp; Analysis — Sales Compensation</t>
  </si>
  <si>
    <t xml:space="preserve">Prepared by:</t>
  </si>
  <si>
    <t xml:space="preserve">FP&amp;A — Sales Compensation Analyst</t>
  </si>
  <si>
    <t xml:space="preserve">Period covered:</t>
  </si>
  <si>
    <t xml:space="preserve">Q1–Q2 FY26 (Jan–Jun 2026), with Q3 FY26 forecast</t>
  </si>
  <si>
    <t xml:space="preserve">Last updated:</t>
  </si>
  <si>
    <t xml:space="preserve">Status:</t>
  </si>
  <si>
    <t xml:space="preserve">Final — recalculated and tie-out complete</t>
  </si>
  <si>
    <t xml:space="preserve">Purpose</t>
  </si>
  <si>
    <t xml:space="preserve">This workbook is the source of truth for FY26 sales commission calculations, attainment reporting, and accrual/forecast support. It replaces the prior manual spreadsheet process, which required three days of rep-by-rep reconciliation each month-end and produced inconsistent results across segments due to hand-entered tier lookups.</t>
  </si>
  <si>
    <t xml:space="preserve">How this workbook is organized</t>
  </si>
  <si>
    <t xml:space="preserve">Commission Plan Rules</t>
  </si>
  <si>
    <t xml:space="preserve">Tiered accelerator structure and rates. Change rates here — every downstream tab recalculates.</t>
  </si>
  <si>
    <t xml:space="preserve">Sales Roster &amp; Quotas</t>
  </si>
  <si>
    <t xml:space="preserve">Rep roster, segment, quota, and existing book of business (renewal base).</t>
  </si>
  <si>
    <t xml:space="preserve">Bookings Detail</t>
  </si>
  <si>
    <t xml:space="preserve">Deal-level bookings (270 closed-won deals) with commission calculated line by line.</t>
  </si>
  <si>
    <t xml:space="preserve">Rep-Quarter Summary</t>
  </si>
  <si>
    <t xml:space="preserve">Attainment and commission rolled up by rep and quarter — the management review view.</t>
  </si>
  <si>
    <t xml:space="preserve">Monthly Accrual &amp; Forecast</t>
  </si>
  <si>
    <t xml:space="preserve">Monthly commission accrual for the books and a Q3 forecast for budgeting.</t>
  </si>
  <si>
    <t xml:space="preserve">Executive Dashboard</t>
  </si>
  <si>
    <t xml:space="preserve">KPIs and trend charts for leadership reporting.</t>
  </si>
  <si>
    <t xml:space="preserve">Methodology &amp; data notes</t>
  </si>
  <si>
    <t xml:space="preserve">•</t>
  </si>
  <si>
    <t xml:space="preserve">Commission is calculated at the deal level so any single booking can be audited back to its rate and tier.</t>
  </si>
  <si>
    <t xml:space="preserve">New Business uses a marginal tiered accelerator (see Commission Plan Rules); Upsell and Renewal use flat rates.</t>
  </si>
  <si>
    <t xml:space="preserve">Net Revenue Retention (NRR) is approximated as renewed ARR divided by the book of business eligible to renew in the period.</t>
  </si>
  <si>
    <t xml:space="preserve">Source data was exported from the CRM and passed through a data-cleansing step (sign corrections, deduplication, and null handling) before loading — see the accompanying data-prep pipeline documentation.</t>
  </si>
  <si>
    <t xml:space="preserve">Color key: blue text = input/assumption, black = calculated formula, green = link from another tab.</t>
  </si>
  <si>
    <t xml:space="preserve">FY26 Commission Plan — Rate Card</t>
  </si>
  <si>
    <t xml:space="preserve">Effective January 1, 2026. Rate changes require VP Sales + FP&amp;A sign-off.</t>
  </si>
  <si>
    <t xml:space="preserve">Applies To</t>
  </si>
  <si>
    <t xml:space="preserve">Tier</t>
  </si>
  <si>
    <t xml:space="preserve">Attainment Floor</t>
  </si>
  <si>
    <t xml:space="preserve">Attainment Ceiling</t>
  </si>
  <si>
    <t xml:space="preserve">Rate</t>
  </si>
  <si>
    <t xml:space="preserve">Plan Logic</t>
  </si>
  <si>
    <t xml:space="preserve">New Business</t>
  </si>
  <si>
    <t xml:space="preserve">Base rate up to 100% of quarterly quota</t>
  </si>
  <si>
    <t xml:space="preserve">Accelerator: 100%-125% of quota</t>
  </si>
  <si>
    <t xml:space="preserve">Uncapped</t>
  </si>
  <si>
    <t xml:space="preserve">Accelerator: above 125% of quota</t>
  </si>
  <si>
    <t xml:space="preserve">Upsell</t>
  </si>
  <si>
    <t xml:space="preserve">—</t>
  </si>
  <si>
    <t xml:space="preserve">Flat rate on expansion ARR</t>
  </si>
  <si>
    <t xml:space="preserve">Renewal</t>
  </si>
  <si>
    <t xml:space="preserve">Retention SPIF on renewed ARR</t>
  </si>
  <si>
    <t xml:space="preserve">Named rate references (used by formulas on Bookings Detail):</t>
  </si>
  <si>
    <t xml:space="preserve">New Biz Tier 1 (0–100%)</t>
  </si>
  <si>
    <t xml:space="preserve">New Biz Tier 2 (100–125%)</t>
  </si>
  <si>
    <t xml:space="preserve">New Biz Tier 3 (125%+)</t>
  </si>
  <si>
    <t xml:space="preserve">Upsell flat rate</t>
  </si>
  <si>
    <t xml:space="preserve">Renewal flat rate</t>
  </si>
  <si>
    <t xml:space="preserve">Legend</t>
  </si>
  <si>
    <t xml:space="preserve">Yellow fill = key assumption (editable — plan changes flow through the whole model)</t>
  </si>
  <si>
    <t xml:space="preserve">FY26 Sales Roster &amp; Quarterly Quotas</t>
  </si>
  <si>
    <t xml:space="preserve">Quota = new business ARR target per quarter. Book of business = ARR under management as of 1/1/2026 (renewal base).</t>
  </si>
  <si>
    <t xml:space="preserve">Rep ID</t>
  </si>
  <si>
    <t xml:space="preserve">Rep Name</t>
  </si>
  <si>
    <t xml:space="preserve">Segment</t>
  </si>
  <si>
    <t xml:space="preserve">Region</t>
  </si>
  <si>
    <t xml:space="preserve">Hire Date</t>
  </si>
  <si>
    <t xml:space="preserve">Quarterly Quota (New ARR)</t>
  </si>
  <si>
    <t xml:space="preserve">Starting Book of Business (ARR)</t>
  </si>
  <si>
    <t xml:space="preserve">R001</t>
  </si>
  <si>
    <t xml:space="preserve">Maria Chen</t>
  </si>
  <si>
    <t xml:space="preserve">SMB</t>
  </si>
  <si>
    <t xml:space="preserve">West</t>
  </si>
  <si>
    <t xml:space="preserve">2023-06-01</t>
  </si>
  <si>
    <t xml:space="preserve">R002</t>
  </si>
  <si>
    <t xml:space="preserve">James Okafor</t>
  </si>
  <si>
    <t xml:space="preserve">2025-09-01</t>
  </si>
  <si>
    <t xml:space="preserve">R003</t>
  </si>
  <si>
    <t xml:space="preserve">Priya Patel</t>
  </si>
  <si>
    <t xml:space="preserve">East</t>
  </si>
  <si>
    <t xml:space="preserve">2023-07-01</t>
  </si>
  <si>
    <t xml:space="preserve">R004</t>
  </si>
  <si>
    <t xml:space="preserve">David Nguyen</t>
  </si>
  <si>
    <t xml:space="preserve">2024-07-01</t>
  </si>
  <si>
    <t xml:space="preserve">R005</t>
  </si>
  <si>
    <t xml:space="preserve">Sofia Rossi</t>
  </si>
  <si>
    <t xml:space="preserve">2022-11-01</t>
  </si>
  <si>
    <t xml:space="preserve">R006</t>
  </si>
  <si>
    <t xml:space="preserve">Marcus Bennett</t>
  </si>
  <si>
    <t xml:space="preserve">2023-01-01</t>
  </si>
  <si>
    <t xml:space="preserve">R007</t>
  </si>
  <si>
    <t xml:space="preserve">Elena Kowalski</t>
  </si>
  <si>
    <t xml:space="preserve">Mid-Market</t>
  </si>
  <si>
    <t xml:space="preserve">2022-05-01</t>
  </si>
  <si>
    <t xml:space="preserve">R008</t>
  </si>
  <si>
    <t xml:space="preserve">Tyler Alvarez</t>
  </si>
  <si>
    <t xml:space="preserve">2024-12-01</t>
  </si>
  <si>
    <t xml:space="preserve">R009</t>
  </si>
  <si>
    <t xml:space="preserve">Aisha Kim</t>
  </si>
  <si>
    <t xml:space="preserve">R010</t>
  </si>
  <si>
    <t xml:space="preserve">Ryan Sullivan</t>
  </si>
  <si>
    <t xml:space="preserve">Central</t>
  </si>
  <si>
    <t xml:space="preserve">2023-04-01</t>
  </si>
  <si>
    <t xml:space="preserve">R011</t>
  </si>
  <si>
    <t xml:space="preserve">Natalie Reyes</t>
  </si>
  <si>
    <t xml:space="preserve">2024-08-01</t>
  </si>
  <si>
    <t xml:space="preserve">R012</t>
  </si>
  <si>
    <t xml:space="preserve">Omar Fischer</t>
  </si>
  <si>
    <t xml:space="preserve">2024-11-01</t>
  </si>
  <si>
    <t xml:space="preserve">R013</t>
  </si>
  <si>
    <t xml:space="preserve">Grace Adeyemi</t>
  </si>
  <si>
    <t xml:space="preserve">Enterprise</t>
  </si>
  <si>
    <t xml:space="preserve">2022-10-01</t>
  </si>
  <si>
    <t xml:space="preserve">R014</t>
  </si>
  <si>
    <t xml:space="preserve">Kevin Novak</t>
  </si>
  <si>
    <t xml:space="preserve">2024-06-01</t>
  </si>
  <si>
    <t xml:space="preserve">R015</t>
  </si>
  <si>
    <t xml:space="preserve">Lucia Larsen</t>
  </si>
  <si>
    <t xml:space="preserve">Total / Company</t>
  </si>
  <si>
    <t xml:space="preserve">FY26 Bookings Detail — Deal-Level Commission Calculation</t>
  </si>
  <si>
    <t xml:space="preserve">Every closed-won deal, Jan–Jun 2026. Commission is computed per row so any figure can be traced back to its inputs. New Business commission uses the marginal tiered rate from Commission Plan Rules; Upsell and Renewal use flat rates.</t>
  </si>
  <si>
    <t xml:space="preserve">Deal ID</t>
  </si>
  <si>
    <t xml:space="preserve">Close Date</t>
  </si>
  <si>
    <t xml:space="preserve">Month</t>
  </si>
  <si>
    <t xml:space="preserve">Quarter</t>
  </si>
  <si>
    <t xml:space="preserve">Deal Type</t>
  </si>
  <si>
    <t xml:space="preserve">Customer</t>
  </si>
  <si>
    <t xml:space="preserve">Product Line</t>
  </si>
  <si>
    <t xml:space="preserve">ARR Amount</t>
  </si>
  <si>
    <t xml:space="preserve">Quota (Qtr)</t>
  </si>
  <si>
    <t xml:space="preserve">New Biz ARR (Qtr, this rep)</t>
  </si>
  <si>
    <t xml:space="preserve">Attainment %</t>
  </si>
  <si>
    <t xml:space="preserve">Tier 1 Amt</t>
  </si>
  <si>
    <t xml:space="preserve">Tier 2 Amt</t>
  </si>
  <si>
    <t xml:space="preserve">Tier 3 Amt</t>
  </si>
  <si>
    <t xml:space="preserve">New Biz Commission (Qtr)</t>
  </si>
  <si>
    <t xml:space="preserve">Commission Amount</t>
  </si>
  <si>
    <t xml:space="preserve">D00033</t>
  </si>
  <si>
    <t xml:space="preserve">Millbrook Coverage Partners</t>
  </si>
  <si>
    <t xml:space="preserve">Policy Admin Core</t>
  </si>
  <si>
    <t xml:space="preserve">D00133</t>
  </si>
  <si>
    <t xml:space="preserve">Windham Insurance Brokers</t>
  </si>
  <si>
    <t xml:space="preserve">D00219</t>
  </si>
  <si>
    <t xml:space="preserve">Redwood Insurance Solutions</t>
  </si>
  <si>
    <t xml:space="preserve">Claims Module</t>
  </si>
  <si>
    <t xml:space="preserve">D00069</t>
  </si>
  <si>
    <t xml:space="preserve">Harborview Mutual Agency</t>
  </si>
  <si>
    <t xml:space="preserve">D00188</t>
  </si>
  <si>
    <t xml:space="preserve">Clearwater Underwriters</t>
  </si>
  <si>
    <t xml:space="preserve">D00004</t>
  </si>
  <si>
    <t xml:space="preserve">D00145</t>
  </si>
  <si>
    <t xml:space="preserve">Coastal Insurance Group</t>
  </si>
  <si>
    <t xml:space="preserve">D00200</t>
  </si>
  <si>
    <t xml:space="preserve">Sterling Mutual Agency</t>
  </si>
  <si>
    <t xml:space="preserve">Analytics Add-On</t>
  </si>
  <si>
    <t xml:space="preserve">D00186</t>
  </si>
  <si>
    <t xml:space="preserve">Hillcrest Insurance Solutions</t>
  </si>
  <si>
    <t xml:space="preserve">D00030</t>
  </si>
  <si>
    <t xml:space="preserve">Riverbend Coverage Partners</t>
  </si>
  <si>
    <t xml:space="preserve">Client Portal</t>
  </si>
  <si>
    <t xml:space="preserve">D00265</t>
  </si>
  <si>
    <t xml:space="preserve">Ironwood Risk Advisors</t>
  </si>
  <si>
    <t xml:space="preserve">D00222</t>
  </si>
  <si>
    <t xml:space="preserve">Stonebridge Insurance Brokers</t>
  </si>
  <si>
    <t xml:space="preserve">D00224</t>
  </si>
  <si>
    <t xml:space="preserve">Harborview Coverage Partners</t>
  </si>
  <si>
    <t xml:space="preserve">D00183</t>
  </si>
  <si>
    <t xml:space="preserve">Summit Insurance Solutions</t>
  </si>
  <si>
    <t xml:space="preserve">D00047</t>
  </si>
  <si>
    <t xml:space="preserve">Overlook Risk Advisors</t>
  </si>
  <si>
    <t xml:space="preserve">D00128</t>
  </si>
  <si>
    <t xml:space="preserve">Bridgeway Insurance Solutions</t>
  </si>
  <si>
    <t xml:space="preserve">D00027</t>
  </si>
  <si>
    <t xml:space="preserve">Meadowbrook Insurance Group</t>
  </si>
  <si>
    <t xml:space="preserve">D00087</t>
  </si>
  <si>
    <t xml:space="preserve">Overlook Insurance Brokers</t>
  </si>
  <si>
    <t xml:space="preserve">D00071</t>
  </si>
  <si>
    <t xml:space="preserve">Cedarline Insurance Solutions</t>
  </si>
  <si>
    <t xml:space="preserve">D00052</t>
  </si>
  <si>
    <t xml:space="preserve">Northgate Insurance Brokers</t>
  </si>
  <si>
    <t xml:space="preserve">D00044</t>
  </si>
  <si>
    <t xml:space="preserve">Prairie Insurance Brokers</t>
  </si>
  <si>
    <t xml:space="preserve">D00074</t>
  </si>
  <si>
    <t xml:space="preserve">Granite Coverage Partners</t>
  </si>
  <si>
    <t xml:space="preserve">D00220</t>
  </si>
  <si>
    <t xml:space="preserve">Anchor Insurance Group</t>
  </si>
  <si>
    <t xml:space="preserve">D00070</t>
  </si>
  <si>
    <t xml:space="preserve">Ironwood Underwriters</t>
  </si>
  <si>
    <t xml:space="preserve">D00205</t>
  </si>
  <si>
    <t xml:space="preserve">Fieldstone Insurance Brokers</t>
  </si>
  <si>
    <t xml:space="preserve">D00216</t>
  </si>
  <si>
    <t xml:space="preserve">Beacon Agency Partners</t>
  </si>
  <si>
    <t xml:space="preserve">D00248</t>
  </si>
  <si>
    <t xml:space="preserve">Vantage Risk Advisors</t>
  </si>
  <si>
    <t xml:space="preserve">D00168</t>
  </si>
  <si>
    <t xml:space="preserve">Prairie Insurance Group</t>
  </si>
  <si>
    <t xml:space="preserve">D00264</t>
  </si>
  <si>
    <t xml:space="preserve">D00132</t>
  </si>
  <si>
    <t xml:space="preserve">Harborview Underwriters</t>
  </si>
  <si>
    <t xml:space="preserve">D00199</t>
  </si>
  <si>
    <t xml:space="preserve">D00206</t>
  </si>
  <si>
    <t xml:space="preserve">Stonebridge Underwriters</t>
  </si>
  <si>
    <t xml:space="preserve">D00043</t>
  </si>
  <si>
    <t xml:space="preserve">Summit Agency Partners</t>
  </si>
  <si>
    <t xml:space="preserve">D00009</t>
  </si>
  <si>
    <t xml:space="preserve">Riverbend Underwriters</t>
  </si>
  <si>
    <t xml:space="preserve">D00104</t>
  </si>
  <si>
    <t xml:space="preserve">Windham Insurance Solutions</t>
  </si>
  <si>
    <t xml:space="preserve">D00165</t>
  </si>
  <si>
    <t xml:space="preserve">Windham Coverage Partners</t>
  </si>
  <si>
    <t xml:space="preserve">D00086</t>
  </si>
  <si>
    <t xml:space="preserve">Highmark Risk Advisors</t>
  </si>
  <si>
    <t xml:space="preserve">D00107</t>
  </si>
  <si>
    <t xml:space="preserve">Prairie Risk Advisors</t>
  </si>
  <si>
    <t xml:space="preserve">D00102</t>
  </si>
  <si>
    <t xml:space="preserve">Cobalt Insurance Brokers</t>
  </si>
  <si>
    <t xml:space="preserve">D00003</t>
  </si>
  <si>
    <t xml:space="preserve">Pinnacle Insurance Solutions</t>
  </si>
  <si>
    <t xml:space="preserve">D00142</t>
  </si>
  <si>
    <t xml:space="preserve">Northgate Coverage Partners</t>
  </si>
  <si>
    <t xml:space="preserve">D00085</t>
  </si>
  <si>
    <t xml:space="preserve">Pinnacle Insurance Group</t>
  </si>
  <si>
    <t xml:space="preserve">D00148</t>
  </si>
  <si>
    <t xml:space="preserve">Brookhaven Agency Partners</t>
  </si>
  <si>
    <t xml:space="preserve">D00002</t>
  </si>
  <si>
    <t xml:space="preserve">Brookhaven Insurance Group</t>
  </si>
  <si>
    <t xml:space="preserve">D00006</t>
  </si>
  <si>
    <t xml:space="preserve">Ashford Mutual Agency</t>
  </si>
  <si>
    <t xml:space="preserve">D00232</t>
  </si>
  <si>
    <t xml:space="preserve">Windham Mutual Agency</t>
  </si>
  <si>
    <t xml:space="preserve">D00257</t>
  </si>
  <si>
    <t xml:space="preserve">Overlook Coverage Partners</t>
  </si>
  <si>
    <t xml:space="preserve">D00127</t>
  </si>
  <si>
    <t xml:space="preserve">Coastal Underwriters</t>
  </si>
  <si>
    <t xml:space="preserve">D00108</t>
  </si>
  <si>
    <t xml:space="preserve">Riverbend Insurance Solutions</t>
  </si>
  <si>
    <t xml:space="preserve">D00065</t>
  </si>
  <si>
    <t xml:space="preserve">Millbrook Agency Partners</t>
  </si>
  <si>
    <t xml:space="preserve">D00109</t>
  </si>
  <si>
    <t xml:space="preserve">Sterling Agency Partners</t>
  </si>
  <si>
    <t xml:space="preserve">D00110</t>
  </si>
  <si>
    <t xml:space="preserve">Millbrook Mutual Agency</t>
  </si>
  <si>
    <t xml:space="preserve">D00235</t>
  </si>
  <si>
    <t xml:space="preserve">D00217</t>
  </si>
  <si>
    <t xml:space="preserve">Cedarline Underwriters</t>
  </si>
  <si>
    <t xml:space="preserve">D00147</t>
  </si>
  <si>
    <t xml:space="preserve">Brookhaven Risk Advisors</t>
  </si>
  <si>
    <t xml:space="preserve">D00105</t>
  </si>
  <si>
    <t xml:space="preserve">D00131</t>
  </si>
  <si>
    <t xml:space="preserve">Sterling Insurance Brokers</t>
  </si>
  <si>
    <t xml:space="preserve">D00247</t>
  </si>
  <si>
    <t xml:space="preserve">Riverbend Insurance Group</t>
  </si>
  <si>
    <t xml:space="preserve">D00001</t>
  </si>
  <si>
    <t xml:space="preserve">D00066</t>
  </si>
  <si>
    <t xml:space="preserve">Ashford Insurance Brokers</t>
  </si>
  <si>
    <t xml:space="preserve">D00196</t>
  </si>
  <si>
    <t xml:space="preserve">Overlook Mutual Agency</t>
  </si>
  <si>
    <t xml:space="preserve">D00250</t>
  </si>
  <si>
    <t xml:space="preserve">D00197</t>
  </si>
  <si>
    <t xml:space="preserve">Ironwood Insurance Solutions</t>
  </si>
  <si>
    <t xml:space="preserve">D00025</t>
  </si>
  <si>
    <t xml:space="preserve">Sterling Insurance Group</t>
  </si>
  <si>
    <t xml:space="preserve">D00012</t>
  </si>
  <si>
    <t xml:space="preserve">D00129</t>
  </si>
  <si>
    <t xml:space="preserve">D00008</t>
  </si>
  <si>
    <t xml:space="preserve">Meadowbrook Underwriters</t>
  </si>
  <si>
    <t xml:space="preserve">D00144</t>
  </si>
  <si>
    <t xml:space="preserve">D00161</t>
  </si>
  <si>
    <t xml:space="preserve">Granite Underwriters</t>
  </si>
  <si>
    <t xml:space="preserve">D00169</t>
  </si>
  <si>
    <t xml:space="preserve">Northgate Underwriters</t>
  </si>
  <si>
    <t xml:space="preserve">D00031</t>
  </si>
  <si>
    <t xml:space="preserve">Overlook Insurance Group</t>
  </si>
  <si>
    <t xml:space="preserve">D00234</t>
  </si>
  <si>
    <t xml:space="preserve">Pinnacle Risk Advisors</t>
  </si>
  <si>
    <t xml:space="preserve">D00141</t>
  </si>
  <si>
    <t xml:space="preserve">Meadowbrook Agency Partners</t>
  </si>
  <si>
    <t xml:space="preserve">D00130</t>
  </si>
  <si>
    <t xml:space="preserve">Lakeside Insurance Solutions</t>
  </si>
  <si>
    <t xml:space="preserve">D00090</t>
  </si>
  <si>
    <t xml:space="preserve">Highmark Insurance Solutions</t>
  </si>
  <si>
    <t xml:space="preserve">D00251</t>
  </si>
  <si>
    <t xml:space="preserve">Coastal Insurance Brokers</t>
  </si>
  <si>
    <t xml:space="preserve">D00198</t>
  </si>
  <si>
    <t xml:space="preserve">Cedarline Mutual Agency</t>
  </si>
  <si>
    <t xml:space="preserve">D00263</t>
  </si>
  <si>
    <t xml:space="preserve">D00091</t>
  </si>
  <si>
    <t xml:space="preserve">Stonebridge Coverage Partners</t>
  </si>
  <si>
    <t xml:space="preserve">D00073</t>
  </si>
  <si>
    <t xml:space="preserve">Coastal Coverage Partners</t>
  </si>
  <si>
    <t xml:space="preserve">D00089</t>
  </si>
  <si>
    <t xml:space="preserve">Sterling Underwriters</t>
  </si>
  <si>
    <t xml:space="preserve">D00164</t>
  </si>
  <si>
    <t xml:space="preserve">Stonebridge Mutual Agency</t>
  </si>
  <si>
    <t xml:space="preserve">D00067</t>
  </si>
  <si>
    <t xml:space="preserve">D00233</t>
  </si>
  <si>
    <t xml:space="preserve">Cedarline Insurance Group</t>
  </si>
  <si>
    <t xml:space="preserve">D00170</t>
  </si>
  <si>
    <t xml:space="preserve">Redwood Underwriters</t>
  </si>
  <si>
    <t xml:space="preserve">D00259</t>
  </si>
  <si>
    <t xml:space="preserve">Meadowbrook Insurance Brokers</t>
  </si>
  <si>
    <t xml:space="preserve">D00103</t>
  </si>
  <si>
    <t xml:space="preserve">Wrenfield Insurance Brokers</t>
  </si>
  <si>
    <t xml:space="preserve">D00189</t>
  </si>
  <si>
    <t xml:space="preserve">Hillcrest Insurance Brokers</t>
  </si>
  <si>
    <t xml:space="preserve">D00048</t>
  </si>
  <si>
    <t xml:space="preserve">D00181</t>
  </si>
  <si>
    <t xml:space="preserve">D00084</t>
  </si>
  <si>
    <t xml:space="preserve">Northgate Agency Partners</t>
  </si>
  <si>
    <t xml:space="preserve">D00167</t>
  </si>
  <si>
    <t xml:space="preserve">D00185</t>
  </si>
  <si>
    <t xml:space="preserve">Anchor Coverage Partners</t>
  </si>
  <si>
    <t xml:space="preserve">D00187</t>
  </si>
  <si>
    <t xml:space="preserve">Ironwood Mutual Agency</t>
  </si>
  <si>
    <t xml:space="preserve">D00218</t>
  </si>
  <si>
    <t xml:space="preserve">D00146</t>
  </si>
  <si>
    <t xml:space="preserve">Millbrook Insurance Brokers</t>
  </si>
  <si>
    <t xml:space="preserve">D00028</t>
  </si>
  <si>
    <t xml:space="preserve">Redwood Insurance Group</t>
  </si>
  <si>
    <t xml:space="preserve">D00088</t>
  </si>
  <si>
    <t xml:space="preserve">Northgate Risk Advisors</t>
  </si>
  <si>
    <t xml:space="preserve">D00072</t>
  </si>
  <si>
    <t xml:space="preserve">D00064</t>
  </si>
  <si>
    <t xml:space="preserve">D00083</t>
  </si>
  <si>
    <t xml:space="preserve">Granite Risk Advisors</t>
  </si>
  <si>
    <t xml:space="preserve">D00007</t>
  </si>
  <si>
    <t xml:space="preserve">Overlook Agency Partners</t>
  </si>
  <si>
    <t xml:space="preserve">D00163</t>
  </si>
  <si>
    <t xml:space="preserve">Anchor Underwriters</t>
  </si>
  <si>
    <t xml:space="preserve">D00215</t>
  </si>
  <si>
    <t xml:space="preserve">Cobalt Risk Advisors</t>
  </si>
  <si>
    <t xml:space="preserve">D00249</t>
  </si>
  <si>
    <t xml:space="preserve">Bridgeway Risk Advisors</t>
  </si>
  <si>
    <t xml:space="preserve">D00112</t>
  </si>
  <si>
    <t xml:space="preserve">D00202</t>
  </si>
  <si>
    <t xml:space="preserve">D00013</t>
  </si>
  <si>
    <t xml:space="preserve">Highmark Insurance Group</t>
  </si>
  <si>
    <t xml:space="preserve">D00223</t>
  </si>
  <si>
    <t xml:space="preserve">D00236</t>
  </si>
  <si>
    <t xml:space="preserve">Harborview Insurance Brokers</t>
  </si>
  <si>
    <t xml:space="preserve">D00221</t>
  </si>
  <si>
    <t xml:space="preserve">Vantage Coverage Partners</t>
  </si>
  <si>
    <t xml:space="preserve">D00106</t>
  </si>
  <si>
    <t xml:space="preserve">Cedarline Risk Advisors</t>
  </si>
  <si>
    <t xml:space="preserve">D00179</t>
  </si>
  <si>
    <t xml:space="preserve">D00005</t>
  </si>
  <si>
    <t xml:space="preserve">D00068</t>
  </si>
  <si>
    <t xml:space="preserve">D00026</t>
  </si>
  <si>
    <t xml:space="preserve">Fieldstone Insurance Solutions</t>
  </si>
  <si>
    <t xml:space="preserve">D00195</t>
  </si>
  <si>
    <t xml:space="preserve">Cedarline Coverage Partners</t>
  </si>
  <si>
    <t xml:space="preserve">D00166</t>
  </si>
  <si>
    <t xml:space="preserve">Harborview Insurance Solutions</t>
  </si>
  <si>
    <t xml:space="preserve">D00113</t>
  </si>
  <si>
    <t xml:space="preserve">D00245</t>
  </si>
  <si>
    <t xml:space="preserve">D00042</t>
  </si>
  <si>
    <t xml:space="preserve">D00049</t>
  </si>
  <si>
    <t xml:space="preserve">D00258</t>
  </si>
  <si>
    <t xml:space="preserve">Prairie Underwriters</t>
  </si>
  <si>
    <t xml:space="preserve">D00262</t>
  </si>
  <si>
    <t xml:space="preserve">D00260</t>
  </si>
  <si>
    <t xml:space="preserve">Overlook Underwriters</t>
  </si>
  <si>
    <t xml:space="preserve">D00180</t>
  </si>
  <si>
    <t xml:space="preserve">Ironwood Insurance Group</t>
  </si>
  <si>
    <t xml:space="preserve">D00201</t>
  </si>
  <si>
    <t xml:space="preserve">D00162</t>
  </si>
  <si>
    <t xml:space="preserve">Beacon Insurance Solutions</t>
  </si>
  <si>
    <t xml:space="preserve">D00010</t>
  </si>
  <si>
    <t xml:space="preserve">D00011</t>
  </si>
  <si>
    <t xml:space="preserve">D00143</t>
  </si>
  <si>
    <t xml:space="preserve">D00204</t>
  </si>
  <si>
    <t xml:space="preserve">D00029</t>
  </si>
  <si>
    <t xml:space="preserve">Beacon Underwriters</t>
  </si>
  <si>
    <t xml:space="preserve">D00182</t>
  </si>
  <si>
    <t xml:space="preserve">Lakeside Insurance Brokers</t>
  </si>
  <si>
    <t xml:space="preserve">D00051</t>
  </si>
  <si>
    <t xml:space="preserve">Fieldstone Agency Partners</t>
  </si>
  <si>
    <t xml:space="preserve">D00237</t>
  </si>
  <si>
    <t xml:space="preserve">Beacon Insurance Group</t>
  </si>
  <si>
    <t xml:space="preserve">D00246</t>
  </si>
  <si>
    <t xml:space="preserve">Fieldstone Coverage Partners</t>
  </si>
  <si>
    <t xml:space="preserve">D00045</t>
  </si>
  <si>
    <t xml:space="preserve">Sterling Insurance Solutions</t>
  </si>
  <si>
    <t xml:space="preserve">D00046</t>
  </si>
  <si>
    <t xml:space="preserve">D00050</t>
  </si>
  <si>
    <t xml:space="preserve">D00134</t>
  </si>
  <si>
    <t xml:space="preserve">D00111</t>
  </si>
  <si>
    <t xml:space="preserve">Northgate Mutual Agency</t>
  </si>
  <si>
    <t xml:space="preserve">D00203</t>
  </si>
  <si>
    <t xml:space="preserve">D00032</t>
  </si>
  <si>
    <t xml:space="preserve">D00261</t>
  </si>
  <si>
    <t xml:space="preserve">D00254</t>
  </si>
  <si>
    <t xml:space="preserve">D00136</t>
  </si>
  <si>
    <t xml:space="preserve">Overlook Insurance Solutions</t>
  </si>
  <si>
    <t xml:space="preserve">D00076</t>
  </si>
  <si>
    <t xml:space="preserve">D00114</t>
  </si>
  <si>
    <t xml:space="preserve">D00137</t>
  </si>
  <si>
    <t xml:space="preserve">D00240</t>
  </si>
  <si>
    <t xml:space="preserve">Granite Agency Partners</t>
  </si>
  <si>
    <t xml:space="preserve">D00017</t>
  </si>
  <si>
    <t xml:space="preserve">D00226</t>
  </si>
  <si>
    <t xml:space="preserve">D00213</t>
  </si>
  <si>
    <t xml:space="preserve">D00153</t>
  </si>
  <si>
    <t xml:space="preserve">Stonebridge Agency Partners</t>
  </si>
  <si>
    <t xml:space="preserve">D00173</t>
  </si>
  <si>
    <t xml:space="preserve">Summit Insurance Group</t>
  </si>
  <si>
    <t xml:space="preserve">D00060</t>
  </si>
  <si>
    <t xml:space="preserve">D00241</t>
  </si>
  <si>
    <t xml:space="preserve">Summit Underwriters</t>
  </si>
  <si>
    <t xml:space="preserve">D00059</t>
  </si>
  <si>
    <t xml:space="preserve">D00122</t>
  </si>
  <si>
    <t xml:space="preserve">D00079</t>
  </si>
  <si>
    <t xml:space="preserve">D00211</t>
  </si>
  <si>
    <t xml:space="preserve">D00021</t>
  </si>
  <si>
    <t xml:space="preserve">D00119</t>
  </si>
  <si>
    <t xml:space="preserve">Redwood Coverage Partners</t>
  </si>
  <si>
    <t xml:space="preserve">D00266</t>
  </si>
  <si>
    <t xml:space="preserve">Lakeside Insurance Group</t>
  </si>
  <si>
    <t xml:space="preserve">D00116</t>
  </si>
  <si>
    <t xml:space="preserve">D00140</t>
  </si>
  <si>
    <t xml:space="preserve">D00039</t>
  </si>
  <si>
    <t xml:space="preserve">Hillcrest Risk Advisors</t>
  </si>
  <si>
    <t xml:space="preserve">D00078</t>
  </si>
  <si>
    <t xml:space="preserve">Anchor Mutual Agency</t>
  </si>
  <si>
    <t xml:space="preserve">D00255</t>
  </si>
  <si>
    <t xml:space="preserve">Prairie Coverage Partners</t>
  </si>
  <si>
    <t xml:space="preserve">D00057</t>
  </si>
  <si>
    <t xml:space="preserve">Brookhaven Insurance Solutions</t>
  </si>
  <si>
    <t xml:space="preserve">D00117</t>
  </si>
  <si>
    <t xml:space="preserve">D00062</t>
  </si>
  <si>
    <t xml:space="preserve">D00149</t>
  </si>
  <si>
    <t xml:space="preserve">Pinnacle Agency Partners</t>
  </si>
  <si>
    <t xml:space="preserve">D00229</t>
  </si>
  <si>
    <t xml:space="preserve">Wrenfield Coverage Partners</t>
  </si>
  <si>
    <t xml:space="preserve">D00191</t>
  </si>
  <si>
    <t xml:space="preserve">Wrenfield Insurance Group</t>
  </si>
  <si>
    <t xml:space="preserve">D00154</t>
  </si>
  <si>
    <t xml:space="preserve">D00160</t>
  </si>
  <si>
    <t xml:space="preserve">D00077</t>
  </si>
  <si>
    <t xml:space="preserve">Brookhaven Mutual Agency</t>
  </si>
  <si>
    <t xml:space="preserve">D00208</t>
  </si>
  <si>
    <t xml:space="preserve">D00023</t>
  </si>
  <si>
    <t xml:space="preserve">D00225</t>
  </si>
  <si>
    <t xml:space="preserve">D00099</t>
  </si>
  <si>
    <t xml:space="preserve">Cobalt Agency Partners</t>
  </si>
  <si>
    <t xml:space="preserve">D00192</t>
  </si>
  <si>
    <t xml:space="preserve">Summit Coverage Partners</t>
  </si>
  <si>
    <t xml:space="preserve">D00243</t>
  </si>
  <si>
    <t xml:space="preserve">D00034</t>
  </si>
  <si>
    <t xml:space="preserve">D00016</t>
  </si>
  <si>
    <t xml:space="preserve">D00019</t>
  </si>
  <si>
    <t xml:space="preserve">Sterling Coverage Partners</t>
  </si>
  <si>
    <t xml:space="preserve">D00135</t>
  </si>
  <si>
    <t xml:space="preserve">D00244</t>
  </si>
  <si>
    <t xml:space="preserve">Anchor Risk Advisors</t>
  </si>
  <si>
    <t xml:space="preserve">D00097</t>
  </si>
  <si>
    <t xml:space="preserve">D00035</t>
  </si>
  <si>
    <t xml:space="preserve">D00175</t>
  </si>
  <si>
    <t xml:space="preserve">D00080</t>
  </si>
  <si>
    <t xml:space="preserve">Harborview Insurance Group</t>
  </si>
  <si>
    <t xml:space="preserve">D00056</t>
  </si>
  <si>
    <t xml:space="preserve">D00176</t>
  </si>
  <si>
    <t xml:space="preserve">D00037</t>
  </si>
  <si>
    <t xml:space="preserve">Meadowbrook Coverage Partners</t>
  </si>
  <si>
    <t xml:space="preserve">D00177</t>
  </si>
  <si>
    <t xml:space="preserve">Bridgeway Agency Partners</t>
  </si>
  <si>
    <t xml:space="preserve">D00093</t>
  </si>
  <si>
    <t xml:space="preserve">Millbrook Underwriters</t>
  </si>
  <si>
    <t xml:space="preserve">D00238</t>
  </si>
  <si>
    <t xml:space="preserve">D00252</t>
  </si>
  <si>
    <t xml:space="preserve">D00227</t>
  </si>
  <si>
    <t xml:space="preserve">D00024</t>
  </si>
  <si>
    <t xml:space="preserve">Hillcrest Underwriters</t>
  </si>
  <si>
    <t xml:space="preserve">D00155</t>
  </si>
  <si>
    <t xml:space="preserve">D00150</t>
  </si>
  <si>
    <t xml:space="preserve">Clearwater Insurance Group</t>
  </si>
  <si>
    <t xml:space="preserve">D00193</t>
  </si>
  <si>
    <t xml:space="preserve">Millbrook Risk Advisors</t>
  </si>
  <si>
    <t xml:space="preserve">D00015</t>
  </si>
  <si>
    <t xml:space="preserve">Highmark Insurance Brokers</t>
  </si>
  <si>
    <t xml:space="preserve">D00020</t>
  </si>
  <si>
    <t xml:space="preserve">Clearwater Insurance Brokers</t>
  </si>
  <si>
    <t xml:space="preserve">D00095</t>
  </si>
  <si>
    <t xml:space="preserve">D00159</t>
  </si>
  <si>
    <t xml:space="preserve">D00210</t>
  </si>
  <si>
    <t xml:space="preserve">Vantage Agency Partners</t>
  </si>
  <si>
    <t xml:space="preserve">D00101</t>
  </si>
  <si>
    <t xml:space="preserve">D00038</t>
  </si>
  <si>
    <t xml:space="preserve">Hillcrest Coverage Partners</t>
  </si>
  <si>
    <t xml:space="preserve">D00178</t>
  </si>
  <si>
    <t xml:space="preserve">Wrenfield Underwriters</t>
  </si>
  <si>
    <t xml:space="preserve">D00194</t>
  </si>
  <si>
    <t xml:space="preserve">D00058</t>
  </si>
  <si>
    <t xml:space="preserve">D00212</t>
  </si>
  <si>
    <t xml:space="preserve">D00055</t>
  </si>
  <si>
    <t xml:space="preserve">D00125</t>
  </si>
  <si>
    <t xml:space="preserve">D00081</t>
  </si>
  <si>
    <t xml:space="preserve">Fieldstone Insurance Group</t>
  </si>
  <si>
    <t xml:space="preserve">D00152</t>
  </si>
  <si>
    <t xml:space="preserve">D00118</t>
  </si>
  <si>
    <t xml:space="preserve">D00124</t>
  </si>
  <si>
    <t xml:space="preserve">Vantage Insurance Group</t>
  </si>
  <si>
    <t xml:space="preserve">D00171</t>
  </si>
  <si>
    <t xml:space="preserve">Lakeside Underwriters</t>
  </si>
  <si>
    <t xml:space="preserve">D00018</t>
  </si>
  <si>
    <t xml:space="preserve">Granite Insurance Brokers</t>
  </si>
  <si>
    <t xml:space="preserve">D00214</t>
  </si>
  <si>
    <t xml:space="preserve">D00082</t>
  </si>
  <si>
    <t xml:space="preserve">D00267</t>
  </si>
  <si>
    <t xml:space="preserve">Northgate Insurance Solutions</t>
  </si>
  <si>
    <t xml:space="preserve">D00253</t>
  </si>
  <si>
    <t xml:space="preserve">D00120</t>
  </si>
  <si>
    <t xml:space="preserve">D00094</t>
  </si>
  <si>
    <t xml:space="preserve">Bridgeway Coverage Partners</t>
  </si>
  <si>
    <t xml:space="preserve">D00092</t>
  </si>
  <si>
    <t xml:space="preserve">D00156</t>
  </si>
  <si>
    <t xml:space="preserve">D00242</t>
  </si>
  <si>
    <t xml:space="preserve">Bridgeway Insurance Brokers</t>
  </si>
  <si>
    <t xml:space="preserve">D00063</t>
  </si>
  <si>
    <t xml:space="preserve">D00036</t>
  </si>
  <si>
    <t xml:space="preserve">D00239</t>
  </si>
  <si>
    <t xml:space="preserve">Ironwood Agency Partners</t>
  </si>
  <si>
    <t xml:space="preserve">D00096</t>
  </si>
  <si>
    <t xml:space="preserve">D00268</t>
  </si>
  <si>
    <t xml:space="preserve">D00014</t>
  </si>
  <si>
    <t xml:space="preserve">D00098</t>
  </si>
  <si>
    <t xml:space="preserve">D00172</t>
  </si>
  <si>
    <t xml:space="preserve">D00271</t>
  </si>
  <si>
    <t xml:space="preserve">D00190</t>
  </si>
  <si>
    <t xml:space="preserve">Anchor Insurance Solutions</t>
  </si>
  <si>
    <t xml:space="preserve">D00207</t>
  </si>
  <si>
    <t xml:space="preserve">D00022</t>
  </si>
  <si>
    <t xml:space="preserve">D00123</t>
  </si>
  <si>
    <t xml:space="preserve">D00054</t>
  </si>
  <si>
    <t xml:space="preserve">D00151</t>
  </si>
  <si>
    <t xml:space="preserve">D00231</t>
  </si>
  <si>
    <t xml:space="preserve">D00100</t>
  </si>
  <si>
    <t xml:space="preserve">Brookhaven Coverage Partners</t>
  </si>
  <si>
    <t xml:space="preserve">D00126</t>
  </si>
  <si>
    <t xml:space="preserve">Redwood Insurance Brokers</t>
  </si>
  <si>
    <t xml:space="preserve">D00138</t>
  </si>
  <si>
    <t xml:space="preserve">D00270</t>
  </si>
  <si>
    <t xml:space="preserve">D00269</t>
  </si>
  <si>
    <t xml:space="preserve">D00061</t>
  </si>
  <si>
    <t xml:space="preserve">D00139</t>
  </si>
  <si>
    <t xml:space="preserve">D00228</t>
  </si>
  <si>
    <t xml:space="preserve">D00209</t>
  </si>
  <si>
    <t xml:space="preserve">D00041</t>
  </si>
  <si>
    <t xml:space="preserve">D00075</t>
  </si>
  <si>
    <t xml:space="preserve">D00157</t>
  </si>
  <si>
    <t xml:space="preserve">Summit Insurance Brokers</t>
  </si>
  <si>
    <t xml:space="preserve">D00256</t>
  </si>
  <si>
    <t xml:space="preserve">Brookhaven Insurance Brokers</t>
  </si>
  <si>
    <t xml:space="preserve">D00040</t>
  </si>
  <si>
    <t xml:space="preserve">Cedarline Agency Partners</t>
  </si>
  <si>
    <t xml:space="preserve">D00158</t>
  </si>
  <si>
    <t xml:space="preserve">D00174</t>
  </si>
  <si>
    <t xml:space="preserve">D00121</t>
  </si>
  <si>
    <t xml:space="preserve">D00053</t>
  </si>
  <si>
    <t xml:space="preserve">Vantage Insurance Solutions</t>
  </si>
  <si>
    <t xml:space="preserve">D00230</t>
  </si>
  <si>
    <t xml:space="preserve">Riverbend Mutual Agency</t>
  </si>
  <si>
    <t xml:space="preserve">D00115</t>
  </si>
  <si>
    <t xml:space="preserve">TOTAL</t>
  </si>
  <si>
    <t xml:space="preserve">FY26 Commission Summary by Rep &amp; Quarter</t>
  </si>
  <si>
    <t xml:space="preserve">Rolled up from Bookings Detail. Attainment below 85% is flagged for coaching; above 125% is flagged for accelerator review.</t>
  </si>
  <si>
    <t xml:space="preserve">New Biz ARR</t>
  </si>
  <si>
    <t xml:space="preserve">Upsell ARR</t>
  </si>
  <si>
    <t xml:space="preserve">Renewal ARR</t>
  </si>
  <si>
    <t xml:space="preserve">Total Bookings ARR</t>
  </si>
  <si>
    <t xml:space="preserve">Quota</t>
  </si>
  <si>
    <t xml:space="preserve">Total Commission</t>
  </si>
  <si>
    <t xml:space="preserve">Deal Count</t>
  </si>
  <si>
    <t xml:space="preserve">Q1</t>
  </si>
  <si>
    <t xml:space="preserve">Q2</t>
  </si>
  <si>
    <t xml:space="preserve">Company Total</t>
  </si>
  <si>
    <t xml:space="preserve">Monthly Commission Accrual &amp; Q3 FY26 Forecast</t>
  </si>
  <si>
    <t xml:space="preserve">Actuals for Jan–Jun are pulled from Bookings Detail. Jul–Sep is a trend-based forecast for budgeting and cash accrual planning — not a commitment.</t>
  </si>
  <si>
    <t xml:space="preserve">Bookings ARR</t>
  </si>
  <si>
    <t xml:space="preserve">Commission Expense</t>
  </si>
  <si>
    <t xml:space="preserve">Commission as % of ARR</t>
  </si>
  <si>
    <t xml:space="preserve">Type</t>
  </si>
  <si>
    <t xml:space="preserve">2026-01</t>
  </si>
  <si>
    <t xml:space="preserve">Actual</t>
  </si>
  <si>
    <t xml:space="preserve">2026-02</t>
  </si>
  <si>
    <t xml:space="preserve">2026-03</t>
  </si>
  <si>
    <t xml:space="preserve">2026-04</t>
  </si>
  <si>
    <t xml:space="preserve">2026-05</t>
  </si>
  <si>
    <t xml:space="preserve">2026-06</t>
  </si>
  <si>
    <t xml:space="preserve">2026-07</t>
  </si>
  <si>
    <t xml:space="preserve">Forecast</t>
  </si>
  <si>
    <t xml:space="preserve">2026-08</t>
  </si>
  <si>
    <t xml:space="preserve">2026-09</t>
  </si>
  <si>
    <t xml:space="preserve">Q3 FY26 Forecast Summary</t>
  </si>
  <si>
    <t xml:space="preserve">Forecasted Q3 Bookings ARR:</t>
  </si>
  <si>
    <t xml:space="preserve">Forecasted Q3 Commission Expense (for budget accrual):</t>
  </si>
  <si>
    <t xml:space="preserve">Method:</t>
  </si>
  <si>
    <t xml:space="preserve">Linear trend (TREND function) on 6 months of actuals; commission % applies the trailing 6-month average rate.</t>
  </si>
  <si>
    <t xml:space="preserve">FY26 Sales Commission — Executive Dashboard (H1 Actuals + Q3 Forecast)</t>
  </si>
  <si>
    <t xml:space="preserve">Chart source data (linked — do not delete)</t>
  </si>
  <si>
    <t xml:space="preserve">Total Bookings ARR (H1)</t>
  </si>
  <si>
    <t xml:space="preserve">Total Commission Expense (H1)</t>
  </si>
  <si>
    <t xml:space="preserve">Commission as % of Bookings</t>
  </si>
  <si>
    <t xml:space="preserve">Avg Attainment (all reps, both qtrs)</t>
  </si>
  <si>
    <t xml:space="preserve">Reps at/above 100% Attainment</t>
  </si>
  <si>
    <t xml:space="preserve">Reps below 85% Attainment</t>
  </si>
  <si>
    <t xml:space="preserve">Rep</t>
  </si>
  <si>
    <t xml:space="preserve">Q2 Attainment</t>
  </si>
  <si>
    <t xml:space="preserve">ARR</t>
  </si>
  <si>
    <t xml:space="preserve">Renewed ARR</t>
  </si>
  <si>
    <t xml:space="preserve">Eligible Book</t>
  </si>
  <si>
    <t xml:space="preserve">NRR</t>
  </si>
  <si>
    <t xml:space="preserve">Key Takeaways</t>
  </si>
  <si>
    <t xml:space="preserve">Mid-Market rep Omar Fischer is running at 178% of quota in Q2 — flag for accelerator payout review and a look at whether his territory quota was set too low.</t>
  </si>
  <si>
    <t xml:space="preserve">David Nguyen and Grace Adeyemi are both under 60% attainment for two consecutive quarters — candidates for a coaching plan before Q3 comp true-up.</t>
  </si>
  <si>
    <t xml:space="preserve">SMB segment NRR of 125% is being driven by a small number of large expansion renewals, not broad-based retention — worth validating before assuming the whole segment is over-performing.</t>
  </si>
  <si>
    <t xml:space="preserve">Commission expense has held steady at 6.1%-7.2% of bookings ARR each month, in line with the FY26 plan target of ~6.5%.</t>
  </si>
  <si>
    <t xml:space="preserve">Commission Plan Scenario Planner</t>
  </si>
  <si>
    <t xml:space="preserve">What-if analysis: change the plan rates or quota below and see the resulting company-wide commission expense, holding actual H1 bookings behavior constant. Used to model plan changes before proposing them.</t>
  </si>
  <si>
    <t xml:space="preserve">Scenario Inputs</t>
  </si>
  <si>
    <t xml:space="preserve">New Biz Tier 1 rate (0-100% attainment)</t>
  </si>
  <si>
    <t xml:space="preserve">New Biz Tier 2 rate (100-125% attainment)</t>
  </si>
  <si>
    <t xml:space="preserve">New Biz Tier 3 rate (125%+ attainment)</t>
  </si>
  <si>
    <t xml:space="preserve">Quota adjustment (+/-, applied to all reps)</t>
  </si>
  <si>
    <t xml:space="preserve">Base plan rates shown in Commission Plan Rules tab for comparison.</t>
  </si>
  <si>
    <t xml:space="preserve">Scenario Recalculation — Rep x Quarter (bookings held constant, rates/quota changed)</t>
  </si>
  <si>
    <t xml:space="preserve">Scenario Quota</t>
  </si>
  <si>
    <t xml:space="preserve">Scenario Attainment %</t>
  </si>
  <si>
    <t xml:space="preserve">Scenario Tier 1</t>
  </si>
  <si>
    <t xml:space="preserve">Scenario Tier 2</t>
  </si>
  <si>
    <t xml:space="preserve">Scenario Tier 3</t>
  </si>
  <si>
    <t xml:space="preserve">Scenario New Biz Comm.</t>
  </si>
  <si>
    <t xml:space="preserve">Scenario Upsell Comm.</t>
  </si>
  <si>
    <t xml:space="preserve">Scenario Renewal Comm.</t>
  </si>
  <si>
    <t xml:space="preserve">Scenario Total Commission</t>
  </si>
  <si>
    <t xml:space="preserve">Base Plan vs. Scenario — Total Commission Expense</t>
  </si>
  <si>
    <t xml:space="preserve">Base plan (actual rates, actual quota):</t>
  </si>
  <si>
    <t xml:space="preserve">Scenario plan (rates/quota above):</t>
  </si>
  <si>
    <t xml:space="preserve">Dollar impact of scenario:</t>
  </si>
  <si>
    <t xml:space="preserve">Percent impact:</t>
  </si>
  <si>
    <t xml:space="preserve">Audit &amp; Exceptions</t>
  </si>
  <si>
    <t xml:space="preserve">Automated flags a reviewing analyst would check before commission is paid out. Section A flags rep-quarter attainment outliers; Section B flags individual deals far above a rep's typical deal size for that type. Click the filter arrow on the Flag column to isolate flagged rows.</t>
  </si>
  <si>
    <t xml:space="preserve">Rep-Quarter flags:</t>
  </si>
  <si>
    <t xml:space="preserve">Deal-level outlier flags:</t>
  </si>
  <si>
    <t xml:space="preserve">Section A — Rep-Quarter Attainment Exceptions</t>
  </si>
  <si>
    <t xml:space="preserve">Flag</t>
  </si>
  <si>
    <t xml:space="preserve">Section B — Deal-Level Outliers (vs. rep's typical deal size by type)</t>
  </si>
  <si>
    <t xml:space="preserve">Rep's Avg ARR (this type)</t>
  </si>
  <si>
    <t xml:space="preserve">Ratio to Average</t>
  </si>
  <si>
    <t xml:space="preserve">FY26 Budget vs. Actual — Bookings &amp; Commission Expense</t>
  </si>
  <si>
    <t xml:space="preserve">Budget was set before the year began. Jan-Jun compares to actuals; Jul-Sep compares the budget to the trend-based forecast from Monthly Accrual &amp; Forecast, since actuals don't exist yet for those months.</t>
  </si>
  <si>
    <t xml:space="preserve">Budgeted Bookings ARR</t>
  </si>
  <si>
    <t xml:space="preserve">Actual/Forecast Bookings ARR</t>
  </si>
  <si>
    <t xml:space="preserve">Bookings Variance $</t>
  </si>
  <si>
    <t xml:space="preserve">Bookings Variance %</t>
  </si>
  <si>
    <t xml:space="preserve">Budgeted Commission</t>
  </si>
  <si>
    <t xml:space="preserve">Actual/Forecast Commission</t>
  </si>
  <si>
    <t xml:space="preserve">Commission Variance $</t>
  </si>
  <si>
    <t xml:space="preserve">Commission Variance %</t>
  </si>
  <si>
    <t xml:space="preserve">Basis</t>
  </si>
  <si>
    <t xml:space="preserve">H1+Q3 Total</t>
  </si>
  <si>
    <t xml:space="preserve">Reading the variance</t>
  </si>
  <si>
    <t xml:space="preserve">February bookings beat budget by a wide margin while January and April came in under. That kind of swing month to month is normal for a 15-rep org — the H1+Q3 total row is the number that actually matters for the annual commission budget conversation, not any single month.</t>
  </si>
</sst>
</file>

<file path=xl/styles.xml><?xml version="1.0" encoding="utf-8"?>
<styleSheet xmlns="http://schemas.openxmlformats.org/spreadsheetml/2006/main">
  <numFmts count="9">
    <numFmt numFmtId="164" formatCode="General"/>
    <numFmt numFmtId="165" formatCode="mmmm\ d&quot;, &quot;yyyy"/>
    <numFmt numFmtId="166" formatCode="0.0%;\(0.0%\);\-"/>
    <numFmt numFmtId="167" formatCode="mm/dd/yyyy"/>
    <numFmt numFmtId="168" formatCode="\$#,##0;&quot;($&quot;#,##0\);\-"/>
    <numFmt numFmtId="169" formatCode="#,##0;\(#,##0\);\-"/>
    <numFmt numFmtId="170" formatCode="\$#,##0,\K"/>
    <numFmt numFmtId="171" formatCode="0%"/>
    <numFmt numFmtId="172" formatCode="0.00\x"/>
  </numFmts>
  <fonts count="33">
    <font>
      <sz val="11"/>
      <color theme="1"/>
      <name val="Calibri"/>
      <family val="2"/>
      <charset val="1"/>
    </font>
    <font>
      <sz val="10"/>
      <name val="Arial"/>
      <family val="0"/>
    </font>
    <font>
      <sz val="10"/>
      <name val="Arial"/>
      <family val="0"/>
    </font>
    <font>
      <sz val="10"/>
      <name val="Arial"/>
      <family val="0"/>
    </font>
    <font>
      <b val="true"/>
      <sz val="20"/>
      <color rgb="FF0F1B2D"/>
      <name val="Calibri"/>
      <family val="0"/>
      <charset val="1"/>
    </font>
    <font>
      <sz val="13"/>
      <color rgb="FF1F3A5F"/>
      <name val="Calibri"/>
      <family val="0"/>
      <charset val="1"/>
    </font>
    <font>
      <i val="true"/>
      <sz val="9"/>
      <color rgb="FF666666"/>
      <name val="Calibri"/>
      <family val="0"/>
      <charset val="1"/>
    </font>
    <font>
      <b val="true"/>
      <sz val="10"/>
      <name val="Calibri"/>
      <family val="0"/>
      <charset val="1"/>
    </font>
    <font>
      <sz val="10"/>
      <name val="Calibri"/>
      <family val="0"/>
      <charset val="1"/>
    </font>
    <font>
      <b val="true"/>
      <sz val="12"/>
      <color rgb="FF0F1B2D"/>
      <name val="Calibri"/>
      <family val="0"/>
      <charset val="1"/>
    </font>
    <font>
      <b val="true"/>
      <sz val="10"/>
      <color rgb="FF1F3A5F"/>
      <name val="Calibri"/>
      <family val="0"/>
      <charset val="1"/>
    </font>
    <font>
      <b val="true"/>
      <sz val="10"/>
      <color rgb="FFB8862B"/>
      <name val="Calibri"/>
      <family val="0"/>
      <charset val="1"/>
    </font>
    <font>
      <b val="true"/>
      <sz val="14"/>
      <color rgb="FF0F1B2D"/>
      <name val="Calibri"/>
      <family val="0"/>
      <charset val="1"/>
    </font>
    <font>
      <b val="true"/>
      <sz val="10"/>
      <color rgb="FFFFFFFF"/>
      <name val="Calibri"/>
      <family val="0"/>
      <charset val="1"/>
    </font>
    <font>
      <sz val="10"/>
      <color rgb="FF0000FF"/>
      <name val="Calibri"/>
      <family val="0"/>
      <charset val="1"/>
    </font>
    <font>
      <b val="true"/>
      <i val="true"/>
      <sz val="9"/>
      <name val="Calibri"/>
      <family val="0"/>
      <charset val="1"/>
    </font>
    <font>
      <sz val="10"/>
      <color rgb="FF008000"/>
      <name val="Calibri"/>
      <family val="0"/>
      <charset val="1"/>
    </font>
    <font>
      <b val="true"/>
      <sz val="9"/>
      <name val="Calibri"/>
      <family val="0"/>
      <charset val="1"/>
    </font>
    <font>
      <b val="true"/>
      <sz val="11"/>
      <name val="Calibri"/>
      <family val="0"/>
      <charset val="1"/>
    </font>
    <font>
      <sz val="10"/>
      <color rgb="FF000000"/>
      <name val="Calibri"/>
      <family val="0"/>
      <charset val="1"/>
    </font>
    <font>
      <b val="true"/>
      <sz val="11"/>
      <name val="Cambria"/>
      <family val="0"/>
      <charset val="1"/>
    </font>
    <font>
      <i val="true"/>
      <sz val="9"/>
      <color rgb="FF2E7D5B"/>
      <name val="Calibri"/>
      <family val="0"/>
      <charset val="1"/>
    </font>
    <font>
      <sz val="11"/>
      <color rgb="FF7A5DC7"/>
      <name val="Calibri"/>
      <family val="0"/>
      <charset val="1"/>
    </font>
    <font>
      <i val="true"/>
      <sz val="9"/>
      <color rgb="FF7A5DC7"/>
      <name val="Calibri"/>
      <family val="0"/>
      <charset val="1"/>
    </font>
    <font>
      <b val="true"/>
      <sz val="16"/>
      <color rgb="FF0F1B2D"/>
      <name val="Calibri"/>
      <family val="0"/>
      <charset val="1"/>
    </font>
    <font>
      <sz val="11"/>
      <color rgb="FF1F3A5F"/>
      <name val="Calibri"/>
      <family val="0"/>
      <charset val="1"/>
    </font>
    <font>
      <b val="true"/>
      <sz val="9"/>
      <color rgb="FFFFFFFF"/>
      <name val="Calibri"/>
      <family val="0"/>
      <charset val="1"/>
    </font>
    <font>
      <b val="true"/>
      <sz val="18"/>
      <color rgb="FFFFFFFF"/>
      <name val="Calibri"/>
      <family val="0"/>
      <charset val="1"/>
    </font>
    <font>
      <b val="true"/>
      <sz val="11"/>
      <color rgb="FFB8862B"/>
      <name val="Cambria"/>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A6432E"/>
      <name val="Cambria"/>
      <family val="0"/>
      <charset val="1"/>
    </font>
  </fonts>
  <fills count="7">
    <fill>
      <patternFill patternType="none"/>
    </fill>
    <fill>
      <patternFill patternType="gray125"/>
    </fill>
    <fill>
      <patternFill patternType="solid">
        <fgColor rgb="FF0F1B2D"/>
        <bgColor rgb="FF000000"/>
      </patternFill>
    </fill>
    <fill>
      <patternFill patternType="solid">
        <fgColor rgb="FFFFF2AC"/>
        <bgColor rgb="FFF7E5E1"/>
      </patternFill>
    </fill>
    <fill>
      <patternFill patternType="solid">
        <fgColor rgb="FFF2F2F0"/>
        <bgColor rgb="FFF9F9F9"/>
      </patternFill>
    </fill>
    <fill>
      <patternFill patternType="solid">
        <fgColor rgb="FFB8862B"/>
        <bgColor rgb="FF878787"/>
      </patternFill>
    </fill>
    <fill>
      <patternFill patternType="solid">
        <fgColor rgb="FF1F3A5F"/>
        <bgColor rgb="FF333333"/>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3" fillId="2" borderId="1" xfId="0" applyFont="true" applyBorder="true" applyAlignment="true" applyProtection="true">
      <alignment horizontal="center" vertical="center" textRotation="0" wrapText="tru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6" fontId="0" fillId="0" borderId="1" xfId="0" applyFont="false" applyBorder="true" applyAlignment="true" applyProtection="true">
      <alignment horizontal="general" vertical="center" textRotation="0" wrapText="true" indent="0" shrinkToFit="false"/>
      <protection locked="true" hidden="false"/>
    </xf>
    <xf numFmtId="166" fontId="14" fillId="3" borderId="1" xfId="0" applyFont="true" applyBorder="true" applyAlignment="true" applyProtection="true">
      <alignment horizontal="general" vertical="center" textRotation="0" wrapText="true" indent="0" shrinkToFit="false"/>
      <protection locked="true" hidden="false"/>
    </xf>
    <xf numFmtId="164" fontId="0" fillId="4" borderId="1" xfId="0" applyFont="true" applyBorder="true" applyAlignment="true" applyProtection="true">
      <alignment horizontal="general" vertical="center" textRotation="0" wrapText="true" indent="0" shrinkToFit="false"/>
      <protection locked="true" hidden="false"/>
    </xf>
    <xf numFmtId="166" fontId="0" fillId="4" borderId="1" xfId="0" applyFont="false" applyBorder="true" applyAlignment="true" applyProtection="true">
      <alignment horizontal="general" vertical="center" textRotation="0" wrapText="true" indent="0" shrinkToFit="false"/>
      <protection locked="true" hidden="false"/>
    </xf>
    <xf numFmtId="166" fontId="14" fillId="4" borderId="1" xfId="0" applyFont="true" applyBorder="true" applyAlignment="true" applyProtection="true">
      <alignment horizontal="general" vertical="center" textRotation="0" wrapText="true" indent="0"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6" fontId="16"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4" fillId="0" borderId="1" xfId="0" applyFont="true" applyBorder="true" applyAlignment="true" applyProtection="true">
      <alignment horizontal="general" vertical="bottom" textRotation="0" wrapText="false" indent="0" shrinkToFit="false"/>
      <protection locked="true" hidden="false"/>
    </xf>
    <xf numFmtId="167" fontId="14" fillId="0" borderId="1" xfId="0" applyFont="true" applyBorder="true" applyAlignment="true" applyProtection="true">
      <alignment horizontal="general" vertical="bottom" textRotation="0" wrapText="false" indent="0" shrinkToFit="false"/>
      <protection locked="true" hidden="false"/>
    </xf>
    <xf numFmtId="168" fontId="14" fillId="0" borderId="1" xfId="0" applyFont="true" applyBorder="true" applyAlignment="true" applyProtection="true">
      <alignment horizontal="general" vertical="bottom" textRotation="0" wrapText="false" indent="0" shrinkToFit="false"/>
      <protection locked="true" hidden="false"/>
    </xf>
    <xf numFmtId="164" fontId="14" fillId="4" borderId="1" xfId="0" applyFont="true" applyBorder="true" applyAlignment="true" applyProtection="true">
      <alignment horizontal="general" vertical="bottom" textRotation="0" wrapText="false" indent="0" shrinkToFit="false"/>
      <protection locked="true" hidden="false"/>
    </xf>
    <xf numFmtId="167" fontId="14" fillId="4" borderId="1" xfId="0" applyFont="true" applyBorder="true" applyAlignment="true" applyProtection="true">
      <alignment horizontal="general" vertical="bottom" textRotation="0" wrapText="false" indent="0" shrinkToFit="false"/>
      <protection locked="true" hidden="false"/>
    </xf>
    <xf numFmtId="168" fontId="14" fillId="4" borderId="1" xfId="0" applyFont="true" applyBorder="true" applyAlignment="true" applyProtection="true">
      <alignment horizontal="general"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4" fontId="18" fillId="0" borderId="1" xfId="0" applyFont="true" applyBorder="true" applyAlignment="true" applyProtection="true">
      <alignment horizontal="general" vertical="bottom" textRotation="0" wrapText="false" indent="0" shrinkToFit="false"/>
      <protection locked="true" hidden="false"/>
    </xf>
    <xf numFmtId="168" fontId="18" fillId="5" borderId="1" xfId="0" applyFont="true" applyBorder="tru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16" fillId="0" borderId="1" xfId="0" applyFont="true" applyBorder="true" applyAlignment="true" applyProtection="true">
      <alignment horizontal="general" vertical="bottom" textRotation="0" wrapText="false" indent="0" shrinkToFit="false"/>
      <protection locked="true" hidden="false"/>
    </xf>
    <xf numFmtId="164" fontId="19" fillId="0" borderId="1" xfId="0" applyFont="true" applyBorder="true" applyAlignment="true" applyProtection="true">
      <alignment horizontal="general" vertical="bottom" textRotation="0" wrapText="false" indent="0" shrinkToFit="false"/>
      <protection locked="true" hidden="false"/>
    </xf>
    <xf numFmtId="168" fontId="16" fillId="0" borderId="1" xfId="0" applyFont="true" applyBorder="true" applyAlignment="true" applyProtection="true">
      <alignment horizontal="general" vertical="bottom" textRotation="0" wrapText="false" indent="0" shrinkToFit="false"/>
      <protection locked="true" hidden="false"/>
    </xf>
    <xf numFmtId="168" fontId="19" fillId="0" borderId="1" xfId="0" applyFont="true" applyBorder="true" applyAlignment="true" applyProtection="true">
      <alignment horizontal="general" vertical="bottom" textRotation="0" wrapText="false" indent="0" shrinkToFit="false"/>
      <protection locked="true" hidden="false"/>
    </xf>
    <xf numFmtId="166" fontId="19" fillId="0" borderId="1" xfId="0" applyFont="true" applyBorder="true" applyAlignment="true" applyProtection="true">
      <alignment horizontal="general" vertical="bottom" textRotation="0" wrapText="false" indent="0" shrinkToFit="false"/>
      <protection locked="true" hidden="false"/>
    </xf>
    <xf numFmtId="168" fontId="7" fillId="0" borderId="1" xfId="0" applyFont="true" applyBorder="true" applyAlignment="true" applyProtection="true">
      <alignment horizontal="general" vertical="bottom" textRotation="0" wrapText="false" indent="0" shrinkToFit="false"/>
      <protection locked="true" hidden="false"/>
    </xf>
    <xf numFmtId="164" fontId="16" fillId="4" borderId="1" xfId="0" applyFont="true" applyBorder="true" applyAlignment="true" applyProtection="true">
      <alignment horizontal="general" vertical="bottom" textRotation="0" wrapText="false" indent="0" shrinkToFit="false"/>
      <protection locked="true" hidden="false"/>
    </xf>
    <xf numFmtId="164" fontId="19" fillId="4" borderId="1" xfId="0" applyFont="true" applyBorder="true" applyAlignment="true" applyProtection="true">
      <alignment horizontal="general" vertical="bottom" textRotation="0" wrapText="false" indent="0" shrinkToFit="false"/>
      <protection locked="true" hidden="false"/>
    </xf>
    <xf numFmtId="168" fontId="16" fillId="4" borderId="1" xfId="0" applyFont="true" applyBorder="true" applyAlignment="true" applyProtection="true">
      <alignment horizontal="general" vertical="bottom" textRotation="0" wrapText="false" indent="0" shrinkToFit="false"/>
      <protection locked="true" hidden="false"/>
    </xf>
    <xf numFmtId="168" fontId="19" fillId="4" borderId="1" xfId="0" applyFont="true" applyBorder="true" applyAlignment="true" applyProtection="true">
      <alignment horizontal="general" vertical="bottom" textRotation="0" wrapText="false" indent="0" shrinkToFit="false"/>
      <protection locked="true" hidden="false"/>
    </xf>
    <xf numFmtId="166" fontId="19" fillId="4" borderId="1" xfId="0" applyFont="true" applyBorder="true" applyAlignment="true" applyProtection="true">
      <alignment horizontal="general" vertical="bottom" textRotation="0" wrapText="false" indent="0" shrinkToFit="false"/>
      <protection locked="true" hidden="false"/>
    </xf>
    <xf numFmtId="168" fontId="7" fillId="4" borderId="1" xfId="0" applyFont="true" applyBorder="true" applyAlignment="true" applyProtection="true">
      <alignment horizontal="general"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false" indent="0" shrinkToFit="false"/>
      <protection locked="true" hidden="false"/>
    </xf>
    <xf numFmtId="164" fontId="18" fillId="5" borderId="1" xfId="0" applyFont="true" applyBorder="true" applyAlignment="true" applyProtection="true">
      <alignment horizontal="general" vertical="bottom" textRotation="0" wrapText="false" indent="0" shrinkToFit="false"/>
      <protection locked="true" hidden="false"/>
    </xf>
    <xf numFmtId="168" fontId="20" fillId="5" borderId="1" xfId="0" applyFont="true" applyBorder="true" applyAlignment="true" applyProtection="true">
      <alignment horizontal="general" vertical="bottom" textRotation="0" wrapText="false" indent="0" shrinkToFit="false"/>
      <protection locked="true" hidden="false"/>
    </xf>
    <xf numFmtId="168" fontId="18" fillId="0" borderId="1" xfId="0" applyFont="true" applyBorder="true" applyAlignment="true" applyProtection="true">
      <alignment horizontal="general" vertical="bottom" textRotation="0" wrapText="false" indent="0" shrinkToFit="false"/>
      <protection locked="true" hidden="false"/>
    </xf>
    <xf numFmtId="169" fontId="19" fillId="0" borderId="1" xfId="0" applyFont="true" applyBorder="true" applyAlignment="true" applyProtection="true">
      <alignment horizontal="general" vertical="bottom" textRotation="0" wrapText="false" indent="0" shrinkToFit="false"/>
      <protection locked="true" hidden="false"/>
    </xf>
    <xf numFmtId="168" fontId="18" fillId="4" borderId="1" xfId="0" applyFont="true" applyBorder="true" applyAlignment="true" applyProtection="true">
      <alignment horizontal="general" vertical="bottom" textRotation="0" wrapText="false" indent="0" shrinkToFit="false"/>
      <protection locked="true" hidden="false"/>
    </xf>
    <xf numFmtId="169" fontId="19" fillId="4" borderId="1" xfId="0" applyFont="true" applyBorder="true" applyAlignment="true" applyProtection="true">
      <alignment horizontal="general" vertical="bottom" textRotation="0" wrapText="false" indent="0" shrinkToFit="false"/>
      <protection locked="true" hidden="false"/>
    </xf>
    <xf numFmtId="164" fontId="20" fillId="5" borderId="1" xfId="0" applyFont="true" applyBorder="true" applyAlignment="true" applyProtection="true">
      <alignment horizontal="general" vertical="bottom" textRotation="0" wrapText="false" indent="0" shrinkToFit="false"/>
      <protection locked="true" hidden="false"/>
    </xf>
    <xf numFmtId="166" fontId="20" fillId="5" borderId="1" xfId="0" applyFont="true" applyBorder="true" applyAlignment="true" applyProtection="true">
      <alignment horizontal="general" vertical="bottom" textRotation="0" wrapText="false" indent="0" shrinkToFit="false"/>
      <protection locked="true" hidden="false"/>
    </xf>
    <xf numFmtId="169" fontId="16" fillId="0" borderId="1" xfId="0" applyFont="true" applyBorder="true" applyAlignment="true" applyProtection="true">
      <alignment horizontal="general" vertical="bottom" textRotation="0" wrapText="false" indent="0" shrinkToFit="false"/>
      <protection locked="true" hidden="false"/>
    </xf>
    <xf numFmtId="164" fontId="21" fillId="0" borderId="1" xfId="0" applyFont="true" applyBorder="true" applyAlignment="true" applyProtection="true">
      <alignment horizontal="general" vertical="bottom" textRotation="0" wrapText="false" indent="0" shrinkToFit="false"/>
      <protection locked="true" hidden="false"/>
    </xf>
    <xf numFmtId="169" fontId="16" fillId="4" borderId="1" xfId="0" applyFont="true" applyBorder="true" applyAlignment="true" applyProtection="true">
      <alignment horizontal="general" vertical="bottom" textRotation="0" wrapText="false" indent="0" shrinkToFit="false"/>
      <protection locked="true" hidden="false"/>
    </xf>
    <xf numFmtId="164" fontId="21" fillId="4" borderId="1" xfId="0" applyFont="true" applyBorder="true" applyAlignment="true" applyProtection="true">
      <alignment horizontal="general" vertical="bottom" textRotation="0" wrapText="false" indent="0" shrinkToFit="false"/>
      <protection locked="true" hidden="false"/>
    </xf>
    <xf numFmtId="168" fontId="22" fillId="0" borderId="1" xfId="0" applyFont="true" applyBorder="true" applyAlignment="true" applyProtection="true">
      <alignment horizontal="general" vertical="bottom" textRotation="0" wrapText="false" indent="0" shrinkToFit="false"/>
      <protection locked="true" hidden="false"/>
    </xf>
    <xf numFmtId="169" fontId="0" fillId="0" borderId="1" xfId="0" applyFont="false" applyBorder="true" applyAlignment="true" applyProtection="true">
      <alignment horizontal="general" vertical="bottom" textRotation="0" wrapText="false" indent="0" shrinkToFit="false"/>
      <protection locked="true" hidden="false"/>
    </xf>
    <xf numFmtId="164" fontId="23" fillId="0" borderId="1" xfId="0" applyFont="true" applyBorder="true" applyAlignment="true" applyProtection="true">
      <alignment horizontal="general" vertical="bottom" textRotation="0" wrapText="false" indent="0" shrinkToFit="false"/>
      <protection locked="true" hidden="false"/>
    </xf>
    <xf numFmtId="168" fontId="22" fillId="4" borderId="1" xfId="0" applyFont="true" applyBorder="true" applyAlignment="true" applyProtection="true">
      <alignment horizontal="general" vertical="bottom" textRotation="0" wrapText="false" indent="0" shrinkToFit="false"/>
      <protection locked="true" hidden="false"/>
    </xf>
    <xf numFmtId="169" fontId="0" fillId="4" borderId="1" xfId="0" applyFont="false" applyBorder="true" applyAlignment="true" applyProtection="true">
      <alignment horizontal="general" vertical="bottom" textRotation="0" wrapText="false" indent="0" shrinkToFit="false"/>
      <protection locked="true" hidden="false"/>
    </xf>
    <xf numFmtId="164" fontId="23" fillId="4" borderId="1" xfId="0" applyFont="true" applyBorder="true" applyAlignment="true" applyProtection="true">
      <alignment horizontal="general" vertical="bottom" textRotation="0" wrapText="false" indent="0" shrinkToFit="false"/>
      <protection locked="true" hidden="false"/>
    </xf>
    <xf numFmtId="168" fontId="20" fillId="0" borderId="0" xfId="0" applyFont="true" applyBorder="false" applyAlignment="true" applyProtection="true">
      <alignment horizontal="general" vertical="bottom" textRotation="0" wrapText="false" indent="0" shrinkToFit="false"/>
      <protection locked="true" hidden="false"/>
    </xf>
    <xf numFmtId="164" fontId="24" fillId="0" borderId="0" xfId="0" applyFont="true" applyBorder="false" applyAlignment="true" applyProtection="true">
      <alignment horizontal="general" vertical="bottom" textRotation="0" wrapText="false" indent="0" shrinkToFit="false"/>
      <protection locked="true" hidden="false"/>
    </xf>
    <xf numFmtId="164" fontId="25" fillId="0" borderId="0" xfId="0" applyFont="true" applyBorder="false" applyAlignment="true" applyProtection="true">
      <alignment horizontal="general" vertical="bottom" textRotation="0" wrapText="false" indent="0" shrinkToFit="false"/>
      <protection locked="true" hidden="false"/>
    </xf>
    <xf numFmtId="164" fontId="26" fillId="2" borderId="0" xfId="0" applyFont="true" applyBorder="true" applyAlignment="true" applyProtection="true">
      <alignment horizontal="general" vertical="bottom" textRotation="0" wrapText="false" indent="0" shrinkToFit="false"/>
      <protection locked="true" hidden="false"/>
    </xf>
    <xf numFmtId="164" fontId="26" fillId="6" borderId="0" xfId="0" applyFont="true" applyBorder="true" applyAlignment="true" applyProtection="true">
      <alignment horizontal="general" vertical="bottom" textRotation="0" wrapText="false" indent="0" shrinkToFit="false"/>
      <protection locked="true" hidden="false"/>
    </xf>
    <xf numFmtId="168" fontId="27" fillId="2" borderId="0" xfId="0" applyFont="true" applyBorder="true" applyAlignment="true" applyProtection="true">
      <alignment horizontal="general" vertical="bottom" textRotation="0" wrapText="false" indent="0" shrinkToFit="false"/>
      <protection locked="true" hidden="false"/>
    </xf>
    <xf numFmtId="168" fontId="27" fillId="6" borderId="0" xfId="0" applyFont="true" applyBorder="true" applyAlignment="true" applyProtection="true">
      <alignment horizontal="general" vertical="bottom" textRotation="0" wrapText="false" indent="0" shrinkToFit="false"/>
      <protection locked="true" hidden="false"/>
    </xf>
    <xf numFmtId="166" fontId="27"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6" fontId="27" fillId="6" borderId="0" xfId="0" applyFont="true" applyBorder="true" applyAlignment="true" applyProtection="true">
      <alignment horizontal="general" vertical="bottom" textRotation="0" wrapText="false" indent="0" shrinkToFit="false"/>
      <protection locked="true" hidden="false"/>
    </xf>
    <xf numFmtId="169" fontId="27" fillId="2" borderId="0" xfId="0" applyFont="true" applyBorder="true" applyAlignment="true" applyProtection="true">
      <alignment horizontal="general" vertical="bottom" textRotation="0" wrapText="false" indent="0" shrinkToFit="false"/>
      <protection locked="true" hidden="false"/>
    </xf>
    <xf numFmtId="169" fontId="27" fillId="6" borderId="0" xfId="0" applyFont="true" applyBorder="tru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2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true" indent="0" shrinkToFit="false"/>
      <protection locked="true" hidden="false"/>
    </xf>
    <xf numFmtId="166" fontId="14" fillId="3" borderId="1" xfId="0" applyFont="true" applyBorder="true" applyAlignment="true" applyProtection="true">
      <alignment horizontal="general" vertical="bottom" textRotation="0" wrapText="false" indent="0" shrinkToFit="false"/>
      <protection locked="true" hidden="false"/>
    </xf>
    <xf numFmtId="168" fontId="28" fillId="0" borderId="0" xfId="0" applyFont="true" applyBorder="false" applyAlignment="true" applyProtection="true">
      <alignment horizontal="general" vertical="bottom" textRotation="0" wrapText="false" indent="0" shrinkToFit="false"/>
      <protection locked="true" hidden="false"/>
    </xf>
    <xf numFmtId="166" fontId="20" fillId="0" borderId="0" xfId="0" applyFont="true" applyBorder="false" applyAlignment="true" applyProtection="true">
      <alignment horizontal="general"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9" fontId="32" fillId="0" borderId="0" xfId="0" applyFont="true" applyBorder="false" applyAlignment="true" applyProtection="true">
      <alignment horizontal="general" vertical="bottom" textRotation="0" wrapText="false" indent="0" shrinkToFit="false"/>
      <protection locked="true" hidden="false"/>
    </xf>
    <xf numFmtId="166" fontId="16" fillId="0" borderId="1" xfId="0" applyFont="true" applyBorder="true" applyAlignment="true" applyProtection="true">
      <alignment horizontal="general" vertical="bottom" textRotation="0" wrapText="false" indent="0" shrinkToFit="false"/>
      <protection locked="true" hidden="false"/>
    </xf>
    <xf numFmtId="166" fontId="16" fillId="4" borderId="1" xfId="0" applyFont="true" applyBorder="true" applyAlignment="true" applyProtection="true">
      <alignment horizontal="general" vertical="bottom" textRotation="0" wrapText="false" indent="0" shrinkToFit="false"/>
      <protection locked="true" hidden="false"/>
    </xf>
    <xf numFmtId="172" fontId="19" fillId="0" borderId="1" xfId="0" applyFont="true" applyBorder="true" applyAlignment="true" applyProtection="true">
      <alignment horizontal="general" vertical="bottom" textRotation="0" wrapText="false" indent="0" shrinkToFit="false"/>
      <protection locked="true" hidden="false"/>
    </xf>
    <xf numFmtId="172" fontId="19" fillId="4" borderId="1" xfId="0" applyFont="true" applyBorder="true" applyAlignment="true" applyProtection="true">
      <alignment horizontal="general" vertical="bottom" textRotation="0" wrapText="false" indent="0" shrinkToFit="false"/>
      <protection locked="true" hidden="false"/>
    </xf>
    <xf numFmtId="168" fontId="14" fillId="3" borderId="1"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0F1B2D"/>
          <bgColor rgb="FF000000"/>
        </patternFill>
      </fill>
    </dxf>
    <dxf>
      <fill>
        <patternFill patternType="solid">
          <fgColor rgb="FFF2F2F0"/>
          <bgColor rgb="FF000000"/>
        </patternFill>
      </fill>
    </dxf>
    <dxf>
      <fill>
        <patternFill patternType="solid">
          <fgColor rgb="FFF7E5E1"/>
          <bgColor rgb="FF000000"/>
        </patternFill>
      </fill>
    </dxf>
    <dxf>
      <fill>
        <patternFill patternType="solid">
          <bgColor rgb="FF000000"/>
        </patternFill>
      </fill>
    </dxf>
    <dxf>
      <fill>
        <patternFill patternType="solid">
          <fgColor rgb="FF008000"/>
          <bgColor rgb="FF000000"/>
        </patternFill>
      </fill>
    </dxf>
    <dxf>
      <fill>
        <patternFill patternType="solid">
          <fgColor rgb="FFFFFFFF"/>
          <bgColor rgb="FF000000"/>
        </patternFill>
      </fill>
    </dxf>
    <dxf>
      <fill>
        <patternFill patternType="solid">
          <fgColor rgb="FF000000"/>
          <bgColor rgb="FF000000"/>
        </patternFill>
      </fill>
    </dxf>
    <dxf>
      <fill>
        <patternFill>
          <bgColor rgb="FFF7E5E1"/>
        </patternFill>
      </fill>
    </dxf>
    <dxf>
      <font>
        <color rgb="FFA6432E"/>
      </font>
    </dxf>
    <dxf>
      <font>
        <color rgb="FF2E7D5B"/>
      </font>
    </dxf>
  </dxfs>
  <colors>
    <indexedColors>
      <rgbColor rgb="FF000000"/>
      <rgbColor rgb="FFFFFFFF"/>
      <rgbColor rgb="FFFF0000"/>
      <rgbColor rgb="FF00FF00"/>
      <rgbColor rgb="FF0000FF"/>
      <rgbColor rgb="FFFFFF00"/>
      <rgbColor rgb="FFFF00FF"/>
      <rgbColor rgb="FF00FFFF"/>
      <rgbColor rgb="FF800000"/>
      <rgbColor rgb="FF008000"/>
      <rgbColor rgb="FF000080"/>
      <rgbColor rgb="FFB8862B"/>
      <rgbColor rgb="FF800080"/>
      <rgbColor rgb="FF008080"/>
      <rgbColor rgb="FFB3B3B3"/>
      <rgbColor rgb="FF878787"/>
      <rgbColor rgb="FF9999FF"/>
      <rgbColor rgb="FF7A5DC7"/>
      <rgbColor rgb="FFF9F9F9"/>
      <rgbColor rgb="FFF2F2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2AC"/>
      <rgbColor rgb="FF99CCFF"/>
      <rgbColor rgb="FFFF99CC"/>
      <rgbColor rgb="FFCC99FF"/>
      <rgbColor rgb="FFF7E5E1"/>
      <rgbColor rgb="FF4F81BD"/>
      <rgbColor rgb="FF33CCCC"/>
      <rgbColor rgb="FF99CC00"/>
      <rgbColor rgb="FFFFCC00"/>
      <rgbColor rgb="FFFF9900"/>
      <rgbColor rgb="FFFF6600"/>
      <rgbColor rgb="FF666666"/>
      <rgbColor rgb="FF9AA5B1"/>
      <rgbColor rgb="FF1F3A5F"/>
      <rgbColor rgb="FF2E7D5B"/>
      <rgbColor rgb="FF0F1B2D"/>
      <rgbColor rgb="FF333300"/>
      <rgbColor rgb="FFA6432E"/>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Monthly Bookings ARR vs. Commission Expense (Actual + Forecast)</a:t>
            </a:r>
          </a:p>
        </c:rich>
      </c:tx>
      <c:overlay val="0"/>
      <c:spPr>
        <a:noFill/>
        <a:ln w="0">
          <a:noFill/>
        </a:ln>
      </c:spPr>
    </c:title>
    <c:autoTitleDeleted val="0"/>
    <c:plotArea>
      <c:barChart>
        <c:barDir val="col"/>
        <c:grouping val="clustered"/>
        <c:varyColors val="0"/>
        <c:ser>
          <c:idx val="0"/>
          <c:order val="0"/>
          <c:tx>
            <c:strRef>
              <c:f>'Executive Dashboard'!U6</c:f>
              <c:strCache>
                <c:ptCount val="1"/>
                <c:pt idx="0">
                  <c:v>Bookings ARR</c:v>
                </c:pt>
              </c:strCache>
            </c:strRef>
          </c:tx>
          <c:spPr>
            <a:solidFill>
              <a:srgbClr val="1f3a5f"/>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'Executive Dashboard'!$T$7:$T$15</c:f>
              <c:strCache>
                <c:ptCount val="9"/>
                <c:pt idx="0">
                  <c:v>2026-01</c:v>
                </c:pt>
                <c:pt idx="1">
                  <c:v>2026-02</c:v>
                </c:pt>
                <c:pt idx="2">
                  <c:v>2026-03</c:v>
                </c:pt>
                <c:pt idx="3">
                  <c:v>2026-04</c:v>
                </c:pt>
                <c:pt idx="4">
                  <c:v>2026-05</c:v>
                </c:pt>
                <c:pt idx="5">
                  <c:v>2026-06</c:v>
                </c:pt>
                <c:pt idx="6">
                  <c:v>2026-07</c:v>
                </c:pt>
                <c:pt idx="7">
                  <c:v>2026-08</c:v>
                </c:pt>
                <c:pt idx="8">
                  <c:v>2026-09</c:v>
                </c:pt>
              </c:strCache>
            </c:strRef>
          </c:cat>
          <c:val>
            <c:numRef>
              <c:f>'Executive Dashboard'!$U$7:$U$15</c:f>
              <c:numCache>
                <c:formatCode>\$#,##0;"($"#,##0\);\-</c:formatCode>
                <c:ptCount val="9"/>
                <c:pt idx="0">
                  <c:v>1341500</c:v>
                </c:pt>
                <c:pt idx="1">
                  <c:v>3145500</c:v>
                </c:pt>
                <c:pt idx="2">
                  <c:v>2735500</c:v>
                </c:pt>
                <c:pt idx="3">
                  <c:v>2099000</c:v>
                </c:pt>
                <c:pt idx="4">
                  <c:v>2559500</c:v>
                </c:pt>
                <c:pt idx="5">
                  <c:v>2193500</c:v>
                </c:pt>
                <c:pt idx="6">
                  <c:v>2532300</c:v>
                </c:pt>
                <c:pt idx="7">
                  <c:v>2585600</c:v>
                </c:pt>
                <c:pt idx="8">
                  <c:v>2638900</c:v>
                </c:pt>
              </c:numCache>
            </c:numRef>
          </c:val>
        </c:ser>
        <c:gapWidth val="150"/>
        <c:overlap val="0"/>
        <c:axId val="67453360"/>
        <c:axId val="1150085"/>
      </c:barChart>
      <c:lineChart>
        <c:grouping val="standard"/>
        <c:varyColors val="0"/>
        <c:ser>
          <c:idx val="1"/>
          <c:order val="1"/>
          <c:tx>
            <c:strRef>
              <c:f>'Executive Dashboard'!V6</c:f>
              <c:strCache>
                <c:ptCount val="1"/>
                <c:pt idx="0">
                  <c:v>Commission Expense</c:v>
                </c:pt>
              </c:strCache>
            </c:strRef>
          </c:tx>
          <c:spPr>
            <a:solidFill>
              <a:srgbClr val="b8862b"/>
            </a:solidFill>
            <a:ln w="24840">
              <a:solidFill>
                <a:srgbClr val="b8862b"/>
              </a:solidFill>
              <a:round/>
            </a:ln>
          </c:spPr>
          <c:marker>
            <c:symbol val="circle"/>
            <c:size val="5"/>
            <c:spPr>
              <a:solidFill>
                <a:srgbClr val="b8862b"/>
              </a:solidFill>
            </c:spPr>
          </c:marker>
          <c:dLbls>
            <c:txPr>
              <a:bodyPr wrap="square"/>
              <a:lstStyle/>
              <a:p>
                <a:pPr>
                  <a:defRPr b="0" sz="1000" spc="-1" strike="noStrike">
                    <a:solidFill>
                      <a:srgbClr val="000000"/>
                    </a:solidFill>
                    <a:latin typeface="Arial"/>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'Executive Dashboard'!$T$7:$T$15</c:f>
              <c:strCache>
                <c:ptCount val="9"/>
                <c:pt idx="0">
                  <c:v>2026-01</c:v>
                </c:pt>
                <c:pt idx="1">
                  <c:v>2026-02</c:v>
                </c:pt>
                <c:pt idx="2">
                  <c:v>2026-03</c:v>
                </c:pt>
                <c:pt idx="3">
                  <c:v>2026-04</c:v>
                </c:pt>
                <c:pt idx="4">
                  <c:v>2026-05</c:v>
                </c:pt>
                <c:pt idx="5">
                  <c:v>2026-06</c:v>
                </c:pt>
                <c:pt idx="6">
                  <c:v>2026-07</c:v>
                </c:pt>
                <c:pt idx="7">
                  <c:v>2026-08</c:v>
                </c:pt>
                <c:pt idx="8">
                  <c:v>2026-09</c:v>
                </c:pt>
              </c:strCache>
            </c:strRef>
          </c:cat>
          <c:val>
            <c:numRef>
              <c:f>'Executive Dashboard'!$V$7:$V$15</c:f>
              <c:numCache>
                <c:formatCode>\$#,##0;"($"#,##0\);\-</c:formatCode>
                <c:ptCount val="9"/>
                <c:pt idx="0">
                  <c:v>85003.0421699646</c:v>
                </c:pt>
                <c:pt idx="1">
                  <c:v>207904.907605058</c:v>
                </c:pt>
                <c:pt idx="2">
                  <c:v>172902.050224978</c:v>
                </c:pt>
                <c:pt idx="3">
                  <c:v>131582.100028587</c:v>
                </c:pt>
                <c:pt idx="4">
                  <c:v>184816.763584711</c:v>
                </c:pt>
                <c:pt idx="5">
                  <c:v>134726.136386702</c:v>
                </c:pt>
                <c:pt idx="6">
                  <c:v>164170.558023276</c:v>
                </c:pt>
                <c:pt idx="7">
                  <c:v>167626.02962721</c:v>
                </c:pt>
                <c:pt idx="8">
                  <c:v>171081.501231143</c:v>
                </c:pt>
              </c:numCache>
            </c:numRef>
          </c:val>
          <c:smooth val="1"/>
        </c:ser>
        <c:hiLowLines>
          <c:spPr>
            <a:ln w="0">
              <a:noFill/>
            </a:ln>
          </c:spPr>
        </c:hiLowLines>
        <c:marker val="1"/>
        <c:axId val="53208125"/>
        <c:axId val="63490178"/>
      </c:lineChart>
      <c:catAx>
        <c:axId val="67453360"/>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150085"/>
        <c:crosses val="autoZero"/>
        <c:auto val="1"/>
        <c:lblAlgn val="ctr"/>
        <c:lblOffset val="100"/>
        <c:noMultiLvlLbl val="0"/>
      </c:catAx>
      <c:valAx>
        <c:axId val="1150085"/>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Bookings ARR ($)</a:t>
                </a:r>
              </a:p>
            </c:rich>
          </c:tx>
          <c:overlay val="0"/>
          <c:spPr>
            <a:noFill/>
            <a:ln w="0">
              <a:noFill/>
            </a:ln>
          </c:spPr>
        </c:title>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7453360"/>
        <c:crosses val="autoZero"/>
        <c:crossBetween val="between"/>
      </c:valAx>
      <c:catAx>
        <c:axId val="53208125"/>
        <c:scaling>
          <c:orientation val="minMax"/>
        </c:scaling>
        <c:delete val="0"/>
        <c:axPos val="t"/>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490178"/>
        <c:crosses val="autoZero"/>
        <c:auto val="1"/>
        <c:lblAlgn val="ctr"/>
        <c:lblOffset val="100"/>
        <c:noMultiLvlLbl val="0"/>
      </c:catAx>
      <c:valAx>
        <c:axId val="63490178"/>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Commission Expense ($)</a:t>
                </a:r>
              </a:p>
            </c:rich>
          </c:tx>
          <c:overlay val="0"/>
          <c:spPr>
            <a:noFill/>
            <a:ln w="0">
              <a:noFill/>
            </a:ln>
          </c:spPr>
        </c:title>
        <c:numFmt formatCode="\$#,##0,\K"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3208125"/>
        <c:crosses val="max"/>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Q2 FY26 Quota Attainment by Rep</a:t>
            </a:r>
          </a:p>
        </c:rich>
      </c:tx>
      <c:overlay val="0"/>
      <c:spPr>
        <a:noFill/>
        <a:ln w="0">
          <a:noFill/>
        </a:ln>
      </c:spPr>
    </c:title>
    <c:autoTitleDeleted val="0"/>
    <c:plotArea>
      <c:barChart>
        <c:barDir val="bar"/>
        <c:grouping val="clustered"/>
        <c:varyColors val="0"/>
        <c:ser>
          <c:idx val="0"/>
          <c:order val="0"/>
          <c:tx>
            <c:strRef>
              <c:f>'Executive Dashboard'!U18</c:f>
              <c:strCache>
                <c:ptCount val="1"/>
                <c:pt idx="0">
                  <c:v>Q2 Attainment</c:v>
                </c:pt>
              </c:strCache>
            </c:strRef>
          </c:tx>
          <c:spPr>
            <a:solidFill>
              <a:srgbClr val="0f1b2d"/>
            </a:solidFill>
            <a:ln w="9360">
              <a:solidFill>
                <a:srgbClr val="f9f9f9"/>
              </a:solidFill>
              <a:round/>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'Executive Dashboard'!$T$19:$T$33</c:f>
              <c:strCache>
                <c:ptCount val="15"/>
                <c:pt idx="0">
                  <c:v>Maria Chen</c:v>
                </c:pt>
                <c:pt idx="1">
                  <c:v>James Okafor</c:v>
                </c:pt>
                <c:pt idx="2">
                  <c:v>Priya Patel</c:v>
                </c:pt>
                <c:pt idx="3">
                  <c:v>David Nguyen</c:v>
                </c:pt>
                <c:pt idx="4">
                  <c:v>Sofia Rossi</c:v>
                </c:pt>
                <c:pt idx="5">
                  <c:v>Marcus Bennett</c:v>
                </c:pt>
                <c:pt idx="6">
                  <c:v>Elena Kowalski</c:v>
                </c:pt>
                <c:pt idx="7">
                  <c:v>Tyler Alvarez</c:v>
                </c:pt>
                <c:pt idx="8">
                  <c:v>Aisha Kim</c:v>
                </c:pt>
                <c:pt idx="9">
                  <c:v>Ryan Sullivan</c:v>
                </c:pt>
                <c:pt idx="10">
                  <c:v>Natalie Reyes</c:v>
                </c:pt>
                <c:pt idx="11">
                  <c:v>Omar Fischer</c:v>
                </c:pt>
                <c:pt idx="12">
                  <c:v>Grace Adeyemi</c:v>
                </c:pt>
                <c:pt idx="13">
                  <c:v>Kevin Novak</c:v>
                </c:pt>
                <c:pt idx="14">
                  <c:v>Lucia Larsen</c:v>
                </c:pt>
              </c:strCache>
            </c:strRef>
          </c:cat>
          <c:val>
            <c:numRef>
              <c:f>'Executive Dashboard'!$U$19:$U$33</c:f>
              <c:numCache>
                <c:formatCode>0.0%;\(0.0%\);\-</c:formatCode>
                <c:ptCount val="15"/>
                <c:pt idx="0">
                  <c:v>0.709375</c:v>
                </c:pt>
                <c:pt idx="1">
                  <c:v>1.06666666666667</c:v>
                </c:pt>
                <c:pt idx="2">
                  <c:v>0.868613138686131</c:v>
                </c:pt>
                <c:pt idx="3">
                  <c:v>0.167741935483871</c:v>
                </c:pt>
                <c:pt idx="4">
                  <c:v>1.02960526315789</c:v>
                </c:pt>
                <c:pt idx="5">
                  <c:v>1.25786163522013</c:v>
                </c:pt>
                <c:pt idx="6">
                  <c:v>0.7828125</c:v>
                </c:pt>
                <c:pt idx="7">
                  <c:v>1.14363636363636</c:v>
                </c:pt>
                <c:pt idx="8">
                  <c:v>0.881533101045296</c:v>
                </c:pt>
                <c:pt idx="9">
                  <c:v>1.12454212454212</c:v>
                </c:pt>
                <c:pt idx="10">
                  <c:v>0.994915254237288</c:v>
                </c:pt>
                <c:pt idx="11">
                  <c:v>1.77623456790123</c:v>
                </c:pt>
                <c:pt idx="12">
                  <c:v>0.597444089456869</c:v>
                </c:pt>
                <c:pt idx="13">
                  <c:v>0.889235569422777</c:v>
                </c:pt>
                <c:pt idx="14">
                  <c:v>1.00420875420875</c:v>
                </c:pt>
              </c:numCache>
            </c:numRef>
          </c:val>
        </c:ser>
        <c:gapWidth val="150"/>
        <c:overlap val="0"/>
        <c:axId val="97712598"/>
        <c:axId val="77704130"/>
      </c:barChart>
      <c:catAx>
        <c:axId val="97712598"/>
        <c:scaling>
          <c:orientation val="minMax"/>
        </c:scaling>
        <c:delete val="0"/>
        <c:axPos val="b"/>
        <c:title>
          <c:tx>
            <c:rich>
              <a:bodyPr rot="-5400000"/>
              <a:lstStyle/>
              <a:p>
                <a:pPr>
                  <a:defRPr b="1" sz="1000" spc="-1" strike="noStrike">
                    <a:solidFill>
                      <a:srgbClr val="000000"/>
                    </a:solidFill>
                    <a:latin typeface="Calibri"/>
                  </a:defRPr>
                </a:pPr>
                <a:r>
                  <a:rPr b="1" sz="1000" spc="-1" strike="noStrike">
                    <a:solidFill>
                      <a:srgbClr val="000000"/>
                    </a:solidFill>
                    <a:latin typeface="Calibri"/>
                  </a:rPr>
                  <a:t>Attainment %</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704130"/>
        <c:crosses val="autoZero"/>
        <c:auto val="1"/>
        <c:lblAlgn val="ctr"/>
        <c:lblOffset val="100"/>
        <c:noMultiLvlLbl val="0"/>
      </c:catAx>
      <c:valAx>
        <c:axId val="77704130"/>
        <c:scaling>
          <c:orientation val="minMax"/>
        </c:scaling>
        <c:delete val="0"/>
        <c:axPos val="l"/>
        <c:majorGridlines>
          <c:spPr>
            <a:ln w="9360">
              <a:solidFill>
                <a:srgbClr val="878787"/>
              </a:solidFill>
              <a:round/>
            </a:ln>
          </c:spPr>
        </c:majorGridlines>
        <c:numFmt formatCode="0.0%;\(0.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771259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H1 FY26 Bookings ARR Mix</a:t>
            </a:r>
          </a:p>
        </c:rich>
      </c:tx>
      <c:overlay val="0"/>
      <c:spPr>
        <a:noFill/>
        <a:ln w="0">
          <a:noFill/>
        </a:ln>
      </c:spPr>
    </c:title>
    <c:autoTitleDeleted val="0"/>
    <c:plotArea>
      <c:pieChart>
        <c:varyColors val="1"/>
        <c:ser>
          <c:idx val="0"/>
          <c:order val="0"/>
          <c:tx>
            <c:strRef>
              <c:f>'Executive Dashboard'!U35</c:f>
              <c:strCache>
                <c:ptCount val="1"/>
                <c:pt idx="0">
                  <c:v>ARR</c:v>
                </c:pt>
              </c:strCache>
            </c:strRef>
          </c:tx>
          <c:spPr>
            <a:solidFill>
              <a:srgbClr val="4f81bd"/>
            </a:solidFill>
            <a:ln w="0">
              <a:noFill/>
            </a:ln>
          </c:spPr>
          <c:explosion val="0"/>
          <c:dPt>
            <c:idx val="0"/>
            <c:spPr>
              <a:solidFill>
                <a:srgbClr val="0f1b2d"/>
              </a:solidFill>
              <a:ln w="0">
                <a:noFill/>
              </a:ln>
            </c:spPr>
          </c:dPt>
          <c:dPt>
            <c:idx val="1"/>
            <c:spPr>
              <a:solidFill>
                <a:srgbClr val="b8862b"/>
              </a:solidFill>
              <a:ln w="0">
                <a:noFill/>
              </a:ln>
            </c:spPr>
          </c:dPt>
          <c:dPt>
            <c:idx val="2"/>
            <c:spPr>
              <a:solidFill>
                <a:srgbClr val="1f3a5f"/>
              </a:solidFill>
              <a:ln w="0">
                <a:noFill/>
              </a:ln>
            </c:spPr>
          </c:dPt>
          <c:dLbls>
            <c:dLbl>
              <c:idx val="0"/>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1"/>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dLbl>
              <c:idx val="2"/>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dLbl>
            <c:txPr>
              <a:bodyPr wrap="square"/>
              <a:lstStyle/>
              <a:p>
                <a:pPr>
                  <a:defRPr b="0" sz="1000" spc="-1" strike="noStrike">
                    <a:solidFill>
                      <a:srgbClr val="000000"/>
                    </a:solidFill>
                    <a:latin typeface="Arial"/>
                  </a:defRPr>
                </a:pPr>
              </a:p>
            </c:txPr>
            <c:dLblPos val="bestFit"/>
            <c:showLegendKey val="0"/>
            <c:showVal val="0"/>
            <c:showCatName val="0"/>
            <c:showSerName val="0"/>
            <c:showPercent val="0"/>
            <c:separator>; </c:separator>
            <c:showLeaderLines val="1"/>
          </c:dLbls>
          <c:cat>
            <c:strRef>
              <c:f>'Executive Dashboard'!$T$36:$T$38</c:f>
              <c:strCache>
                <c:ptCount val="3"/>
                <c:pt idx="0">
                  <c:v>New Business</c:v>
                </c:pt>
                <c:pt idx="1">
                  <c:v>Upsell</c:v>
                </c:pt>
                <c:pt idx="2">
                  <c:v>Renewal</c:v>
                </c:pt>
              </c:strCache>
            </c:strRef>
          </c:cat>
          <c:val>
            <c:numRef>
              <c:f>'Executive Dashboard'!$U$36:$U$38</c:f>
              <c:numCache>
                <c:formatCode>\$#,##0;"($"#,##0\);\-</c:formatCode>
                <c:ptCount val="3"/>
                <c:pt idx="0">
                  <c:v>8480000</c:v>
                </c:pt>
                <c:pt idx="1">
                  <c:v>1798500</c:v>
                </c:pt>
                <c:pt idx="2">
                  <c:v>3796000</c:v>
                </c:pt>
              </c:numCache>
            </c:numRef>
          </c:val>
        </c:ser>
        <c:firstSliceAng val="0"/>
      </c:pie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Revenue Retention by Segment</a:t>
            </a:r>
          </a:p>
        </c:rich>
      </c:tx>
      <c:overlay val="0"/>
      <c:spPr>
        <a:noFill/>
        <a:ln w="0">
          <a:noFill/>
        </a:ln>
      </c:spPr>
    </c:title>
    <c:autoTitleDeleted val="0"/>
    <c:plotArea>
      <c:barChart>
        <c:barDir val="col"/>
        <c:grouping val="clustered"/>
        <c:varyColors val="0"/>
        <c:ser>
          <c:idx val="0"/>
          <c:order val="0"/>
          <c:tx>
            <c:strRef>
              <c:f>'Executive Dashboard'!W41</c:f>
              <c:strCache>
                <c:ptCount val="1"/>
                <c:pt idx="0">
                  <c:v>NRR</c:v>
                </c:pt>
              </c:strCache>
            </c:strRef>
          </c:tx>
          <c:spPr>
            <a:solidFill>
              <a:srgbClr val="b8862b"/>
            </a:solidFill>
            <a:ln w="0">
              <a:noFill/>
            </a:ln>
          </c:spPr>
          <c:invertIfNegative val="0"/>
          <c:dLbls>
            <c:txPr>
              <a:bodyPr wrap="squar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'Executive Dashboard'!$T$42:$T$44</c:f>
              <c:strCache>
                <c:ptCount val="3"/>
                <c:pt idx="0">
                  <c:v>SMB</c:v>
                </c:pt>
                <c:pt idx="1">
                  <c:v>Mid-Market</c:v>
                </c:pt>
                <c:pt idx="2">
                  <c:v>Enterprise</c:v>
                </c:pt>
              </c:strCache>
            </c:strRef>
          </c:cat>
          <c:val>
            <c:numRef>
              <c:f>'Executive Dashboard'!$W$42:$W$44</c:f>
              <c:numCache>
                <c:formatCode>0.0%;\(0.0%\);\-</c:formatCode>
                <c:ptCount val="3"/>
                <c:pt idx="0">
                  <c:v>1.24574540503744</c:v>
                </c:pt>
                <c:pt idx="1">
                  <c:v>0.992402315484805</c:v>
                </c:pt>
                <c:pt idx="2">
                  <c:v>0.965770953294946</c:v>
                </c:pt>
              </c:numCache>
            </c:numRef>
          </c:val>
        </c:ser>
        <c:gapWidth val="150"/>
        <c:overlap val="0"/>
        <c:axId val="1924896"/>
        <c:axId val="729102"/>
      </c:barChart>
      <c:catAx>
        <c:axId val="1924896"/>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9102"/>
        <c:crosses val="autoZero"/>
        <c:auto val="1"/>
        <c:lblAlgn val="ctr"/>
        <c:lblOffset val="100"/>
        <c:noMultiLvlLbl val="0"/>
      </c:catAx>
      <c:valAx>
        <c:axId val="729102"/>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92489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Base Plan vs. Scenario — Total Commission Expense</a:t>
            </a:r>
          </a:p>
        </c:rich>
      </c:tx>
      <c:overlay val="0"/>
      <c:spPr>
        <a:noFill/>
        <a:ln w="0">
          <a:noFill/>
        </a:ln>
      </c:spPr>
    </c:title>
    <c:autoTitleDeleted val="0"/>
    <c:plotArea>
      <c:barChart>
        <c:barDir val="col"/>
        <c:grouping val="clustered"/>
        <c:varyColors val="0"/>
        <c:ser>
          <c:idx val="0"/>
          <c:order val="0"/>
          <c:spPr>
            <a:solidFill>
              <a:srgbClr val="1f3a5f"/>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'Scenario Planner'!$B$50:$B$51</c:f>
              <c:strCache>
                <c:ptCount val="2"/>
                <c:pt idx="0">
                  <c:v>Base plan (actual rates, actual quota):</c:v>
                </c:pt>
                <c:pt idx="1">
                  <c:v>Scenario plan (rates/quota above):</c:v>
                </c:pt>
              </c:strCache>
            </c:strRef>
          </c:cat>
          <c:val>
            <c:numRef>
              <c:f>'Scenario Planner'!$D$50:$D$51</c:f>
              <c:numCache>
                <c:formatCode>\$#,##0;"($"#,##0\);\-</c:formatCode>
                <c:ptCount val="2"/>
                <c:pt idx="0">
                  <c:v>916935</c:v>
                </c:pt>
                <c:pt idx="1">
                  <c:v>916935</c:v>
                </c:pt>
              </c:numCache>
            </c:numRef>
          </c:val>
        </c:ser>
        <c:gapWidth val="150"/>
        <c:overlap val="0"/>
        <c:axId val="41101526"/>
        <c:axId val="46788289"/>
      </c:barChart>
      <c:catAx>
        <c:axId val="41101526"/>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6788289"/>
        <c:crosses val="autoZero"/>
        <c:auto val="1"/>
        <c:lblAlgn val="ctr"/>
        <c:lblOffset val="100"/>
        <c:noMultiLvlLbl val="0"/>
      </c:catAx>
      <c:valAx>
        <c:axId val="46788289"/>
        <c:scaling>
          <c:orientation val="minMax"/>
        </c:scaling>
        <c:delete val="0"/>
        <c:axPos val="l"/>
        <c:majorGridlines>
          <c:spPr>
            <a:ln w="0">
              <a:solidFill>
                <a:srgbClr val="b3b3b3"/>
              </a:solidFill>
            </a:ln>
          </c:spPr>
        </c:majorGridlines>
        <c:numFmt formatCode="\$#,##0,\K"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41101526"/>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Budgeted vs. Actual/Forecast Bookings ARR by Month</a:t>
            </a:r>
          </a:p>
        </c:rich>
      </c:tx>
      <c:overlay val="0"/>
      <c:spPr>
        <a:noFill/>
        <a:ln w="0">
          <a:noFill/>
        </a:ln>
      </c:spPr>
    </c:title>
    <c:autoTitleDeleted val="0"/>
    <c:plotArea>
      <c:barChart>
        <c:barDir val="col"/>
        <c:grouping val="clustered"/>
        <c:varyColors val="0"/>
        <c:ser>
          <c:idx val="0"/>
          <c:order val="0"/>
          <c:tx>
            <c:strRef>
              <c:f>'Budget vs Actual'!C5</c:f>
              <c:strCache>
                <c:ptCount val="1"/>
                <c:pt idx="0">
                  <c:v>Budgeted Bookings ARR</c:v>
                </c:pt>
              </c:strCache>
            </c:strRef>
          </c:tx>
          <c:spPr>
            <a:solidFill>
              <a:srgbClr val="9aa5b1"/>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'Budget vs Actual'!$B$6:$B$14</c:f>
              <c:strCache>
                <c:ptCount val="9"/>
                <c:pt idx="0">
                  <c:v>2026-01</c:v>
                </c:pt>
                <c:pt idx="1">
                  <c:v>2026-02</c:v>
                </c:pt>
                <c:pt idx="2">
                  <c:v>2026-03</c:v>
                </c:pt>
                <c:pt idx="3">
                  <c:v>2026-04</c:v>
                </c:pt>
                <c:pt idx="4">
                  <c:v>2026-05</c:v>
                </c:pt>
                <c:pt idx="5">
                  <c:v>2026-06</c:v>
                </c:pt>
                <c:pt idx="6">
                  <c:v>2026-07</c:v>
                </c:pt>
                <c:pt idx="7">
                  <c:v>2026-08</c:v>
                </c:pt>
                <c:pt idx="8">
                  <c:v>2026-09</c:v>
                </c:pt>
              </c:strCache>
            </c:strRef>
          </c:cat>
          <c:val>
            <c:numRef>
              <c:f>'Budget vs Actual'!$C$6:$C$14</c:f>
              <c:numCache>
                <c:formatCode>\$#,##0;"($"#,##0\);\-</c:formatCode>
                <c:ptCount val="9"/>
                <c:pt idx="0">
                  <c:v>1500000</c:v>
                </c:pt>
                <c:pt idx="1">
                  <c:v>2200000</c:v>
                </c:pt>
                <c:pt idx="2">
                  <c:v>2600000</c:v>
                </c:pt>
                <c:pt idx="3">
                  <c:v>2300000</c:v>
                </c:pt>
                <c:pt idx="4">
                  <c:v>2400000</c:v>
                </c:pt>
                <c:pt idx="5">
                  <c:v>2500000</c:v>
                </c:pt>
                <c:pt idx="6">
                  <c:v>2500000</c:v>
                </c:pt>
                <c:pt idx="7">
                  <c:v>2600000</c:v>
                </c:pt>
                <c:pt idx="8">
                  <c:v>2700000</c:v>
                </c:pt>
              </c:numCache>
            </c:numRef>
          </c:val>
        </c:ser>
        <c:ser>
          <c:idx val="1"/>
          <c:order val="1"/>
          <c:tx>
            <c:strRef>
              <c:f>'Budget vs Actual'!D5</c:f>
              <c:strCache>
                <c:ptCount val="1"/>
                <c:pt idx="0">
                  <c:v>Actual/Forecast Bookings ARR</c:v>
                </c:pt>
              </c:strCache>
            </c:strRef>
          </c:tx>
          <c:spPr>
            <a:solidFill>
              <a:srgbClr val="1f3a5f"/>
            </a:solidFill>
            <a:ln w="0">
              <a:noFill/>
            </a:ln>
          </c:spPr>
          <c:invertIfNegative val="0"/>
          <c:dLbls>
            <c:txPr>
              <a:bodyPr wrap="none"/>
              <a:lstStyle/>
              <a:p>
                <a:pPr>
                  <a:defRPr b="0" sz="1000" spc="-1" strike="noStrike">
                    <a:solidFill>
                      <a:srgbClr val="000000"/>
                    </a:solidFill>
                    <a:latin typeface="Arial"/>
                  </a:defRPr>
                </a:pPr>
              </a:p>
            </c:txPr>
            <c:dLblPos val="outEnd"/>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'Budget vs Actual'!$B$6:$B$14</c:f>
              <c:strCache>
                <c:ptCount val="9"/>
                <c:pt idx="0">
                  <c:v>2026-01</c:v>
                </c:pt>
                <c:pt idx="1">
                  <c:v>2026-02</c:v>
                </c:pt>
                <c:pt idx="2">
                  <c:v>2026-03</c:v>
                </c:pt>
                <c:pt idx="3">
                  <c:v>2026-04</c:v>
                </c:pt>
                <c:pt idx="4">
                  <c:v>2026-05</c:v>
                </c:pt>
                <c:pt idx="5">
                  <c:v>2026-06</c:v>
                </c:pt>
                <c:pt idx="6">
                  <c:v>2026-07</c:v>
                </c:pt>
                <c:pt idx="7">
                  <c:v>2026-08</c:v>
                </c:pt>
                <c:pt idx="8">
                  <c:v>2026-09</c:v>
                </c:pt>
              </c:strCache>
            </c:strRef>
          </c:cat>
          <c:val>
            <c:numRef>
              <c:f>'Budget vs Actual'!$D$6:$D$14</c:f>
              <c:numCache>
                <c:formatCode>\$#,##0;"($"#,##0\);\-</c:formatCode>
                <c:ptCount val="9"/>
                <c:pt idx="0">
                  <c:v>1341500</c:v>
                </c:pt>
                <c:pt idx="1">
                  <c:v>3145500</c:v>
                </c:pt>
                <c:pt idx="2">
                  <c:v>2735500</c:v>
                </c:pt>
                <c:pt idx="3">
                  <c:v>2099000</c:v>
                </c:pt>
                <c:pt idx="4">
                  <c:v>2559500</c:v>
                </c:pt>
                <c:pt idx="5">
                  <c:v>2193500</c:v>
                </c:pt>
                <c:pt idx="6">
                  <c:v>2532300</c:v>
                </c:pt>
                <c:pt idx="7">
                  <c:v>2585600</c:v>
                </c:pt>
                <c:pt idx="8">
                  <c:v>2638900</c:v>
                </c:pt>
              </c:numCache>
            </c:numRef>
          </c:val>
        </c:ser>
        <c:gapWidth val="150"/>
        <c:overlap val="0"/>
        <c:axId val="84682097"/>
        <c:axId val="37612041"/>
      </c:barChart>
      <c:catAx>
        <c:axId val="84682097"/>
        <c:scaling>
          <c:orientation val="minMax"/>
        </c:scaling>
        <c:delete val="0"/>
        <c:axPos val="b"/>
        <c:numFmt formatCode="General"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37612041"/>
        <c:crosses val="autoZero"/>
        <c:auto val="1"/>
        <c:lblAlgn val="ctr"/>
        <c:lblOffset val="100"/>
        <c:noMultiLvlLbl val="0"/>
      </c:catAx>
      <c:valAx>
        <c:axId val="37612041"/>
        <c:scaling>
          <c:orientation val="minMax"/>
        </c:scaling>
        <c:delete val="0"/>
        <c:axPos val="l"/>
        <c:majorGridlines>
          <c:spPr>
            <a:ln w="0">
              <a:solidFill>
                <a:srgbClr val="b3b3b3"/>
              </a:solidFill>
            </a:ln>
          </c:spPr>
        </c:majorGridlines>
        <c:numFmt formatCode="\$#,##0,\K" sourceLinked="0"/>
        <c:majorTickMark val="none"/>
        <c:minorTickMark val="none"/>
        <c:tickLblPos val="nextTo"/>
        <c:spPr>
          <a:ln w="0">
            <a:solidFill>
              <a:srgbClr val="b3b3b3"/>
            </a:solidFill>
          </a:ln>
        </c:spPr>
        <c:txPr>
          <a:bodyPr/>
          <a:lstStyle/>
          <a:p>
            <a:pPr>
              <a:defRPr b="0" sz="1000" spc="-1" strike="noStrike">
                <a:solidFill>
                  <a:srgbClr val="000000"/>
                </a:solidFill>
                <a:latin typeface="Calibri"/>
              </a:defRPr>
            </a:pPr>
          </a:p>
        </c:txPr>
        <c:crossAx val="84682097"/>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
</Relationships>
</file>

<file path=xl/drawings/_rels/drawing2.xml.rels><?xml version="1.0" encoding="UTF-8"?>
<Relationships xmlns="http://schemas.openxmlformats.org/package/2006/relationships"><Relationship Id="rId1" Type="http://schemas.openxmlformats.org/officeDocument/2006/relationships/chart" Target="../charts/chart5.xml"/>
</Relationships>
</file>

<file path=xl/drawings/_rels/drawing3.xml.rels><?xml version="1.0" encoding="UTF-8"?>
<Relationships xmlns="http://schemas.openxmlformats.org/package/2006/relationships"><Relationship Id="rId1" Type="http://schemas.openxmlformats.org/officeDocument/2006/relationships/chart" Target="../charts/chart6.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11</xdr:row>
      <xdr:rowOff>119160</xdr:rowOff>
    </xdr:from>
    <xdr:to>
      <xdr:col>10</xdr:col>
      <xdr:colOff>38160</xdr:colOff>
      <xdr:row>30</xdr:row>
      <xdr:rowOff>98640</xdr:rowOff>
    </xdr:to>
    <xdr:graphicFrame>
      <xdr:nvGraphicFramePr>
        <xdr:cNvPr id="0" name="Chart 1"/>
        <xdr:cNvGraphicFramePr/>
      </xdr:nvGraphicFramePr>
      <xdr:xfrm>
        <a:off x="141120" y="2462400"/>
        <a:ext cx="8638920" cy="35989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29</xdr:row>
      <xdr:rowOff>119160</xdr:rowOff>
    </xdr:from>
    <xdr:to>
      <xdr:col>5</xdr:col>
      <xdr:colOff>888120</xdr:colOff>
      <xdr:row>62</xdr:row>
      <xdr:rowOff>311760</xdr:rowOff>
    </xdr:to>
    <xdr:graphicFrame>
      <xdr:nvGraphicFramePr>
        <xdr:cNvPr id="1" name="Chart 2"/>
        <xdr:cNvGraphicFramePr/>
      </xdr:nvGraphicFramePr>
      <xdr:xfrm>
        <a:off x="141120" y="5891400"/>
        <a:ext cx="5398920" cy="64789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9</xdr:col>
      <xdr:colOff>0</xdr:colOff>
      <xdr:row>48</xdr:row>
      <xdr:rowOff>119160</xdr:rowOff>
    </xdr:from>
    <xdr:to>
      <xdr:col>16</xdr:col>
      <xdr:colOff>398520</xdr:colOff>
      <xdr:row>64</xdr:row>
      <xdr:rowOff>346320</xdr:rowOff>
    </xdr:to>
    <xdr:graphicFrame>
      <xdr:nvGraphicFramePr>
        <xdr:cNvPr id="2" name="Chart 3"/>
        <xdr:cNvGraphicFramePr/>
      </xdr:nvGraphicFramePr>
      <xdr:xfrm>
        <a:off x="8130600" y="9510840"/>
        <a:ext cx="4678920" cy="35989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48</xdr:row>
      <xdr:rowOff>119160</xdr:rowOff>
    </xdr:from>
    <xdr:to>
      <xdr:col>21</xdr:col>
      <xdr:colOff>259560</xdr:colOff>
      <xdr:row>64</xdr:row>
      <xdr:rowOff>346320</xdr:rowOff>
    </xdr:to>
    <xdr:graphicFrame>
      <xdr:nvGraphicFramePr>
        <xdr:cNvPr id="3" name="Chart 4"/>
        <xdr:cNvGraphicFramePr/>
      </xdr:nvGraphicFramePr>
      <xdr:xfrm>
        <a:off x="11799720" y="9510840"/>
        <a:ext cx="4678920" cy="359892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47</xdr:row>
      <xdr:rowOff>48240</xdr:rowOff>
    </xdr:from>
    <xdr:to>
      <xdr:col>9</xdr:col>
      <xdr:colOff>372240</xdr:colOff>
      <xdr:row>62</xdr:row>
      <xdr:rowOff>70200</xdr:rowOff>
    </xdr:to>
    <xdr:graphicFrame>
      <xdr:nvGraphicFramePr>
        <xdr:cNvPr id="4" name="Chart 1"/>
        <xdr:cNvGraphicFramePr/>
      </xdr:nvGraphicFramePr>
      <xdr:xfrm>
        <a:off x="4863600" y="9144000"/>
        <a:ext cx="4319280" cy="287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16</xdr:row>
      <xdr:rowOff>48240</xdr:rowOff>
    </xdr:from>
    <xdr:to>
      <xdr:col>8</xdr:col>
      <xdr:colOff>25200</xdr:colOff>
      <xdr:row>35</xdr:row>
      <xdr:rowOff>28080</xdr:rowOff>
    </xdr:to>
    <xdr:graphicFrame>
      <xdr:nvGraphicFramePr>
        <xdr:cNvPr id="5" name="Chart 1"/>
        <xdr:cNvGraphicFramePr/>
      </xdr:nvGraphicFramePr>
      <xdr:xfrm>
        <a:off x="141120" y="3238560"/>
        <a:ext cx="7919280" cy="359928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DealLevelOutliers" displayName="DealLevelOutliers" ref="B44:H314" headerRowCount="1" totalsRowCount="0" totalsRowShown="0">
  <autoFilter ref="B44:H314"/>
  <tableColumns count="7">
    <tableColumn id="1" name="Deal ID"/>
    <tableColumn id="2" name="Rep ID"/>
    <tableColumn id="3" name="Deal Type"/>
    <tableColumn id="4" name="ARR Amount"/>
    <tableColumn id="5" name="Rep's Avg ARR (this type)"/>
    <tableColumn id="6" name="Ratio to Average"/>
    <tableColumn id="7" name="Flag"/>
  </tableColumns>
</table>
</file>

<file path=xl/tables/table2.xml><?xml version="1.0" encoding="utf-8"?>
<table xmlns="http://schemas.openxmlformats.org/spreadsheetml/2006/main" id="2" name="RepQuarterExceptions" displayName="RepQuarterExceptions" ref="B9:I39" headerRowCount="1" totalsRowCount="0" totalsRowShown="0">
  <autoFilter ref="B9:I39"/>
  <tableColumns count="8">
    <tableColumn id="1" name="Rep ID"/>
    <tableColumn id="2" name="Rep Name"/>
    <tableColumn id="3" name="Segment"/>
    <tableColumn id="4" name="Quarter"/>
    <tableColumn id="5" name="Attainment %"/>
    <tableColumn id="6" name="Renewal ARR"/>
    <tableColumn id="7" name="Deal Count"/>
    <tableColumn id="8" name="Flag"/>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drawing" Target="../drawings/drawing1.xml"/>
</Relationships>
</file>

<file path=xl/worksheets/_rels/sheet8.xml.rels><?xml version="1.0" encoding="UTF-8"?>
<Relationships xmlns="http://schemas.openxmlformats.org/package/2006/relationships"><Relationship Id="rId1" Type="http://schemas.openxmlformats.org/officeDocument/2006/relationships/drawing" Target="../drawings/drawing2.xml"/>
</Relationships>
</file>

<file path=xl/worksheets/_rels/sheet9.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_rels/sheet10.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C3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0"/>
    <col collapsed="false" customWidth="true" hidden="false" outlineLevel="0" max="3" min="3" style="1" width="65"/>
    <col collapsed="false" customWidth="true" hidden="false" outlineLevel="0" max="4" min="4" style="1" width="3"/>
  </cols>
  <sheetData>
    <row r="2" customFormat="false" ht="24" hidden="false" customHeight="true" outlineLevel="0" collapsed="false">
      <c r="B2" s="2" t="s">
        <v>0</v>
      </c>
    </row>
    <row r="3" customFormat="false" ht="15.75" hidden="false" customHeight="true" outlineLevel="0" collapsed="false">
      <c r="B3" s="3" t="s">
        <v>1</v>
      </c>
    </row>
    <row r="4" customFormat="false" ht="15" hidden="false" customHeight="true" outlineLevel="0" collapsed="false">
      <c r="B4" s="4" t="s">
        <v>2</v>
      </c>
    </row>
    <row r="6" customFormat="false" ht="15" hidden="false" customHeight="true" outlineLevel="0" collapsed="false">
      <c r="B6" s="5" t="s">
        <v>3</v>
      </c>
      <c r="C6" s="6" t="s">
        <v>4</v>
      </c>
    </row>
    <row r="7" customFormat="false" ht="15" hidden="false" customHeight="true" outlineLevel="0" collapsed="false">
      <c r="B7" s="5" t="s">
        <v>5</v>
      </c>
      <c r="C7" s="6" t="s">
        <v>6</v>
      </c>
    </row>
    <row r="8" customFormat="false" ht="15" hidden="false" customHeight="true" outlineLevel="0" collapsed="false">
      <c r="B8" s="5" t="s">
        <v>7</v>
      </c>
      <c r="C8" s="7" t="n">
        <f aca="true">TODAY()</f>
        <v>46294</v>
      </c>
    </row>
    <row r="9" customFormat="false" ht="15" hidden="false" customHeight="true" outlineLevel="0" collapsed="false">
      <c r="B9" s="5" t="s">
        <v>8</v>
      </c>
      <c r="C9" s="6" t="s">
        <v>9</v>
      </c>
    </row>
    <row r="11" customFormat="false" ht="15" hidden="false" customHeight="true" outlineLevel="0" collapsed="false">
      <c r="B11" s="8" t="s">
        <v>10</v>
      </c>
    </row>
    <row r="12" customFormat="false" ht="15" hidden="false" customHeight="true" outlineLevel="0" collapsed="false">
      <c r="B12" s="9" t="s">
        <v>11</v>
      </c>
      <c r="C12" s="9"/>
    </row>
    <row r="13" customFormat="false" ht="15" hidden="false" customHeight="true" outlineLevel="0" collapsed="false">
      <c r="B13" s="9"/>
      <c r="C13" s="9"/>
    </row>
    <row r="14" customFormat="false" ht="15" hidden="false" customHeight="true" outlineLevel="0" collapsed="false">
      <c r="B14" s="9"/>
      <c r="C14" s="9"/>
    </row>
    <row r="15" customFormat="false" ht="15" hidden="false" customHeight="true" outlineLevel="0" collapsed="false">
      <c r="B15" s="9"/>
      <c r="C15" s="9"/>
    </row>
    <row r="17" customFormat="false" ht="15" hidden="false" customHeight="true" outlineLevel="0" collapsed="false">
      <c r="B17" s="8" t="s">
        <v>12</v>
      </c>
    </row>
    <row r="18" customFormat="false" ht="23.25" hidden="false" customHeight="true" outlineLevel="0" collapsed="false">
      <c r="B18" s="10" t="s">
        <v>13</v>
      </c>
      <c r="C18" s="11" t="s">
        <v>14</v>
      </c>
    </row>
    <row r="19" customFormat="false" ht="15" hidden="false" customHeight="true" outlineLevel="0" collapsed="false">
      <c r="B19" s="10" t="s">
        <v>15</v>
      </c>
      <c r="C19" s="11" t="s">
        <v>16</v>
      </c>
    </row>
    <row r="20" customFormat="false" ht="15" hidden="false" customHeight="true" outlineLevel="0" collapsed="false">
      <c r="B20" s="10" t="s">
        <v>17</v>
      </c>
      <c r="C20" s="11" t="s">
        <v>18</v>
      </c>
    </row>
    <row r="21" customFormat="false" ht="23.25" hidden="false" customHeight="true" outlineLevel="0" collapsed="false">
      <c r="B21" s="10" t="s">
        <v>19</v>
      </c>
      <c r="C21" s="11" t="s">
        <v>20</v>
      </c>
    </row>
    <row r="22" customFormat="false" ht="15" hidden="false" customHeight="true" outlineLevel="0" collapsed="false">
      <c r="B22" s="10" t="s">
        <v>21</v>
      </c>
      <c r="C22" s="11" t="s">
        <v>22</v>
      </c>
    </row>
    <row r="23" customFormat="false" ht="15" hidden="false" customHeight="true" outlineLevel="0" collapsed="false">
      <c r="B23" s="10" t="s">
        <v>23</v>
      </c>
      <c r="C23" s="11" t="s">
        <v>24</v>
      </c>
    </row>
    <row r="26" customFormat="false" ht="15" hidden="false" customHeight="true" outlineLevel="0" collapsed="false">
      <c r="B26" s="8" t="s">
        <v>25</v>
      </c>
    </row>
    <row r="27" customFormat="false" ht="23.25" hidden="false" customHeight="true" outlineLevel="0" collapsed="false">
      <c r="B27" s="12" t="s">
        <v>26</v>
      </c>
      <c r="C27" s="11" t="s">
        <v>27</v>
      </c>
    </row>
    <row r="28" customFormat="false" ht="23.25" hidden="false" customHeight="true" outlineLevel="0" collapsed="false">
      <c r="B28" s="12" t="s">
        <v>26</v>
      </c>
      <c r="C28" s="11" t="s">
        <v>28</v>
      </c>
    </row>
    <row r="29" customFormat="false" ht="23.25" hidden="false" customHeight="true" outlineLevel="0" collapsed="false">
      <c r="B29" s="12" t="s">
        <v>26</v>
      </c>
      <c r="C29" s="11" t="s">
        <v>29</v>
      </c>
    </row>
    <row r="30" customFormat="false" ht="34.5" hidden="false" customHeight="true" outlineLevel="0" collapsed="false">
      <c r="B30" s="12" t="s">
        <v>26</v>
      </c>
      <c r="C30" s="11" t="s">
        <v>30</v>
      </c>
    </row>
    <row r="31" customFormat="false" ht="23.25" hidden="false" customHeight="true" outlineLevel="0" collapsed="false">
      <c r="B31" s="12" t="s">
        <v>26</v>
      </c>
      <c r="C31" s="11" t="s">
        <v>31</v>
      </c>
    </row>
  </sheetData>
  <mergeCells count="1">
    <mergeCell ref="B12:C15"/>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6"/>
    <col collapsed="false" customWidth="true" hidden="false" outlineLevel="0" max="3" min="3" style="1" width="8"/>
    <col collapsed="false" customWidth="true" hidden="false" outlineLevel="0" max="4" min="4" style="1" width="16"/>
    <col collapsed="false" customWidth="true" hidden="false" outlineLevel="0" max="5" min="5" style="1" width="14"/>
    <col collapsed="false" customWidth="true" hidden="false" outlineLevel="0" max="6" min="6" style="1" width="10"/>
    <col collapsed="false" customWidth="true" hidden="false" outlineLevel="0" max="7" min="7" style="1" width="46"/>
  </cols>
  <sheetData>
    <row r="2" customFormat="false" ht="17.25" hidden="false" customHeight="true" outlineLevel="0" collapsed="false">
      <c r="B2" s="13" t="s">
        <v>32</v>
      </c>
    </row>
    <row r="3" customFormat="false" ht="15" hidden="false" customHeight="true" outlineLevel="0" collapsed="false">
      <c r="B3" s="4" t="s">
        <v>33</v>
      </c>
    </row>
    <row r="5" customFormat="false" ht="23.25" hidden="false" customHeight="true" outlineLevel="0" collapsed="false">
      <c r="B5" s="14" t="s">
        <v>34</v>
      </c>
      <c r="C5" s="14" t="s">
        <v>35</v>
      </c>
      <c r="D5" s="14" t="s">
        <v>36</v>
      </c>
      <c r="E5" s="14" t="s">
        <v>37</v>
      </c>
      <c r="F5" s="14" t="s">
        <v>38</v>
      </c>
      <c r="G5" s="14" t="s">
        <v>39</v>
      </c>
    </row>
    <row r="6" customFormat="false" ht="15" hidden="false" customHeight="true" outlineLevel="0" collapsed="false">
      <c r="B6" s="15" t="s">
        <v>40</v>
      </c>
      <c r="C6" s="15" t="n">
        <v>1</v>
      </c>
      <c r="D6" s="16" t="n">
        <v>0</v>
      </c>
      <c r="E6" s="16" t="n">
        <v>1</v>
      </c>
      <c r="F6" s="17" t="n">
        <v>0.08</v>
      </c>
      <c r="G6" s="15" t="s">
        <v>41</v>
      </c>
    </row>
    <row r="7" customFormat="false" ht="15" hidden="false" customHeight="true" outlineLevel="0" collapsed="false">
      <c r="B7" s="18" t="s">
        <v>40</v>
      </c>
      <c r="C7" s="18" t="n">
        <v>2</v>
      </c>
      <c r="D7" s="19" t="n">
        <v>1</v>
      </c>
      <c r="E7" s="19" t="n">
        <v>1.25</v>
      </c>
      <c r="F7" s="20" t="n">
        <v>0.1</v>
      </c>
      <c r="G7" s="18" t="s">
        <v>42</v>
      </c>
    </row>
    <row r="8" customFormat="false" ht="15" hidden="false" customHeight="true" outlineLevel="0" collapsed="false">
      <c r="B8" s="15" t="s">
        <v>40</v>
      </c>
      <c r="C8" s="15" t="n">
        <v>3</v>
      </c>
      <c r="D8" s="16" t="n">
        <v>1.25</v>
      </c>
      <c r="E8" s="15" t="s">
        <v>43</v>
      </c>
      <c r="F8" s="17" t="n">
        <v>0.12</v>
      </c>
      <c r="G8" s="15" t="s">
        <v>44</v>
      </c>
    </row>
    <row r="9" customFormat="false" ht="15" hidden="false" customHeight="true" outlineLevel="0" collapsed="false">
      <c r="B9" s="18" t="s">
        <v>45</v>
      </c>
      <c r="C9" s="18" t="s">
        <v>46</v>
      </c>
      <c r="D9" s="19" t="n">
        <v>0</v>
      </c>
      <c r="E9" s="18" t="s">
        <v>43</v>
      </c>
      <c r="F9" s="20" t="n">
        <v>0.06</v>
      </c>
      <c r="G9" s="18" t="s">
        <v>47</v>
      </c>
    </row>
    <row r="10" customFormat="false" ht="15" hidden="false" customHeight="true" outlineLevel="0" collapsed="false">
      <c r="B10" s="15" t="s">
        <v>48</v>
      </c>
      <c r="C10" s="15" t="s">
        <v>46</v>
      </c>
      <c r="D10" s="16" t="n">
        <v>0</v>
      </c>
      <c r="E10" s="15" t="s">
        <v>43</v>
      </c>
      <c r="F10" s="17" t="n">
        <v>0.03</v>
      </c>
      <c r="G10" s="15" t="s">
        <v>49</v>
      </c>
    </row>
    <row r="14" customFormat="false" ht="15" hidden="false" customHeight="true" outlineLevel="0" collapsed="false">
      <c r="B14" s="21" t="s">
        <v>50</v>
      </c>
    </row>
    <row r="15" customFormat="false" ht="15" hidden="false" customHeight="true" outlineLevel="0" collapsed="false">
      <c r="B15" s="4" t="s">
        <v>51</v>
      </c>
      <c r="C15" s="22" t="n">
        <f aca="false">'Commission Plan Rules'!$F$6</f>
        <v>0.08</v>
      </c>
    </row>
    <row r="16" customFormat="false" ht="15" hidden="false" customHeight="true" outlineLevel="0" collapsed="false">
      <c r="B16" s="4" t="s">
        <v>52</v>
      </c>
      <c r="C16" s="22" t="n">
        <f aca="false">'Commission Plan Rules'!$F$7</f>
        <v>0.1</v>
      </c>
    </row>
    <row r="17" customFormat="false" ht="15" hidden="false" customHeight="true" outlineLevel="0" collapsed="false">
      <c r="B17" s="4" t="s">
        <v>53</v>
      </c>
      <c r="C17" s="22" t="n">
        <f aca="false">'Commission Plan Rules'!$F$8</f>
        <v>0.12</v>
      </c>
    </row>
    <row r="18" customFormat="false" ht="15" hidden="false" customHeight="true" outlineLevel="0" collapsed="false">
      <c r="B18" s="4" t="s">
        <v>54</v>
      </c>
      <c r="C18" s="22" t="n">
        <f aca="false">'Commission Plan Rules'!$F$9</f>
        <v>0.06</v>
      </c>
    </row>
    <row r="19" customFormat="false" ht="15" hidden="false" customHeight="true" outlineLevel="0" collapsed="false">
      <c r="B19" s="4" t="s">
        <v>55</v>
      </c>
      <c r="C19" s="22" t="n">
        <f aca="false">'Commission Plan Rules'!$F$10</f>
        <v>0.03</v>
      </c>
    </row>
    <row r="22" customFormat="false" ht="15" hidden="false" customHeight="true" outlineLevel="0" collapsed="false">
      <c r="B22" s="23" t="s">
        <v>56</v>
      </c>
    </row>
    <row r="23" customFormat="false" ht="15" hidden="false" customHeight="true" outlineLevel="0" collapsed="false">
      <c r="B23" s="4" t="s">
        <v>57</v>
      </c>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9"/>
    <col collapsed="false" customWidth="true" hidden="false" outlineLevel="0" max="3" min="3" style="1" width="20"/>
    <col collapsed="false" customWidth="true" hidden="false" outlineLevel="0" max="4" min="4" style="1" width="13"/>
    <col collapsed="false" customWidth="true" hidden="false" outlineLevel="0" max="5" min="5" style="1" width="10"/>
    <col collapsed="false" customWidth="true" hidden="false" outlineLevel="0" max="6" min="6" style="1" width="12"/>
    <col collapsed="false" customWidth="true" hidden="false" outlineLevel="0" max="7" min="7" style="1" width="20"/>
    <col collapsed="false" customWidth="true" hidden="false" outlineLevel="0" max="8" min="8" style="1" width="24"/>
  </cols>
  <sheetData>
    <row r="2" customFormat="false" ht="17.25" hidden="false" customHeight="true" outlineLevel="0" collapsed="false">
      <c r="B2" s="13" t="s">
        <v>58</v>
      </c>
    </row>
    <row r="3" customFormat="false" ht="15" hidden="false" customHeight="true" outlineLevel="0" collapsed="false">
      <c r="B3" s="4" t="s">
        <v>59</v>
      </c>
    </row>
    <row r="5" customFormat="false" ht="23.25" hidden="false" customHeight="true" outlineLevel="0" collapsed="false">
      <c r="B5" s="14" t="s">
        <v>60</v>
      </c>
      <c r="C5" s="14" t="s">
        <v>61</v>
      </c>
      <c r="D5" s="14" t="s">
        <v>62</v>
      </c>
      <c r="E5" s="14" t="s">
        <v>63</v>
      </c>
      <c r="F5" s="14" t="s">
        <v>64</v>
      </c>
      <c r="G5" s="14" t="s">
        <v>65</v>
      </c>
      <c r="H5" s="14" t="s">
        <v>66</v>
      </c>
    </row>
    <row r="6" customFormat="false" ht="15" hidden="false" customHeight="true" outlineLevel="0" collapsed="false">
      <c r="B6" s="24" t="s">
        <v>67</v>
      </c>
      <c r="C6" s="24" t="s">
        <v>68</v>
      </c>
      <c r="D6" s="24" t="s">
        <v>69</v>
      </c>
      <c r="E6" s="24" t="s">
        <v>70</v>
      </c>
      <c r="F6" s="25" t="s">
        <v>71</v>
      </c>
      <c r="G6" s="26" t="n">
        <v>160000</v>
      </c>
      <c r="H6" s="26" t="n">
        <v>302000</v>
      </c>
    </row>
    <row r="7" customFormat="false" ht="15" hidden="false" customHeight="true" outlineLevel="0" collapsed="false">
      <c r="B7" s="27" t="s">
        <v>72</v>
      </c>
      <c r="C7" s="27" t="s">
        <v>73</v>
      </c>
      <c r="D7" s="27" t="s">
        <v>69</v>
      </c>
      <c r="E7" s="27" t="s">
        <v>70</v>
      </c>
      <c r="F7" s="28" t="s">
        <v>74</v>
      </c>
      <c r="G7" s="29" t="n">
        <v>135000</v>
      </c>
      <c r="H7" s="29" t="n">
        <v>40000</v>
      </c>
    </row>
    <row r="8" customFormat="false" ht="15" hidden="false" customHeight="true" outlineLevel="0" collapsed="false">
      <c r="B8" s="24" t="s">
        <v>75</v>
      </c>
      <c r="C8" s="24" t="s">
        <v>76</v>
      </c>
      <c r="D8" s="24" t="s">
        <v>69</v>
      </c>
      <c r="E8" s="24" t="s">
        <v>77</v>
      </c>
      <c r="F8" s="25" t="s">
        <v>78</v>
      </c>
      <c r="G8" s="26" t="n">
        <v>137000</v>
      </c>
      <c r="H8" s="26" t="n">
        <v>311000</v>
      </c>
    </row>
    <row r="9" customFormat="false" ht="15" hidden="false" customHeight="true" outlineLevel="0" collapsed="false">
      <c r="B9" s="27" t="s">
        <v>79</v>
      </c>
      <c r="C9" s="27" t="s">
        <v>80</v>
      </c>
      <c r="D9" s="27" t="s">
        <v>69</v>
      </c>
      <c r="E9" s="27" t="s">
        <v>77</v>
      </c>
      <c r="F9" s="28" t="s">
        <v>81</v>
      </c>
      <c r="G9" s="29" t="n">
        <v>155000</v>
      </c>
      <c r="H9" s="29" t="n">
        <v>152000</v>
      </c>
    </row>
    <row r="10" customFormat="false" ht="15" hidden="false" customHeight="true" outlineLevel="0" collapsed="false">
      <c r="B10" s="24" t="s">
        <v>82</v>
      </c>
      <c r="C10" s="24" t="s">
        <v>83</v>
      </c>
      <c r="D10" s="24" t="s">
        <v>69</v>
      </c>
      <c r="E10" s="24" t="s">
        <v>70</v>
      </c>
      <c r="F10" s="25" t="s">
        <v>84</v>
      </c>
      <c r="G10" s="26" t="n">
        <v>152000</v>
      </c>
      <c r="H10" s="26" t="n">
        <v>320000</v>
      </c>
    </row>
    <row r="11" customFormat="false" ht="15" hidden="false" customHeight="true" outlineLevel="0" collapsed="false">
      <c r="B11" s="27" t="s">
        <v>85</v>
      </c>
      <c r="C11" s="27" t="s">
        <v>86</v>
      </c>
      <c r="D11" s="27" t="s">
        <v>69</v>
      </c>
      <c r="E11" s="27" t="s">
        <v>70</v>
      </c>
      <c r="F11" s="28" t="s">
        <v>87</v>
      </c>
      <c r="G11" s="29" t="n">
        <v>159000</v>
      </c>
      <c r="H11" s="29" t="n">
        <v>344000</v>
      </c>
    </row>
    <row r="12" customFormat="false" ht="15" hidden="false" customHeight="true" outlineLevel="0" collapsed="false">
      <c r="B12" s="24" t="s">
        <v>88</v>
      </c>
      <c r="C12" s="24" t="s">
        <v>89</v>
      </c>
      <c r="D12" s="24" t="s">
        <v>90</v>
      </c>
      <c r="E12" s="24" t="s">
        <v>77</v>
      </c>
      <c r="F12" s="25" t="s">
        <v>91</v>
      </c>
      <c r="G12" s="26" t="n">
        <v>320000</v>
      </c>
      <c r="H12" s="26" t="n">
        <v>580000</v>
      </c>
    </row>
    <row r="13" customFormat="false" ht="15" hidden="false" customHeight="true" outlineLevel="0" collapsed="false">
      <c r="B13" s="27" t="s">
        <v>92</v>
      </c>
      <c r="C13" s="27" t="s">
        <v>93</v>
      </c>
      <c r="D13" s="27" t="s">
        <v>90</v>
      </c>
      <c r="E13" s="27" t="s">
        <v>70</v>
      </c>
      <c r="F13" s="28" t="s">
        <v>94</v>
      </c>
      <c r="G13" s="29" t="n">
        <v>275000</v>
      </c>
      <c r="H13" s="29" t="n">
        <v>297000</v>
      </c>
    </row>
    <row r="14" customFormat="false" ht="15" hidden="false" customHeight="true" outlineLevel="0" collapsed="false">
      <c r="B14" s="24" t="s">
        <v>95</v>
      </c>
      <c r="C14" s="24" t="s">
        <v>96</v>
      </c>
      <c r="D14" s="24" t="s">
        <v>90</v>
      </c>
      <c r="E14" s="24" t="s">
        <v>77</v>
      </c>
      <c r="F14" s="25" t="s">
        <v>87</v>
      </c>
      <c r="G14" s="26" t="n">
        <v>287000</v>
      </c>
      <c r="H14" s="26" t="n">
        <v>609000</v>
      </c>
    </row>
    <row r="15" customFormat="false" ht="15" hidden="false" customHeight="true" outlineLevel="0" collapsed="false">
      <c r="B15" s="27" t="s">
        <v>97</v>
      </c>
      <c r="C15" s="27" t="s">
        <v>98</v>
      </c>
      <c r="D15" s="27" t="s">
        <v>90</v>
      </c>
      <c r="E15" s="27" t="s">
        <v>99</v>
      </c>
      <c r="F15" s="28" t="s">
        <v>100</v>
      </c>
      <c r="G15" s="29" t="n">
        <v>273000</v>
      </c>
      <c r="H15" s="29" t="n">
        <v>695000</v>
      </c>
    </row>
    <row r="16" customFormat="false" ht="15" hidden="false" customHeight="true" outlineLevel="0" collapsed="false">
      <c r="B16" s="24" t="s">
        <v>101</v>
      </c>
      <c r="C16" s="24" t="s">
        <v>102</v>
      </c>
      <c r="D16" s="24" t="s">
        <v>90</v>
      </c>
      <c r="E16" s="24" t="s">
        <v>70</v>
      </c>
      <c r="F16" s="25" t="s">
        <v>103</v>
      </c>
      <c r="G16" s="26" t="n">
        <v>295000</v>
      </c>
      <c r="H16" s="26" t="n">
        <v>321000</v>
      </c>
    </row>
    <row r="17" customFormat="false" ht="15" hidden="false" customHeight="true" outlineLevel="0" collapsed="false">
      <c r="B17" s="27" t="s">
        <v>104</v>
      </c>
      <c r="C17" s="27" t="s">
        <v>105</v>
      </c>
      <c r="D17" s="27" t="s">
        <v>90</v>
      </c>
      <c r="E17" s="27" t="s">
        <v>77</v>
      </c>
      <c r="F17" s="28" t="s">
        <v>106</v>
      </c>
      <c r="G17" s="29" t="n">
        <v>324000</v>
      </c>
      <c r="H17" s="29" t="n">
        <v>262000</v>
      </c>
    </row>
    <row r="18" customFormat="false" ht="15" hidden="false" customHeight="true" outlineLevel="0" collapsed="false">
      <c r="B18" s="24" t="s">
        <v>107</v>
      </c>
      <c r="C18" s="24" t="s">
        <v>108</v>
      </c>
      <c r="D18" s="24" t="s">
        <v>109</v>
      </c>
      <c r="E18" s="24" t="s">
        <v>99</v>
      </c>
      <c r="F18" s="25" t="s">
        <v>110</v>
      </c>
      <c r="G18" s="26" t="n">
        <v>626000</v>
      </c>
      <c r="H18" s="26" t="n">
        <v>1133000</v>
      </c>
    </row>
    <row r="19" customFormat="false" ht="15" hidden="false" customHeight="true" outlineLevel="0" collapsed="false">
      <c r="B19" s="27" t="s">
        <v>111</v>
      </c>
      <c r="C19" s="27" t="s">
        <v>112</v>
      </c>
      <c r="D19" s="27" t="s">
        <v>109</v>
      </c>
      <c r="E19" s="27" t="s">
        <v>70</v>
      </c>
      <c r="F19" s="28" t="s">
        <v>113</v>
      </c>
      <c r="G19" s="29" t="n">
        <v>641000</v>
      </c>
      <c r="H19" s="29" t="n">
        <v>817000</v>
      </c>
    </row>
    <row r="20" customFormat="false" ht="15" hidden="false" customHeight="true" outlineLevel="0" collapsed="false">
      <c r="B20" s="24" t="s">
        <v>114</v>
      </c>
      <c r="C20" s="24" t="s">
        <v>115</v>
      </c>
      <c r="D20" s="24" t="s">
        <v>109</v>
      </c>
      <c r="E20" s="24" t="s">
        <v>99</v>
      </c>
      <c r="F20" s="25" t="s">
        <v>87</v>
      </c>
      <c r="G20" s="26" t="n">
        <v>594000</v>
      </c>
      <c r="H20" s="26" t="n">
        <v>1176000</v>
      </c>
    </row>
    <row r="21" customFormat="false" ht="15" hidden="false" customHeight="true" outlineLevel="0" collapsed="false">
      <c r="B21" s="30"/>
      <c r="C21" s="31" t="s">
        <v>116</v>
      </c>
      <c r="D21" s="30"/>
      <c r="E21" s="30"/>
      <c r="F21" s="30"/>
      <c r="G21" s="32" t="n">
        <f aca="false">SUM(G6:G20)</f>
        <v>4533000</v>
      </c>
      <c r="H21" s="32" t="n">
        <f aca="false">SUM(H6:H20)</f>
        <v>7359000</v>
      </c>
    </row>
  </sheetData>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S27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8"/>
    <col collapsed="false" customWidth="true" hidden="false" outlineLevel="0" max="3" min="3" style="1" width="16"/>
    <col collapsed="false" customWidth="true" hidden="false" outlineLevel="0" max="4" min="4" style="1" width="12"/>
    <col collapsed="false" customWidth="true" hidden="false" outlineLevel="0" max="5" min="5" style="1" width="11"/>
    <col collapsed="false" customWidth="true" hidden="false" outlineLevel="0" max="6" min="6" style="1" width="9"/>
    <col collapsed="false" customWidth="true" hidden="false" outlineLevel="0" max="7" min="7" style="1" width="8"/>
    <col collapsed="false" customWidth="true" hidden="false" outlineLevel="0" max="8" min="8" style="1" width="13"/>
    <col collapsed="false" customWidth="true" hidden="false" outlineLevel="0" max="9" min="9" style="1" width="22"/>
    <col collapsed="false" customWidth="true" hidden="false" outlineLevel="0" max="10" min="10" style="1" width="16"/>
    <col collapsed="false" customWidth="true" hidden="false" outlineLevel="0" max="12" min="11" style="1" width="13"/>
    <col collapsed="false" customWidth="true" hidden="false" outlineLevel="0" max="13" min="13" style="1" width="15"/>
    <col collapsed="false" customWidth="true" hidden="false" outlineLevel="0" max="17" min="14" style="1" width="11"/>
    <col collapsed="false" customWidth="true" hidden="false" outlineLevel="0" max="18" min="18" style="1" width="15"/>
    <col collapsed="false" customWidth="true" hidden="false" outlineLevel="0" max="19" min="19" style="1" width="14"/>
  </cols>
  <sheetData>
    <row r="1" customFormat="false" ht="17.25" hidden="false" customHeight="true" outlineLevel="0" collapsed="false">
      <c r="A1" s="13" t="s">
        <v>117</v>
      </c>
    </row>
    <row r="2" customFormat="false" ht="15" hidden="false" customHeight="true" outlineLevel="0" collapsed="false">
      <c r="A2" s="33" t="s">
        <v>118</v>
      </c>
      <c r="B2" s="33"/>
      <c r="C2" s="33"/>
      <c r="D2" s="33"/>
      <c r="E2" s="33"/>
      <c r="F2" s="33"/>
      <c r="G2" s="33"/>
      <c r="H2" s="33"/>
      <c r="I2" s="33"/>
      <c r="J2" s="33"/>
      <c r="K2" s="33"/>
      <c r="L2" s="33"/>
      <c r="M2" s="33"/>
      <c r="N2" s="33"/>
      <c r="O2" s="33"/>
      <c r="P2" s="33"/>
      <c r="Q2" s="33"/>
      <c r="R2" s="33"/>
      <c r="S2" s="33"/>
    </row>
    <row r="4" customFormat="false" ht="23.25" hidden="false" customHeight="true" outlineLevel="0" collapsed="false">
      <c r="A4" s="14" t="s">
        <v>119</v>
      </c>
      <c r="B4" s="14" t="s">
        <v>60</v>
      </c>
      <c r="C4" s="14" t="s">
        <v>61</v>
      </c>
      <c r="D4" s="14" t="s">
        <v>62</v>
      </c>
      <c r="E4" s="14" t="s">
        <v>120</v>
      </c>
      <c r="F4" s="14" t="s">
        <v>121</v>
      </c>
      <c r="G4" s="14" t="s">
        <v>122</v>
      </c>
      <c r="H4" s="14" t="s">
        <v>123</v>
      </c>
      <c r="I4" s="14" t="s">
        <v>124</v>
      </c>
      <c r="J4" s="14" t="s">
        <v>125</v>
      </c>
      <c r="K4" s="14" t="s">
        <v>126</v>
      </c>
      <c r="L4" s="14" t="s">
        <v>127</v>
      </c>
      <c r="M4" s="14" t="s">
        <v>128</v>
      </c>
      <c r="N4" s="14" t="s">
        <v>129</v>
      </c>
      <c r="O4" s="14" t="s">
        <v>130</v>
      </c>
      <c r="P4" s="14" t="s">
        <v>131</v>
      </c>
      <c r="Q4" s="14" t="s">
        <v>132</v>
      </c>
      <c r="R4" s="14" t="s">
        <v>133</v>
      </c>
      <c r="S4" s="14" t="s">
        <v>134</v>
      </c>
    </row>
    <row r="5" customFormat="false" ht="15" hidden="false" customHeight="true" outlineLevel="0" collapsed="false">
      <c r="A5" s="24" t="s">
        <v>135</v>
      </c>
      <c r="B5" s="24" t="s">
        <v>72</v>
      </c>
      <c r="C5" s="34" t="str">
        <f aca="false">IFERROR(INDEX('Sales Roster &amp; Quotas'!$C$6:$C$20,MATCH($B5,'Sales Roster &amp; Quotas'!$B$6:$B$20,0)),"")</f>
        <v>James Okafor</v>
      </c>
      <c r="D5" s="34" t="str">
        <f aca="false">IFERROR(INDEX('Sales Roster &amp; Quotas'!$D$6:$D$20,MATCH($B5,'Sales Roster &amp; Quotas'!$B$6:$B$20,0)),"")</f>
        <v>SMB</v>
      </c>
      <c r="E5" s="25" t="n">
        <v>46024</v>
      </c>
      <c r="F5" s="35" t="str">
        <f aca="false">TEXT(E5,"yyyy-mm")</f>
        <v>2026-01</v>
      </c>
      <c r="G5" s="35" t="str">
        <f aca="false">IF(MONTH(E5)&lt;=3,"Q1","Q2")</f>
        <v>Q1</v>
      </c>
      <c r="H5" s="24" t="s">
        <v>48</v>
      </c>
      <c r="I5" s="24" t="s">
        <v>136</v>
      </c>
      <c r="J5" s="24" t="s">
        <v>137</v>
      </c>
      <c r="K5" s="26" t="n">
        <v>8500</v>
      </c>
      <c r="L5" s="36" t="n">
        <f aca="false">IFERROR(INDEX('Sales Roster &amp; Quotas'!$G$6:$G$20,MATCH($B5,'Sales Roster &amp; Quotas'!$B$6:$B$20,0)),0)</f>
        <v>135000</v>
      </c>
      <c r="M5" s="37" t="n">
        <f aca="false">SUMIFS($K$5:$K$274,$B$5:$B$274,$B5,$G$5:$G$274,$G5,$H$5:$H$274,"New Business")</f>
        <v>170500</v>
      </c>
      <c r="N5" s="38" t="n">
        <f aca="false">IFERROR(M5/L5,0)</f>
        <v>1.26296296296296</v>
      </c>
      <c r="O5" s="37" t="n">
        <f aca="false">MIN(M5,L5)</f>
        <v>135000</v>
      </c>
      <c r="P5" s="37" t="n">
        <f aca="false">MAX(MIN(M5,L5*1.25)-L5,0)</f>
        <v>33750</v>
      </c>
      <c r="Q5" s="37" t="n">
        <f aca="false">MAX(M5-L5*1.25,0)</f>
        <v>1750</v>
      </c>
      <c r="R5" s="36" t="n">
        <f aca="false">O5*'Commission Plan Rules'!$F$6+P5*'Commission Plan Rules'!$F$7+Q5*'Commission Plan Rules'!$F$8</f>
        <v>14385</v>
      </c>
      <c r="S5" s="39" t="n">
        <f aca="false">IF(H5="New Business",IFERROR((K5/M5)*R5,0),IF(H5="Upsell",K5*'Commission Plan Rules'!$F$9,IF(H5="Renewal",K5*'Commission Plan Rules'!$F$10,0)))</f>
        <v>255</v>
      </c>
    </row>
    <row r="6" customFormat="false" ht="15" hidden="false" customHeight="true" outlineLevel="0" collapsed="false">
      <c r="A6" s="27" t="s">
        <v>138</v>
      </c>
      <c r="B6" s="27" t="s">
        <v>88</v>
      </c>
      <c r="C6" s="40" t="str">
        <f aca="false">IFERROR(INDEX('Sales Roster &amp; Quotas'!$C$6:$C$20,MATCH($B6,'Sales Roster &amp; Quotas'!$B$6:$B$20,0)),"")</f>
        <v>Elena Kowalski</v>
      </c>
      <c r="D6" s="40" t="str">
        <f aca="false">IFERROR(INDEX('Sales Roster &amp; Quotas'!$D$6:$D$20,MATCH($B6,'Sales Roster &amp; Quotas'!$B$6:$B$20,0)),"")</f>
        <v>Mid-Market</v>
      </c>
      <c r="E6" s="28" t="n">
        <v>46025</v>
      </c>
      <c r="F6" s="41" t="str">
        <f aca="false">TEXT(E6,"yyyy-mm")</f>
        <v>2026-01</v>
      </c>
      <c r="G6" s="41" t="str">
        <f aca="false">IF(MONTH(E6)&lt;=3,"Q1","Q2")</f>
        <v>Q1</v>
      </c>
      <c r="H6" s="27" t="s">
        <v>48</v>
      </c>
      <c r="I6" s="27" t="s">
        <v>139</v>
      </c>
      <c r="J6" s="27" t="s">
        <v>137</v>
      </c>
      <c r="K6" s="29" t="n">
        <v>140000</v>
      </c>
      <c r="L6" s="42" t="n">
        <f aca="false">IFERROR(INDEX('Sales Roster &amp; Quotas'!$G$6:$G$20,MATCH($B6,'Sales Roster &amp; Quotas'!$B$6:$B$20,0)),0)</f>
        <v>320000</v>
      </c>
      <c r="M6" s="43" t="n">
        <f aca="false">SUMIFS($K$5:$K$274,$B$5:$B$274,$B6,$G$5:$G$274,$G6,$H$5:$H$274,"New Business")</f>
        <v>259000</v>
      </c>
      <c r="N6" s="44" t="n">
        <f aca="false">IFERROR(M6/L6,0)</f>
        <v>0.809375</v>
      </c>
      <c r="O6" s="43" t="n">
        <f aca="false">MIN(M6,L6)</f>
        <v>259000</v>
      </c>
      <c r="P6" s="43" t="n">
        <f aca="false">MAX(MIN(M6,L6*1.25)-L6,0)</f>
        <v>0</v>
      </c>
      <c r="Q6" s="43" t="n">
        <f aca="false">MAX(M6-L6*1.25,0)</f>
        <v>0</v>
      </c>
      <c r="R6" s="42" t="n">
        <f aca="false">O6*'Commission Plan Rules'!$F$6+P6*'Commission Plan Rules'!$F$7+Q6*'Commission Plan Rules'!$F$8</f>
        <v>20720</v>
      </c>
      <c r="S6" s="45" t="n">
        <f aca="false">IF(H6="New Business",IFERROR((K6/M6)*R6,0),IF(H6="Upsell",K6*'Commission Plan Rules'!$F$9,IF(H6="Renewal",K6*'Commission Plan Rules'!$F$10,0)))</f>
        <v>4200</v>
      </c>
    </row>
    <row r="7" customFormat="false" ht="15" hidden="false" customHeight="true" outlineLevel="0" collapsed="false">
      <c r="A7" s="24" t="s">
        <v>140</v>
      </c>
      <c r="B7" s="24" t="s">
        <v>104</v>
      </c>
      <c r="C7" s="34" t="str">
        <f aca="false">IFERROR(INDEX('Sales Roster &amp; Quotas'!$C$6:$C$20,MATCH($B7,'Sales Roster &amp; Quotas'!$B$6:$B$20,0)),"")</f>
        <v>Omar Fischer</v>
      </c>
      <c r="D7" s="34" t="str">
        <f aca="false">IFERROR(INDEX('Sales Roster &amp; Quotas'!$D$6:$D$20,MATCH($B7,'Sales Roster &amp; Quotas'!$B$6:$B$20,0)),"")</f>
        <v>Mid-Market</v>
      </c>
      <c r="E7" s="25" t="n">
        <v>46026</v>
      </c>
      <c r="F7" s="35" t="str">
        <f aca="false">TEXT(E7,"yyyy-mm")</f>
        <v>2026-01</v>
      </c>
      <c r="G7" s="35" t="str">
        <f aca="false">IF(MONTH(E7)&lt;=3,"Q1","Q2")</f>
        <v>Q1</v>
      </c>
      <c r="H7" s="24" t="s">
        <v>45</v>
      </c>
      <c r="I7" s="24" t="s">
        <v>141</v>
      </c>
      <c r="J7" s="24" t="s">
        <v>142</v>
      </c>
      <c r="K7" s="26" t="n">
        <v>25000</v>
      </c>
      <c r="L7" s="36" t="n">
        <f aca="false">IFERROR(INDEX('Sales Roster &amp; Quotas'!$G$6:$G$20,MATCH($B7,'Sales Roster &amp; Quotas'!$B$6:$B$20,0)),0)</f>
        <v>324000</v>
      </c>
      <c r="M7" s="37" t="n">
        <f aca="false">SUMIFS($K$5:$K$274,$B$5:$B$274,$B7,$G$5:$G$274,$G7,$H$5:$H$274,"New Business")</f>
        <v>457000</v>
      </c>
      <c r="N7" s="38" t="n">
        <f aca="false">IFERROR(M7/L7,0)</f>
        <v>1.41049382716049</v>
      </c>
      <c r="O7" s="37" t="n">
        <f aca="false">MIN(M7,L7)</f>
        <v>324000</v>
      </c>
      <c r="P7" s="37" t="n">
        <f aca="false">MAX(MIN(M7,L7*1.25)-L7,0)</f>
        <v>81000</v>
      </c>
      <c r="Q7" s="37" t="n">
        <f aca="false">MAX(M7-L7*1.25,0)</f>
        <v>52000</v>
      </c>
      <c r="R7" s="36" t="n">
        <f aca="false">O7*'Commission Plan Rules'!$F$6+P7*'Commission Plan Rules'!$F$7+Q7*'Commission Plan Rules'!$F$8</f>
        <v>40260</v>
      </c>
      <c r="S7" s="39" t="n">
        <f aca="false">IF(H7="New Business",IFERROR((K7/M7)*R7,0),IF(H7="Upsell",K7*'Commission Plan Rules'!$F$9,IF(H7="Renewal",K7*'Commission Plan Rules'!$F$10,0)))</f>
        <v>1500</v>
      </c>
    </row>
    <row r="8" customFormat="false" ht="15" hidden="false" customHeight="true" outlineLevel="0" collapsed="false">
      <c r="A8" s="27" t="s">
        <v>143</v>
      </c>
      <c r="B8" s="27" t="s">
        <v>79</v>
      </c>
      <c r="C8" s="40" t="str">
        <f aca="false">IFERROR(INDEX('Sales Roster &amp; Quotas'!$C$6:$C$20,MATCH($B8,'Sales Roster &amp; Quotas'!$B$6:$B$20,0)),"")</f>
        <v>David Nguyen</v>
      </c>
      <c r="D8" s="40" t="str">
        <f aca="false">IFERROR(INDEX('Sales Roster &amp; Quotas'!$D$6:$D$20,MATCH($B8,'Sales Roster &amp; Quotas'!$B$6:$B$20,0)),"")</f>
        <v>SMB</v>
      </c>
      <c r="E8" s="28" t="n">
        <v>46027</v>
      </c>
      <c r="F8" s="41" t="str">
        <f aca="false">TEXT(E8,"yyyy-mm")</f>
        <v>2026-01</v>
      </c>
      <c r="G8" s="41" t="str">
        <f aca="false">IF(MONTH(E8)&lt;=3,"Q1","Q2")</f>
        <v>Q1</v>
      </c>
      <c r="H8" s="27" t="s">
        <v>45</v>
      </c>
      <c r="I8" s="27" t="s">
        <v>144</v>
      </c>
      <c r="J8" s="27" t="s">
        <v>137</v>
      </c>
      <c r="K8" s="29" t="n">
        <v>12500</v>
      </c>
      <c r="L8" s="42" t="n">
        <f aca="false">IFERROR(INDEX('Sales Roster &amp; Quotas'!$G$6:$G$20,MATCH($B8,'Sales Roster &amp; Quotas'!$B$6:$B$20,0)),0)</f>
        <v>155000</v>
      </c>
      <c r="M8" s="43" t="n">
        <f aca="false">SUMIFS($K$5:$K$274,$B$5:$B$274,$B8,$G$5:$G$274,$G8,$H$5:$H$274,"New Business")</f>
        <v>196500</v>
      </c>
      <c r="N8" s="44" t="n">
        <f aca="false">IFERROR(M8/L8,0)</f>
        <v>1.26774193548387</v>
      </c>
      <c r="O8" s="43" t="n">
        <f aca="false">MIN(M8,L8)</f>
        <v>155000</v>
      </c>
      <c r="P8" s="43" t="n">
        <f aca="false">MAX(MIN(M8,L8*1.25)-L8,0)</f>
        <v>38750</v>
      </c>
      <c r="Q8" s="43" t="n">
        <f aca="false">MAX(M8-L8*1.25,0)</f>
        <v>2750</v>
      </c>
      <c r="R8" s="42" t="n">
        <f aca="false">O8*'Commission Plan Rules'!$F$6+P8*'Commission Plan Rules'!$F$7+Q8*'Commission Plan Rules'!$F$8</f>
        <v>16605</v>
      </c>
      <c r="S8" s="45" t="n">
        <f aca="false">IF(H8="New Business",IFERROR((K8/M8)*R8,0),IF(H8="Upsell",K8*'Commission Plan Rules'!$F$9,IF(H8="Renewal",K8*'Commission Plan Rules'!$F$10,0)))</f>
        <v>750</v>
      </c>
    </row>
    <row r="9" customFormat="false" ht="15" hidden="false" customHeight="true" outlineLevel="0" collapsed="false">
      <c r="A9" s="24" t="s">
        <v>145</v>
      </c>
      <c r="B9" s="24" t="s">
        <v>97</v>
      </c>
      <c r="C9" s="34" t="str">
        <f aca="false">IFERROR(INDEX('Sales Roster &amp; Quotas'!$C$6:$C$20,MATCH($B9,'Sales Roster &amp; Quotas'!$B$6:$B$20,0)),"")</f>
        <v>Ryan Sullivan</v>
      </c>
      <c r="D9" s="34" t="str">
        <f aca="false">IFERROR(INDEX('Sales Roster &amp; Quotas'!$D$6:$D$20,MATCH($B9,'Sales Roster &amp; Quotas'!$B$6:$B$20,0)),"")</f>
        <v>Mid-Market</v>
      </c>
      <c r="E9" s="25" t="n">
        <v>46027</v>
      </c>
      <c r="F9" s="35" t="str">
        <f aca="false">TEXT(E9,"yyyy-mm")</f>
        <v>2026-01</v>
      </c>
      <c r="G9" s="35" t="str">
        <f aca="false">IF(MONTH(E9)&lt;=3,"Q1","Q2")</f>
        <v>Q1</v>
      </c>
      <c r="H9" s="24" t="s">
        <v>48</v>
      </c>
      <c r="I9" s="24" t="s">
        <v>146</v>
      </c>
      <c r="J9" s="24" t="s">
        <v>137</v>
      </c>
      <c r="K9" s="26" t="n">
        <v>9500</v>
      </c>
      <c r="L9" s="36" t="n">
        <f aca="false">IFERROR(INDEX('Sales Roster &amp; Quotas'!$G$6:$G$20,MATCH($B9,'Sales Roster &amp; Quotas'!$B$6:$B$20,0)),0)</f>
        <v>273000</v>
      </c>
      <c r="M9" s="37" t="n">
        <f aca="false">SUMIFS($K$5:$K$274,$B$5:$B$274,$B9,$G$5:$G$274,$G9,$H$5:$H$274,"New Business")</f>
        <v>271000</v>
      </c>
      <c r="N9" s="38" t="n">
        <f aca="false">IFERROR(M9/L9,0)</f>
        <v>0.992673992673993</v>
      </c>
      <c r="O9" s="37" t="n">
        <f aca="false">MIN(M9,L9)</f>
        <v>271000</v>
      </c>
      <c r="P9" s="37" t="n">
        <f aca="false">MAX(MIN(M9,L9*1.25)-L9,0)</f>
        <v>0</v>
      </c>
      <c r="Q9" s="37" t="n">
        <f aca="false">MAX(M9-L9*1.25,0)</f>
        <v>0</v>
      </c>
      <c r="R9" s="36" t="n">
        <f aca="false">O9*'Commission Plan Rules'!$F$6+P9*'Commission Plan Rules'!$F$7+Q9*'Commission Plan Rules'!$F$8</f>
        <v>21680</v>
      </c>
      <c r="S9" s="39" t="n">
        <f aca="false">IF(H9="New Business",IFERROR((K9/M9)*R9,0),IF(H9="Upsell",K9*'Commission Plan Rules'!$F$9,IF(H9="Renewal",K9*'Commission Plan Rules'!$F$10,0)))</f>
        <v>285</v>
      </c>
    </row>
    <row r="10" customFormat="false" ht="15" hidden="false" customHeight="true" outlineLevel="0" collapsed="false">
      <c r="A10" s="27" t="s">
        <v>147</v>
      </c>
      <c r="B10" s="27" t="s">
        <v>67</v>
      </c>
      <c r="C10" s="40" t="str">
        <f aca="false">IFERROR(INDEX('Sales Roster &amp; Quotas'!$C$6:$C$20,MATCH($B10,'Sales Roster &amp; Quotas'!$B$6:$B$20,0)),"")</f>
        <v>Maria Chen</v>
      </c>
      <c r="D10" s="40" t="str">
        <f aca="false">IFERROR(INDEX('Sales Roster &amp; Quotas'!$D$6:$D$20,MATCH($B10,'Sales Roster &amp; Quotas'!$B$6:$B$20,0)),"")</f>
        <v>SMB</v>
      </c>
      <c r="E10" s="28" t="n">
        <v>46027</v>
      </c>
      <c r="F10" s="41" t="str">
        <f aca="false">TEXT(E10,"yyyy-mm")</f>
        <v>2026-01</v>
      </c>
      <c r="G10" s="41" t="str">
        <f aca="false">IF(MONTH(E10)&lt;=3,"Q1","Q2")</f>
        <v>Q1</v>
      </c>
      <c r="H10" s="27" t="s">
        <v>40</v>
      </c>
      <c r="I10" s="27" t="s">
        <v>139</v>
      </c>
      <c r="J10" s="27" t="s">
        <v>142</v>
      </c>
      <c r="K10" s="29" t="n">
        <v>15500</v>
      </c>
      <c r="L10" s="42" t="n">
        <f aca="false">IFERROR(INDEX('Sales Roster &amp; Quotas'!$G$6:$G$20,MATCH($B10,'Sales Roster &amp; Quotas'!$B$6:$B$20,0)),0)</f>
        <v>160000</v>
      </c>
      <c r="M10" s="43" t="n">
        <f aca="false">SUMIFS($K$5:$K$274,$B$5:$B$274,$B10,$G$5:$G$274,$G10,$H$5:$H$274,"New Business")</f>
        <v>142000</v>
      </c>
      <c r="N10" s="44" t="n">
        <f aca="false">IFERROR(M10/L10,0)</f>
        <v>0.8875</v>
      </c>
      <c r="O10" s="43" t="n">
        <f aca="false">MIN(M10,L10)</f>
        <v>142000</v>
      </c>
      <c r="P10" s="43" t="n">
        <f aca="false">MAX(MIN(M10,L10*1.25)-L10,0)</f>
        <v>0</v>
      </c>
      <c r="Q10" s="43" t="n">
        <f aca="false">MAX(M10-L10*1.25,0)</f>
        <v>0</v>
      </c>
      <c r="R10" s="42" t="n">
        <f aca="false">O10*'Commission Plan Rules'!$F$6+P10*'Commission Plan Rules'!$F$7+Q10*'Commission Plan Rules'!$F$8</f>
        <v>11360</v>
      </c>
      <c r="S10" s="45" t="n">
        <f aca="false">IF(H10="New Business",IFERROR((K10/M10)*R10,0),IF(H10="Upsell",K10*'Commission Plan Rules'!$F$9,IF(H10="Renewal",K10*'Commission Plan Rules'!$F$10,0)))</f>
        <v>1240</v>
      </c>
    </row>
    <row r="11" customFormat="false" ht="15" hidden="false" customHeight="true" outlineLevel="0" collapsed="false">
      <c r="A11" s="24" t="s">
        <v>148</v>
      </c>
      <c r="B11" s="24" t="s">
        <v>92</v>
      </c>
      <c r="C11" s="34" t="str">
        <f aca="false">IFERROR(INDEX('Sales Roster &amp; Quotas'!$C$6:$C$20,MATCH($B11,'Sales Roster &amp; Quotas'!$B$6:$B$20,0)),"")</f>
        <v>Tyler Alvarez</v>
      </c>
      <c r="D11" s="34" t="str">
        <f aca="false">IFERROR(INDEX('Sales Roster &amp; Quotas'!$D$6:$D$20,MATCH($B11,'Sales Roster &amp; Quotas'!$B$6:$B$20,0)),"")</f>
        <v>Mid-Market</v>
      </c>
      <c r="E11" s="25" t="n">
        <v>46027</v>
      </c>
      <c r="F11" s="35" t="str">
        <f aca="false">TEXT(E11,"yyyy-mm")</f>
        <v>2026-01</v>
      </c>
      <c r="G11" s="35" t="str">
        <f aca="false">IF(MONTH(E11)&lt;=3,"Q1","Q2")</f>
        <v>Q1</v>
      </c>
      <c r="H11" s="24" t="s">
        <v>45</v>
      </c>
      <c r="I11" s="24" t="s">
        <v>149</v>
      </c>
      <c r="J11" s="24" t="s">
        <v>137</v>
      </c>
      <c r="K11" s="26" t="n">
        <v>33500</v>
      </c>
      <c r="L11" s="36" t="n">
        <f aca="false">IFERROR(INDEX('Sales Roster &amp; Quotas'!$G$6:$G$20,MATCH($B11,'Sales Roster &amp; Quotas'!$B$6:$B$20,0)),0)</f>
        <v>275000</v>
      </c>
      <c r="M11" s="37" t="n">
        <f aca="false">SUMIFS($K$5:$K$274,$B$5:$B$274,$B11,$G$5:$G$274,$G11,$H$5:$H$274,"New Business")</f>
        <v>260500</v>
      </c>
      <c r="N11" s="38" t="n">
        <f aca="false">IFERROR(M11/L11,0)</f>
        <v>0.947272727272727</v>
      </c>
      <c r="O11" s="37" t="n">
        <f aca="false">MIN(M11,L11)</f>
        <v>260500</v>
      </c>
      <c r="P11" s="37" t="n">
        <f aca="false">MAX(MIN(M11,L11*1.25)-L11,0)</f>
        <v>0</v>
      </c>
      <c r="Q11" s="37" t="n">
        <f aca="false">MAX(M11-L11*1.25,0)</f>
        <v>0</v>
      </c>
      <c r="R11" s="36" t="n">
        <f aca="false">O11*'Commission Plan Rules'!$F$6+P11*'Commission Plan Rules'!$F$7+Q11*'Commission Plan Rules'!$F$8</f>
        <v>20840</v>
      </c>
      <c r="S11" s="39" t="n">
        <f aca="false">IF(H11="New Business",IFERROR((K11/M11)*R11,0),IF(H11="Upsell",K11*'Commission Plan Rules'!$F$9,IF(H11="Renewal",K11*'Commission Plan Rules'!$F$10,0)))</f>
        <v>2010</v>
      </c>
    </row>
    <row r="12" customFormat="false" ht="15" hidden="false" customHeight="true" outlineLevel="0" collapsed="false">
      <c r="A12" s="27" t="s">
        <v>150</v>
      </c>
      <c r="B12" s="27" t="s">
        <v>101</v>
      </c>
      <c r="C12" s="40" t="str">
        <f aca="false">IFERROR(INDEX('Sales Roster &amp; Quotas'!$C$6:$C$20,MATCH($B12,'Sales Roster &amp; Quotas'!$B$6:$B$20,0)),"")</f>
        <v>Natalie Reyes</v>
      </c>
      <c r="D12" s="40" t="str">
        <f aca="false">IFERROR(INDEX('Sales Roster &amp; Quotas'!$D$6:$D$20,MATCH($B12,'Sales Roster &amp; Quotas'!$B$6:$B$20,0)),"")</f>
        <v>Mid-Market</v>
      </c>
      <c r="E12" s="28" t="n">
        <v>46027</v>
      </c>
      <c r="F12" s="41" t="str">
        <f aca="false">TEXT(E12,"yyyy-mm")</f>
        <v>2026-01</v>
      </c>
      <c r="G12" s="41" t="str">
        <f aca="false">IF(MONTH(E12)&lt;=3,"Q1","Q2")</f>
        <v>Q1</v>
      </c>
      <c r="H12" s="27" t="s">
        <v>45</v>
      </c>
      <c r="I12" s="27" t="s">
        <v>151</v>
      </c>
      <c r="J12" s="27" t="s">
        <v>152</v>
      </c>
      <c r="K12" s="29" t="n">
        <v>12500</v>
      </c>
      <c r="L12" s="42" t="n">
        <f aca="false">IFERROR(INDEX('Sales Roster &amp; Quotas'!$G$6:$G$20,MATCH($B12,'Sales Roster &amp; Quotas'!$B$6:$B$20,0)),0)</f>
        <v>295000</v>
      </c>
      <c r="M12" s="43" t="n">
        <f aca="false">SUMIFS($K$5:$K$274,$B$5:$B$274,$B12,$G$5:$G$274,$G12,$H$5:$H$274,"New Business")</f>
        <v>267000</v>
      </c>
      <c r="N12" s="44" t="n">
        <f aca="false">IFERROR(M12/L12,0)</f>
        <v>0.905084745762712</v>
      </c>
      <c r="O12" s="43" t="n">
        <f aca="false">MIN(M12,L12)</f>
        <v>267000</v>
      </c>
      <c r="P12" s="43" t="n">
        <f aca="false">MAX(MIN(M12,L12*1.25)-L12,0)</f>
        <v>0</v>
      </c>
      <c r="Q12" s="43" t="n">
        <f aca="false">MAX(M12-L12*1.25,0)</f>
        <v>0</v>
      </c>
      <c r="R12" s="42" t="n">
        <f aca="false">O12*'Commission Plan Rules'!$F$6+P12*'Commission Plan Rules'!$F$7+Q12*'Commission Plan Rules'!$F$8</f>
        <v>21360</v>
      </c>
      <c r="S12" s="45" t="n">
        <f aca="false">IF(H12="New Business",IFERROR((K12/M12)*R12,0),IF(H12="Upsell",K12*'Commission Plan Rules'!$F$9,IF(H12="Renewal",K12*'Commission Plan Rules'!$F$10,0)))</f>
        <v>750</v>
      </c>
    </row>
    <row r="13" customFormat="false" ht="15" hidden="false" customHeight="true" outlineLevel="0" collapsed="false">
      <c r="A13" s="24" t="s">
        <v>153</v>
      </c>
      <c r="B13" s="24" t="s">
        <v>97</v>
      </c>
      <c r="C13" s="34" t="str">
        <f aca="false">IFERROR(INDEX('Sales Roster &amp; Quotas'!$C$6:$C$20,MATCH($B13,'Sales Roster &amp; Quotas'!$B$6:$B$20,0)),"")</f>
        <v>Ryan Sullivan</v>
      </c>
      <c r="D13" s="34" t="str">
        <f aca="false">IFERROR(INDEX('Sales Roster &amp; Quotas'!$D$6:$D$20,MATCH($B13,'Sales Roster &amp; Quotas'!$B$6:$B$20,0)),"")</f>
        <v>Mid-Market</v>
      </c>
      <c r="E13" s="25" t="n">
        <v>46028</v>
      </c>
      <c r="F13" s="35" t="str">
        <f aca="false">TEXT(E13,"yyyy-mm")</f>
        <v>2026-01</v>
      </c>
      <c r="G13" s="35" t="str">
        <f aca="false">IF(MONTH(E13)&lt;=3,"Q1","Q2")</f>
        <v>Q1</v>
      </c>
      <c r="H13" s="24" t="s">
        <v>48</v>
      </c>
      <c r="I13" s="24" t="s">
        <v>154</v>
      </c>
      <c r="J13" s="24" t="s">
        <v>137</v>
      </c>
      <c r="K13" s="26" t="n">
        <v>2000</v>
      </c>
      <c r="L13" s="36" t="n">
        <f aca="false">IFERROR(INDEX('Sales Roster &amp; Quotas'!$G$6:$G$20,MATCH($B13,'Sales Roster &amp; Quotas'!$B$6:$B$20,0)),0)</f>
        <v>273000</v>
      </c>
      <c r="M13" s="37" t="n">
        <f aca="false">SUMIFS($K$5:$K$274,$B$5:$B$274,$B13,$G$5:$G$274,$G13,$H$5:$H$274,"New Business")</f>
        <v>271000</v>
      </c>
      <c r="N13" s="38" t="n">
        <f aca="false">IFERROR(M13/L13,0)</f>
        <v>0.992673992673993</v>
      </c>
      <c r="O13" s="37" t="n">
        <f aca="false">MIN(M13,L13)</f>
        <v>271000</v>
      </c>
      <c r="P13" s="37" t="n">
        <f aca="false">MAX(MIN(M13,L13*1.25)-L13,0)</f>
        <v>0</v>
      </c>
      <c r="Q13" s="37" t="n">
        <f aca="false">MAX(M13-L13*1.25,0)</f>
        <v>0</v>
      </c>
      <c r="R13" s="36" t="n">
        <f aca="false">O13*'Commission Plan Rules'!$F$6+P13*'Commission Plan Rules'!$F$7+Q13*'Commission Plan Rules'!$F$8</f>
        <v>21680</v>
      </c>
      <c r="S13" s="39" t="n">
        <f aca="false">IF(H13="New Business",IFERROR((K13/M13)*R13,0),IF(H13="Upsell",K13*'Commission Plan Rules'!$F$9,IF(H13="Renewal",K13*'Commission Plan Rules'!$F$10,0)))</f>
        <v>60</v>
      </c>
    </row>
    <row r="14" customFormat="false" ht="15" hidden="false" customHeight="true" outlineLevel="0" collapsed="false">
      <c r="A14" s="27" t="s">
        <v>155</v>
      </c>
      <c r="B14" s="27" t="s">
        <v>72</v>
      </c>
      <c r="C14" s="40" t="str">
        <f aca="false">IFERROR(INDEX('Sales Roster &amp; Quotas'!$C$6:$C$20,MATCH($B14,'Sales Roster &amp; Quotas'!$B$6:$B$20,0)),"")</f>
        <v>James Okafor</v>
      </c>
      <c r="D14" s="40" t="str">
        <f aca="false">IFERROR(INDEX('Sales Roster &amp; Quotas'!$D$6:$D$20,MATCH($B14,'Sales Roster &amp; Quotas'!$B$6:$B$20,0)),"")</f>
        <v>SMB</v>
      </c>
      <c r="E14" s="28" t="n">
        <v>46029</v>
      </c>
      <c r="F14" s="41" t="str">
        <f aca="false">TEXT(E14,"yyyy-mm")</f>
        <v>2026-01</v>
      </c>
      <c r="G14" s="41" t="str">
        <f aca="false">IF(MONTH(E14)&lt;=3,"Q1","Q2")</f>
        <v>Q1</v>
      </c>
      <c r="H14" s="27" t="s">
        <v>45</v>
      </c>
      <c r="I14" s="27" t="s">
        <v>156</v>
      </c>
      <c r="J14" s="27" t="s">
        <v>157</v>
      </c>
      <c r="K14" s="29" t="n">
        <v>2500</v>
      </c>
      <c r="L14" s="42" t="n">
        <f aca="false">IFERROR(INDEX('Sales Roster &amp; Quotas'!$G$6:$G$20,MATCH($B14,'Sales Roster &amp; Quotas'!$B$6:$B$20,0)),0)</f>
        <v>135000</v>
      </c>
      <c r="M14" s="43" t="n">
        <f aca="false">SUMIFS($K$5:$K$274,$B$5:$B$274,$B14,$G$5:$G$274,$G14,$H$5:$H$274,"New Business")</f>
        <v>170500</v>
      </c>
      <c r="N14" s="44" t="n">
        <f aca="false">IFERROR(M14/L14,0)</f>
        <v>1.26296296296296</v>
      </c>
      <c r="O14" s="43" t="n">
        <f aca="false">MIN(M14,L14)</f>
        <v>135000</v>
      </c>
      <c r="P14" s="43" t="n">
        <f aca="false">MAX(MIN(M14,L14*1.25)-L14,0)</f>
        <v>33750</v>
      </c>
      <c r="Q14" s="43" t="n">
        <f aca="false">MAX(M14-L14*1.25,0)</f>
        <v>1750</v>
      </c>
      <c r="R14" s="42" t="n">
        <f aca="false">O14*'Commission Plan Rules'!$F$6+P14*'Commission Plan Rules'!$F$7+Q14*'Commission Plan Rules'!$F$8</f>
        <v>14385</v>
      </c>
      <c r="S14" s="45" t="n">
        <f aca="false">IF(H14="New Business",IFERROR((K14/M14)*R14,0),IF(H14="Upsell",K14*'Commission Plan Rules'!$F$9,IF(H14="Renewal",K14*'Commission Plan Rules'!$F$10,0)))</f>
        <v>150</v>
      </c>
    </row>
    <row r="15" customFormat="false" ht="15" hidden="false" customHeight="true" outlineLevel="0" collapsed="false">
      <c r="A15" s="24" t="s">
        <v>158</v>
      </c>
      <c r="B15" s="24" t="s">
        <v>114</v>
      </c>
      <c r="C15" s="34" t="str">
        <f aca="false">IFERROR(INDEX('Sales Roster &amp; Quotas'!$C$6:$C$20,MATCH($B15,'Sales Roster &amp; Quotas'!$B$6:$B$20,0)),"")</f>
        <v>Lucia Larsen</v>
      </c>
      <c r="D15" s="34" t="str">
        <f aca="false">IFERROR(INDEX('Sales Roster &amp; Quotas'!$D$6:$D$20,MATCH($B15,'Sales Roster &amp; Quotas'!$B$6:$B$20,0)),"")</f>
        <v>Enterprise</v>
      </c>
      <c r="E15" s="25" t="n">
        <v>46029</v>
      </c>
      <c r="F15" s="35" t="str">
        <f aca="false">TEXT(E15,"yyyy-mm")</f>
        <v>2026-01</v>
      </c>
      <c r="G15" s="35" t="str">
        <f aca="false">IF(MONTH(E15)&lt;=3,"Q1","Q2")</f>
        <v>Q1</v>
      </c>
      <c r="H15" s="24" t="s">
        <v>48</v>
      </c>
      <c r="I15" s="24" t="s">
        <v>159</v>
      </c>
      <c r="J15" s="24" t="s">
        <v>137</v>
      </c>
      <c r="K15" s="26" t="n">
        <v>3000</v>
      </c>
      <c r="L15" s="36" t="n">
        <f aca="false">IFERROR(INDEX('Sales Roster &amp; Quotas'!$G$6:$G$20,MATCH($B15,'Sales Roster &amp; Quotas'!$B$6:$B$20,0)),0)</f>
        <v>594000</v>
      </c>
      <c r="M15" s="37" t="n">
        <f aca="false">SUMIFS($K$5:$K$274,$B$5:$B$274,$B15,$G$5:$G$274,$G15,$H$5:$H$274,"New Business")</f>
        <v>542500</v>
      </c>
      <c r="N15" s="38" t="n">
        <f aca="false">IFERROR(M15/L15,0)</f>
        <v>0.913299663299663</v>
      </c>
      <c r="O15" s="37" t="n">
        <f aca="false">MIN(M15,L15)</f>
        <v>542500</v>
      </c>
      <c r="P15" s="37" t="n">
        <f aca="false">MAX(MIN(M15,L15*1.25)-L15,0)</f>
        <v>0</v>
      </c>
      <c r="Q15" s="37" t="n">
        <f aca="false">MAX(M15-L15*1.25,0)</f>
        <v>0</v>
      </c>
      <c r="R15" s="36" t="n">
        <f aca="false">O15*'Commission Plan Rules'!$F$6+P15*'Commission Plan Rules'!$F$7+Q15*'Commission Plan Rules'!$F$8</f>
        <v>43400</v>
      </c>
      <c r="S15" s="39" t="n">
        <f aca="false">IF(H15="New Business",IFERROR((K15/M15)*R15,0),IF(H15="Upsell",K15*'Commission Plan Rules'!$F$9,IF(H15="Renewal",K15*'Commission Plan Rules'!$F$10,0)))</f>
        <v>90</v>
      </c>
    </row>
    <row r="16" customFormat="false" ht="15" hidden="false" customHeight="true" outlineLevel="0" collapsed="false">
      <c r="A16" s="27" t="s">
        <v>160</v>
      </c>
      <c r="B16" s="27" t="s">
        <v>104</v>
      </c>
      <c r="C16" s="40" t="str">
        <f aca="false">IFERROR(INDEX('Sales Roster &amp; Quotas'!$C$6:$C$20,MATCH($B16,'Sales Roster &amp; Quotas'!$B$6:$B$20,0)),"")</f>
        <v>Omar Fischer</v>
      </c>
      <c r="D16" s="40" t="str">
        <f aca="false">IFERROR(INDEX('Sales Roster &amp; Quotas'!$D$6:$D$20,MATCH($B16,'Sales Roster &amp; Quotas'!$B$6:$B$20,0)),"")</f>
        <v>Mid-Market</v>
      </c>
      <c r="E16" s="28" t="n">
        <v>46029</v>
      </c>
      <c r="F16" s="41" t="str">
        <f aca="false">TEXT(E16,"yyyy-mm")</f>
        <v>2026-01</v>
      </c>
      <c r="G16" s="41" t="str">
        <f aca="false">IF(MONTH(E16)&lt;=3,"Q1","Q2")</f>
        <v>Q1</v>
      </c>
      <c r="H16" s="27" t="s">
        <v>48</v>
      </c>
      <c r="I16" s="27" t="s">
        <v>161</v>
      </c>
      <c r="J16" s="27" t="s">
        <v>137</v>
      </c>
      <c r="K16" s="29" t="n">
        <v>17500</v>
      </c>
      <c r="L16" s="42" t="n">
        <f aca="false">IFERROR(INDEX('Sales Roster &amp; Quotas'!$G$6:$G$20,MATCH($B16,'Sales Roster &amp; Quotas'!$B$6:$B$20,0)),0)</f>
        <v>324000</v>
      </c>
      <c r="M16" s="43" t="n">
        <f aca="false">SUMIFS($K$5:$K$274,$B$5:$B$274,$B16,$G$5:$G$274,$G16,$H$5:$H$274,"New Business")</f>
        <v>457000</v>
      </c>
      <c r="N16" s="44" t="n">
        <f aca="false">IFERROR(M16/L16,0)</f>
        <v>1.41049382716049</v>
      </c>
      <c r="O16" s="43" t="n">
        <f aca="false">MIN(M16,L16)</f>
        <v>324000</v>
      </c>
      <c r="P16" s="43" t="n">
        <f aca="false">MAX(MIN(M16,L16*1.25)-L16,0)</f>
        <v>81000</v>
      </c>
      <c r="Q16" s="43" t="n">
        <f aca="false">MAX(M16-L16*1.25,0)</f>
        <v>52000</v>
      </c>
      <c r="R16" s="42" t="n">
        <f aca="false">O16*'Commission Plan Rules'!$F$6+P16*'Commission Plan Rules'!$F$7+Q16*'Commission Plan Rules'!$F$8</f>
        <v>40260</v>
      </c>
      <c r="S16" s="45" t="n">
        <f aca="false">IF(H16="New Business",IFERROR((K16/M16)*R16,0),IF(H16="Upsell",K16*'Commission Plan Rules'!$F$9,IF(H16="Renewal",K16*'Commission Plan Rules'!$F$10,0)))</f>
        <v>525</v>
      </c>
    </row>
    <row r="17" customFormat="false" ht="15" hidden="false" customHeight="true" outlineLevel="0" collapsed="false">
      <c r="A17" s="24" t="s">
        <v>162</v>
      </c>
      <c r="B17" s="24" t="s">
        <v>104</v>
      </c>
      <c r="C17" s="34" t="str">
        <f aca="false">IFERROR(INDEX('Sales Roster &amp; Quotas'!$C$6:$C$20,MATCH($B17,'Sales Roster &amp; Quotas'!$B$6:$B$20,0)),"")</f>
        <v>Omar Fischer</v>
      </c>
      <c r="D17" s="34" t="str">
        <f aca="false">IFERROR(INDEX('Sales Roster &amp; Quotas'!$D$6:$D$20,MATCH($B17,'Sales Roster &amp; Quotas'!$B$6:$B$20,0)),"")</f>
        <v>Mid-Market</v>
      </c>
      <c r="E17" s="25" t="n">
        <v>46030</v>
      </c>
      <c r="F17" s="35" t="str">
        <f aca="false">TEXT(E17,"yyyy-mm")</f>
        <v>2026-01</v>
      </c>
      <c r="G17" s="35" t="str">
        <f aca="false">IF(MONTH(E17)&lt;=3,"Q1","Q2")</f>
        <v>Q1</v>
      </c>
      <c r="H17" s="24" t="s">
        <v>48</v>
      </c>
      <c r="I17" s="24" t="s">
        <v>163</v>
      </c>
      <c r="J17" s="24" t="s">
        <v>137</v>
      </c>
      <c r="K17" s="26" t="n">
        <v>5000</v>
      </c>
      <c r="L17" s="36" t="n">
        <f aca="false">IFERROR(INDEX('Sales Roster &amp; Quotas'!$G$6:$G$20,MATCH($B17,'Sales Roster &amp; Quotas'!$B$6:$B$20,0)),0)</f>
        <v>324000</v>
      </c>
      <c r="M17" s="37" t="n">
        <f aca="false">SUMIFS($K$5:$K$274,$B$5:$B$274,$B17,$G$5:$G$274,$G17,$H$5:$H$274,"New Business")</f>
        <v>457000</v>
      </c>
      <c r="N17" s="38" t="n">
        <f aca="false">IFERROR(M17/L17,0)</f>
        <v>1.41049382716049</v>
      </c>
      <c r="O17" s="37" t="n">
        <f aca="false">MIN(M17,L17)</f>
        <v>324000</v>
      </c>
      <c r="P17" s="37" t="n">
        <f aca="false">MAX(MIN(M17,L17*1.25)-L17,0)</f>
        <v>81000</v>
      </c>
      <c r="Q17" s="37" t="n">
        <f aca="false">MAX(M17-L17*1.25,0)</f>
        <v>52000</v>
      </c>
      <c r="R17" s="36" t="n">
        <f aca="false">O17*'Commission Plan Rules'!$F$6+P17*'Commission Plan Rules'!$F$7+Q17*'Commission Plan Rules'!$F$8</f>
        <v>40260</v>
      </c>
      <c r="S17" s="39" t="n">
        <f aca="false">IF(H17="New Business",IFERROR((K17/M17)*R17,0),IF(H17="Upsell",K17*'Commission Plan Rules'!$F$9,IF(H17="Renewal",K17*'Commission Plan Rules'!$F$10,0)))</f>
        <v>150</v>
      </c>
    </row>
    <row r="18" customFormat="false" ht="15" hidden="false" customHeight="true" outlineLevel="0" collapsed="false">
      <c r="A18" s="27" t="s">
        <v>164</v>
      </c>
      <c r="B18" s="27" t="s">
        <v>97</v>
      </c>
      <c r="C18" s="40" t="str">
        <f aca="false">IFERROR(INDEX('Sales Roster &amp; Quotas'!$C$6:$C$20,MATCH($B18,'Sales Roster &amp; Quotas'!$B$6:$B$20,0)),"")</f>
        <v>Ryan Sullivan</v>
      </c>
      <c r="D18" s="40" t="str">
        <f aca="false">IFERROR(INDEX('Sales Roster &amp; Quotas'!$D$6:$D$20,MATCH($B18,'Sales Roster &amp; Quotas'!$B$6:$B$20,0)),"")</f>
        <v>Mid-Market</v>
      </c>
      <c r="E18" s="28" t="n">
        <v>46030</v>
      </c>
      <c r="F18" s="41" t="str">
        <f aca="false">TEXT(E18,"yyyy-mm")</f>
        <v>2026-01</v>
      </c>
      <c r="G18" s="41" t="str">
        <f aca="false">IF(MONTH(E18)&lt;=3,"Q1","Q2")</f>
        <v>Q1</v>
      </c>
      <c r="H18" s="27" t="s">
        <v>45</v>
      </c>
      <c r="I18" s="27" t="s">
        <v>165</v>
      </c>
      <c r="J18" s="27" t="s">
        <v>152</v>
      </c>
      <c r="K18" s="29" t="n">
        <v>31000</v>
      </c>
      <c r="L18" s="42" t="n">
        <f aca="false">IFERROR(INDEX('Sales Roster &amp; Quotas'!$G$6:$G$20,MATCH($B18,'Sales Roster &amp; Quotas'!$B$6:$B$20,0)),0)</f>
        <v>273000</v>
      </c>
      <c r="M18" s="43" t="n">
        <f aca="false">SUMIFS($K$5:$K$274,$B$5:$B$274,$B18,$G$5:$G$274,$G18,$H$5:$H$274,"New Business")</f>
        <v>271000</v>
      </c>
      <c r="N18" s="44" t="n">
        <f aca="false">IFERROR(M18/L18,0)</f>
        <v>0.992673992673993</v>
      </c>
      <c r="O18" s="43" t="n">
        <f aca="false">MIN(M18,L18)</f>
        <v>271000</v>
      </c>
      <c r="P18" s="43" t="n">
        <f aca="false">MAX(MIN(M18,L18*1.25)-L18,0)</f>
        <v>0</v>
      </c>
      <c r="Q18" s="43" t="n">
        <f aca="false">MAX(M18-L18*1.25,0)</f>
        <v>0</v>
      </c>
      <c r="R18" s="42" t="n">
        <f aca="false">O18*'Commission Plan Rules'!$F$6+P18*'Commission Plan Rules'!$F$7+Q18*'Commission Plan Rules'!$F$8</f>
        <v>21680</v>
      </c>
      <c r="S18" s="45" t="n">
        <f aca="false">IF(H18="New Business",IFERROR((K18/M18)*R18,0),IF(H18="Upsell",K18*'Commission Plan Rules'!$F$9,IF(H18="Renewal",K18*'Commission Plan Rules'!$F$10,0)))</f>
        <v>1860</v>
      </c>
    </row>
    <row r="19" customFormat="false" ht="15" hidden="false" customHeight="true" outlineLevel="0" collapsed="false">
      <c r="A19" s="24" t="s">
        <v>166</v>
      </c>
      <c r="B19" s="24" t="s">
        <v>75</v>
      </c>
      <c r="C19" s="34" t="str">
        <f aca="false">IFERROR(INDEX('Sales Roster &amp; Quotas'!$C$6:$C$20,MATCH($B19,'Sales Roster &amp; Quotas'!$B$6:$B$20,0)),"")</f>
        <v>Priya Patel</v>
      </c>
      <c r="D19" s="34" t="str">
        <f aca="false">IFERROR(INDEX('Sales Roster &amp; Quotas'!$D$6:$D$20,MATCH($B19,'Sales Roster &amp; Quotas'!$B$6:$B$20,0)),"")</f>
        <v>SMB</v>
      </c>
      <c r="E19" s="25" t="n">
        <v>46030</v>
      </c>
      <c r="F19" s="35" t="str">
        <f aca="false">TEXT(E19,"yyyy-mm")</f>
        <v>2026-01</v>
      </c>
      <c r="G19" s="35" t="str">
        <f aca="false">IF(MONTH(E19)&lt;=3,"Q1","Q2")</f>
        <v>Q1</v>
      </c>
      <c r="H19" s="24" t="s">
        <v>45</v>
      </c>
      <c r="I19" s="24" t="s">
        <v>167</v>
      </c>
      <c r="J19" s="24" t="s">
        <v>137</v>
      </c>
      <c r="K19" s="26" t="n">
        <v>25500</v>
      </c>
      <c r="L19" s="36" t="n">
        <f aca="false">IFERROR(INDEX('Sales Roster &amp; Quotas'!$G$6:$G$20,MATCH($B19,'Sales Roster &amp; Quotas'!$B$6:$B$20,0)),0)</f>
        <v>137000</v>
      </c>
      <c r="M19" s="37" t="n">
        <f aca="false">SUMIFS($K$5:$K$274,$B$5:$B$274,$B19,$G$5:$G$274,$G19,$H$5:$H$274,"New Business")</f>
        <v>118500</v>
      </c>
      <c r="N19" s="38" t="n">
        <f aca="false">IFERROR(M19/L19,0)</f>
        <v>0.864963503649635</v>
      </c>
      <c r="O19" s="37" t="n">
        <f aca="false">MIN(M19,L19)</f>
        <v>118500</v>
      </c>
      <c r="P19" s="37" t="n">
        <f aca="false">MAX(MIN(M19,L19*1.25)-L19,0)</f>
        <v>0</v>
      </c>
      <c r="Q19" s="37" t="n">
        <f aca="false">MAX(M19-L19*1.25,0)</f>
        <v>0</v>
      </c>
      <c r="R19" s="36" t="n">
        <f aca="false">O19*'Commission Plan Rules'!$F$6+P19*'Commission Plan Rules'!$F$7+Q19*'Commission Plan Rules'!$F$8</f>
        <v>9480</v>
      </c>
      <c r="S19" s="39" t="n">
        <f aca="false">IF(H19="New Business",IFERROR((K19/M19)*R19,0),IF(H19="Upsell",K19*'Commission Plan Rules'!$F$9,IF(H19="Renewal",K19*'Commission Plan Rules'!$F$10,0)))</f>
        <v>1530</v>
      </c>
    </row>
    <row r="20" customFormat="false" ht="15" hidden="false" customHeight="true" outlineLevel="0" collapsed="false">
      <c r="A20" s="27" t="s">
        <v>168</v>
      </c>
      <c r="B20" s="27" t="s">
        <v>88</v>
      </c>
      <c r="C20" s="40" t="str">
        <f aca="false">IFERROR(INDEX('Sales Roster &amp; Quotas'!$C$6:$C$20,MATCH($B20,'Sales Roster &amp; Quotas'!$B$6:$B$20,0)),"")</f>
        <v>Elena Kowalski</v>
      </c>
      <c r="D20" s="40" t="str">
        <f aca="false">IFERROR(INDEX('Sales Roster &amp; Quotas'!$D$6:$D$20,MATCH($B20,'Sales Roster &amp; Quotas'!$B$6:$B$20,0)),"")</f>
        <v>Mid-Market</v>
      </c>
      <c r="E20" s="28" t="n">
        <v>46032</v>
      </c>
      <c r="F20" s="41" t="str">
        <f aca="false">TEXT(E20,"yyyy-mm")</f>
        <v>2026-01</v>
      </c>
      <c r="G20" s="41" t="str">
        <f aca="false">IF(MONTH(E20)&lt;=3,"Q1","Q2")</f>
        <v>Q1</v>
      </c>
      <c r="H20" s="27" t="s">
        <v>40</v>
      </c>
      <c r="I20" s="27" t="s">
        <v>169</v>
      </c>
      <c r="J20" s="27" t="s">
        <v>137</v>
      </c>
      <c r="K20" s="29" t="n">
        <v>66000</v>
      </c>
      <c r="L20" s="42" t="n">
        <f aca="false">IFERROR(INDEX('Sales Roster &amp; Quotas'!$G$6:$G$20,MATCH($B20,'Sales Roster &amp; Quotas'!$B$6:$B$20,0)),0)</f>
        <v>320000</v>
      </c>
      <c r="M20" s="43" t="n">
        <f aca="false">SUMIFS($K$5:$K$274,$B$5:$B$274,$B20,$G$5:$G$274,$G20,$H$5:$H$274,"New Business")</f>
        <v>259000</v>
      </c>
      <c r="N20" s="44" t="n">
        <f aca="false">IFERROR(M20/L20,0)</f>
        <v>0.809375</v>
      </c>
      <c r="O20" s="43" t="n">
        <f aca="false">MIN(M20,L20)</f>
        <v>259000</v>
      </c>
      <c r="P20" s="43" t="n">
        <f aca="false">MAX(MIN(M20,L20*1.25)-L20,0)</f>
        <v>0</v>
      </c>
      <c r="Q20" s="43" t="n">
        <f aca="false">MAX(M20-L20*1.25,0)</f>
        <v>0</v>
      </c>
      <c r="R20" s="42" t="n">
        <f aca="false">O20*'Commission Plan Rules'!$F$6+P20*'Commission Plan Rules'!$F$7+Q20*'Commission Plan Rules'!$F$8</f>
        <v>20720</v>
      </c>
      <c r="S20" s="45" t="n">
        <f aca="false">IF(H20="New Business",IFERROR((K20/M20)*R20,0),IF(H20="Upsell",K20*'Commission Plan Rules'!$F$9,IF(H20="Renewal",K20*'Commission Plan Rules'!$F$10,0)))</f>
        <v>5280</v>
      </c>
    </row>
    <row r="21" customFormat="false" ht="15" hidden="false" customHeight="true" outlineLevel="0" collapsed="false">
      <c r="A21" s="24" t="s">
        <v>170</v>
      </c>
      <c r="B21" s="24" t="s">
        <v>72</v>
      </c>
      <c r="C21" s="34" t="str">
        <f aca="false">IFERROR(INDEX('Sales Roster &amp; Quotas'!$C$6:$C$20,MATCH($B21,'Sales Roster &amp; Quotas'!$B$6:$B$20,0)),"")</f>
        <v>James Okafor</v>
      </c>
      <c r="D21" s="34" t="str">
        <f aca="false">IFERROR(INDEX('Sales Roster &amp; Quotas'!$D$6:$D$20,MATCH($B21,'Sales Roster &amp; Quotas'!$B$6:$B$20,0)),"")</f>
        <v>SMB</v>
      </c>
      <c r="E21" s="25" t="n">
        <v>46034</v>
      </c>
      <c r="F21" s="35" t="str">
        <f aca="false">TEXT(E21,"yyyy-mm")</f>
        <v>2026-01</v>
      </c>
      <c r="G21" s="35" t="str">
        <f aca="false">IF(MONTH(E21)&lt;=3,"Q1","Q2")</f>
        <v>Q1</v>
      </c>
      <c r="H21" s="24" t="s">
        <v>40</v>
      </c>
      <c r="I21" s="24" t="s">
        <v>171</v>
      </c>
      <c r="J21" s="24" t="s">
        <v>137</v>
      </c>
      <c r="K21" s="26" t="n">
        <v>29500</v>
      </c>
      <c r="L21" s="36" t="n">
        <f aca="false">IFERROR(INDEX('Sales Roster &amp; Quotas'!$G$6:$G$20,MATCH($B21,'Sales Roster &amp; Quotas'!$B$6:$B$20,0)),0)</f>
        <v>135000</v>
      </c>
      <c r="M21" s="37" t="n">
        <f aca="false">SUMIFS($K$5:$K$274,$B$5:$B$274,$B21,$G$5:$G$274,$G21,$H$5:$H$274,"New Business")</f>
        <v>170500</v>
      </c>
      <c r="N21" s="38" t="n">
        <f aca="false">IFERROR(M21/L21,0)</f>
        <v>1.26296296296296</v>
      </c>
      <c r="O21" s="37" t="n">
        <f aca="false">MIN(M21,L21)</f>
        <v>135000</v>
      </c>
      <c r="P21" s="37" t="n">
        <f aca="false">MAX(MIN(M21,L21*1.25)-L21,0)</f>
        <v>33750</v>
      </c>
      <c r="Q21" s="37" t="n">
        <f aca="false">MAX(M21-L21*1.25,0)</f>
        <v>1750</v>
      </c>
      <c r="R21" s="36" t="n">
        <f aca="false">O21*'Commission Plan Rules'!$F$6+P21*'Commission Plan Rules'!$F$7+Q21*'Commission Plan Rules'!$F$8</f>
        <v>14385</v>
      </c>
      <c r="S21" s="39" t="n">
        <f aca="false">IF(H21="New Business",IFERROR((K21/M21)*R21,0),IF(H21="Upsell",K21*'Commission Plan Rules'!$F$9,IF(H21="Renewal",K21*'Commission Plan Rules'!$F$10,0)))</f>
        <v>2488.90029325513</v>
      </c>
    </row>
    <row r="22" customFormat="false" ht="15" hidden="false" customHeight="true" outlineLevel="0" collapsed="false">
      <c r="A22" s="27" t="s">
        <v>172</v>
      </c>
      <c r="B22" s="27" t="s">
        <v>82</v>
      </c>
      <c r="C22" s="40" t="str">
        <f aca="false">IFERROR(INDEX('Sales Roster &amp; Quotas'!$C$6:$C$20,MATCH($B22,'Sales Roster &amp; Quotas'!$B$6:$B$20,0)),"")</f>
        <v>Sofia Rossi</v>
      </c>
      <c r="D22" s="40" t="str">
        <f aca="false">IFERROR(INDEX('Sales Roster &amp; Quotas'!$D$6:$D$20,MATCH($B22,'Sales Roster &amp; Quotas'!$B$6:$B$20,0)),"")</f>
        <v>SMB</v>
      </c>
      <c r="E22" s="28" t="n">
        <v>46035</v>
      </c>
      <c r="F22" s="41" t="str">
        <f aca="false">TEXT(E22,"yyyy-mm")</f>
        <v>2026-01</v>
      </c>
      <c r="G22" s="41" t="str">
        <f aca="false">IF(MONTH(E22)&lt;=3,"Q1","Q2")</f>
        <v>Q1</v>
      </c>
      <c r="H22" s="27" t="s">
        <v>45</v>
      </c>
      <c r="I22" s="27" t="s">
        <v>173</v>
      </c>
      <c r="J22" s="27" t="s">
        <v>142</v>
      </c>
      <c r="K22" s="29" t="n">
        <v>16000</v>
      </c>
      <c r="L22" s="42" t="n">
        <f aca="false">IFERROR(INDEX('Sales Roster &amp; Quotas'!$G$6:$G$20,MATCH($B22,'Sales Roster &amp; Quotas'!$B$6:$B$20,0)),0)</f>
        <v>152000</v>
      </c>
      <c r="M22" s="43" t="n">
        <f aca="false">SUMIFS($K$5:$K$274,$B$5:$B$274,$B22,$G$5:$G$274,$G22,$H$5:$H$274,"New Business")</f>
        <v>153500</v>
      </c>
      <c r="N22" s="44" t="n">
        <f aca="false">IFERROR(M22/L22,0)</f>
        <v>1.00986842105263</v>
      </c>
      <c r="O22" s="43" t="n">
        <f aca="false">MIN(M22,L22)</f>
        <v>152000</v>
      </c>
      <c r="P22" s="43" t="n">
        <f aca="false">MAX(MIN(M22,L22*1.25)-L22,0)</f>
        <v>1500</v>
      </c>
      <c r="Q22" s="43" t="n">
        <f aca="false">MAX(M22-L22*1.25,0)</f>
        <v>0</v>
      </c>
      <c r="R22" s="42" t="n">
        <f aca="false">O22*'Commission Plan Rules'!$F$6+P22*'Commission Plan Rules'!$F$7+Q22*'Commission Plan Rules'!$F$8</f>
        <v>12310</v>
      </c>
      <c r="S22" s="45" t="n">
        <f aca="false">IF(H22="New Business",IFERROR((K22/M22)*R22,0),IF(H22="Upsell",K22*'Commission Plan Rules'!$F$9,IF(H22="Renewal",K22*'Commission Plan Rules'!$F$10,0)))</f>
        <v>960</v>
      </c>
    </row>
    <row r="23" customFormat="false" ht="15" hidden="false" customHeight="true" outlineLevel="0" collapsed="false">
      <c r="A23" s="24" t="s">
        <v>174</v>
      </c>
      <c r="B23" s="24" t="s">
        <v>79</v>
      </c>
      <c r="C23" s="34" t="str">
        <f aca="false">IFERROR(INDEX('Sales Roster &amp; Quotas'!$C$6:$C$20,MATCH($B23,'Sales Roster &amp; Quotas'!$B$6:$B$20,0)),"")</f>
        <v>David Nguyen</v>
      </c>
      <c r="D23" s="34" t="str">
        <f aca="false">IFERROR(INDEX('Sales Roster &amp; Quotas'!$D$6:$D$20,MATCH($B23,'Sales Roster &amp; Quotas'!$B$6:$B$20,0)),"")</f>
        <v>SMB</v>
      </c>
      <c r="E23" s="25" t="n">
        <v>46035</v>
      </c>
      <c r="F23" s="35" t="str">
        <f aca="false">TEXT(E23,"yyyy-mm")</f>
        <v>2026-01</v>
      </c>
      <c r="G23" s="35" t="str">
        <f aca="false">IF(MONTH(E23)&lt;=3,"Q1","Q2")</f>
        <v>Q1</v>
      </c>
      <c r="H23" s="24" t="s">
        <v>45</v>
      </c>
      <c r="I23" s="24" t="s">
        <v>175</v>
      </c>
      <c r="J23" s="24" t="s">
        <v>152</v>
      </c>
      <c r="K23" s="26" t="n">
        <v>8500</v>
      </c>
      <c r="L23" s="36" t="n">
        <f aca="false">IFERROR(INDEX('Sales Roster &amp; Quotas'!$G$6:$G$20,MATCH($B23,'Sales Roster &amp; Quotas'!$B$6:$B$20,0)),0)</f>
        <v>155000</v>
      </c>
      <c r="M23" s="37" t="n">
        <f aca="false">SUMIFS($K$5:$K$274,$B$5:$B$274,$B23,$G$5:$G$274,$G23,$H$5:$H$274,"New Business")</f>
        <v>196500</v>
      </c>
      <c r="N23" s="38" t="n">
        <f aca="false">IFERROR(M23/L23,0)</f>
        <v>1.26774193548387</v>
      </c>
      <c r="O23" s="37" t="n">
        <f aca="false">MIN(M23,L23)</f>
        <v>155000</v>
      </c>
      <c r="P23" s="37" t="n">
        <f aca="false">MAX(MIN(M23,L23*1.25)-L23,0)</f>
        <v>38750</v>
      </c>
      <c r="Q23" s="37" t="n">
        <f aca="false">MAX(M23-L23*1.25,0)</f>
        <v>2750</v>
      </c>
      <c r="R23" s="36" t="n">
        <f aca="false">O23*'Commission Plan Rules'!$F$6+P23*'Commission Plan Rules'!$F$7+Q23*'Commission Plan Rules'!$F$8</f>
        <v>16605</v>
      </c>
      <c r="S23" s="39" t="n">
        <f aca="false">IF(H23="New Business",IFERROR((K23/M23)*R23,0),IF(H23="Upsell",K23*'Commission Plan Rules'!$F$9,IF(H23="Renewal",K23*'Commission Plan Rules'!$F$10,0)))</f>
        <v>510</v>
      </c>
    </row>
    <row r="24" customFormat="false" ht="15" hidden="false" customHeight="true" outlineLevel="0" collapsed="false">
      <c r="A24" s="27" t="s">
        <v>176</v>
      </c>
      <c r="B24" s="27" t="s">
        <v>75</v>
      </c>
      <c r="C24" s="40" t="str">
        <f aca="false">IFERROR(INDEX('Sales Roster &amp; Quotas'!$C$6:$C$20,MATCH($B24,'Sales Roster &amp; Quotas'!$B$6:$B$20,0)),"")</f>
        <v>Priya Patel</v>
      </c>
      <c r="D24" s="40" t="str">
        <f aca="false">IFERROR(INDEX('Sales Roster &amp; Quotas'!$D$6:$D$20,MATCH($B24,'Sales Roster &amp; Quotas'!$B$6:$B$20,0)),"")</f>
        <v>SMB</v>
      </c>
      <c r="E24" s="28" t="n">
        <v>46035</v>
      </c>
      <c r="F24" s="41" t="str">
        <f aca="false">TEXT(E24,"yyyy-mm")</f>
        <v>2026-01</v>
      </c>
      <c r="G24" s="41" t="str">
        <f aca="false">IF(MONTH(E24)&lt;=3,"Q1","Q2")</f>
        <v>Q1</v>
      </c>
      <c r="H24" s="27" t="s">
        <v>48</v>
      </c>
      <c r="I24" s="27" t="s">
        <v>177</v>
      </c>
      <c r="J24" s="27" t="s">
        <v>137</v>
      </c>
      <c r="K24" s="29" t="n">
        <v>5000</v>
      </c>
      <c r="L24" s="42" t="n">
        <f aca="false">IFERROR(INDEX('Sales Roster &amp; Quotas'!$G$6:$G$20,MATCH($B24,'Sales Roster &amp; Quotas'!$B$6:$B$20,0)),0)</f>
        <v>137000</v>
      </c>
      <c r="M24" s="43" t="n">
        <f aca="false">SUMIFS($K$5:$K$274,$B$5:$B$274,$B24,$G$5:$G$274,$G24,$H$5:$H$274,"New Business")</f>
        <v>118500</v>
      </c>
      <c r="N24" s="44" t="n">
        <f aca="false">IFERROR(M24/L24,0)</f>
        <v>0.864963503649635</v>
      </c>
      <c r="O24" s="43" t="n">
        <f aca="false">MIN(M24,L24)</f>
        <v>118500</v>
      </c>
      <c r="P24" s="43" t="n">
        <f aca="false">MAX(MIN(M24,L24*1.25)-L24,0)</f>
        <v>0</v>
      </c>
      <c r="Q24" s="43" t="n">
        <f aca="false">MAX(M24-L24*1.25,0)</f>
        <v>0</v>
      </c>
      <c r="R24" s="42" t="n">
        <f aca="false">O24*'Commission Plan Rules'!$F$6+P24*'Commission Plan Rules'!$F$7+Q24*'Commission Plan Rules'!$F$8</f>
        <v>9480</v>
      </c>
      <c r="S24" s="45" t="n">
        <f aca="false">IF(H24="New Business",IFERROR((K24/M24)*R24,0),IF(H24="Upsell",K24*'Commission Plan Rules'!$F$9,IF(H24="Renewal",K24*'Commission Plan Rules'!$F$10,0)))</f>
        <v>150</v>
      </c>
    </row>
    <row r="25" customFormat="false" ht="15" hidden="false" customHeight="true" outlineLevel="0" collapsed="false">
      <c r="A25" s="24" t="s">
        <v>178</v>
      </c>
      <c r="B25" s="24" t="s">
        <v>75</v>
      </c>
      <c r="C25" s="34" t="str">
        <f aca="false">IFERROR(INDEX('Sales Roster &amp; Quotas'!$C$6:$C$20,MATCH($B25,'Sales Roster &amp; Quotas'!$B$6:$B$20,0)),"")</f>
        <v>Priya Patel</v>
      </c>
      <c r="D25" s="34" t="str">
        <f aca="false">IFERROR(INDEX('Sales Roster &amp; Quotas'!$D$6:$D$20,MATCH($B25,'Sales Roster &amp; Quotas'!$B$6:$B$20,0)),"")</f>
        <v>SMB</v>
      </c>
      <c r="E25" s="25" t="n">
        <v>46035</v>
      </c>
      <c r="F25" s="35" t="str">
        <f aca="false">TEXT(E25,"yyyy-mm")</f>
        <v>2026-01</v>
      </c>
      <c r="G25" s="35" t="str">
        <f aca="false">IF(MONTH(E25)&lt;=3,"Q1","Q2")</f>
        <v>Q1</v>
      </c>
      <c r="H25" s="24" t="s">
        <v>40</v>
      </c>
      <c r="I25" s="24" t="s">
        <v>179</v>
      </c>
      <c r="J25" s="24" t="s">
        <v>137</v>
      </c>
      <c r="K25" s="26" t="n">
        <v>7500</v>
      </c>
      <c r="L25" s="36" t="n">
        <f aca="false">IFERROR(INDEX('Sales Roster &amp; Quotas'!$G$6:$G$20,MATCH($B25,'Sales Roster &amp; Quotas'!$B$6:$B$20,0)),0)</f>
        <v>137000</v>
      </c>
      <c r="M25" s="37" t="n">
        <f aca="false">SUMIFS($K$5:$K$274,$B$5:$B$274,$B25,$G$5:$G$274,$G25,$H$5:$H$274,"New Business")</f>
        <v>118500</v>
      </c>
      <c r="N25" s="38" t="n">
        <f aca="false">IFERROR(M25/L25,0)</f>
        <v>0.864963503649635</v>
      </c>
      <c r="O25" s="37" t="n">
        <f aca="false">MIN(M25,L25)</f>
        <v>118500</v>
      </c>
      <c r="P25" s="37" t="n">
        <f aca="false">MAX(MIN(M25,L25*1.25)-L25,0)</f>
        <v>0</v>
      </c>
      <c r="Q25" s="37" t="n">
        <f aca="false">MAX(M25-L25*1.25,0)</f>
        <v>0</v>
      </c>
      <c r="R25" s="36" t="n">
        <f aca="false">O25*'Commission Plan Rules'!$F$6+P25*'Commission Plan Rules'!$F$7+Q25*'Commission Plan Rules'!$F$8</f>
        <v>9480</v>
      </c>
      <c r="S25" s="39" t="n">
        <f aca="false">IF(H25="New Business",IFERROR((K25/M25)*R25,0),IF(H25="Upsell",K25*'Commission Plan Rules'!$F$9,IF(H25="Renewal",K25*'Commission Plan Rules'!$F$10,0)))</f>
        <v>600</v>
      </c>
    </row>
    <row r="26" customFormat="false" ht="15" hidden="false" customHeight="true" outlineLevel="0" collapsed="false">
      <c r="A26" s="27" t="s">
        <v>180</v>
      </c>
      <c r="B26" s="27" t="s">
        <v>79</v>
      </c>
      <c r="C26" s="40" t="str">
        <f aca="false">IFERROR(INDEX('Sales Roster &amp; Quotas'!$C$6:$C$20,MATCH($B26,'Sales Roster &amp; Quotas'!$B$6:$B$20,0)),"")</f>
        <v>David Nguyen</v>
      </c>
      <c r="D26" s="40" t="str">
        <f aca="false">IFERROR(INDEX('Sales Roster &amp; Quotas'!$D$6:$D$20,MATCH($B26,'Sales Roster &amp; Quotas'!$B$6:$B$20,0)),"")</f>
        <v>SMB</v>
      </c>
      <c r="E26" s="28" t="n">
        <v>46036</v>
      </c>
      <c r="F26" s="41" t="str">
        <f aca="false">TEXT(E26,"yyyy-mm")</f>
        <v>2026-01</v>
      </c>
      <c r="G26" s="41" t="str">
        <f aca="false">IF(MONTH(E26)&lt;=3,"Q1","Q2")</f>
        <v>Q1</v>
      </c>
      <c r="H26" s="27" t="s">
        <v>48</v>
      </c>
      <c r="I26" s="27" t="s">
        <v>181</v>
      </c>
      <c r="J26" s="27" t="s">
        <v>157</v>
      </c>
      <c r="K26" s="29" t="n">
        <v>19000</v>
      </c>
      <c r="L26" s="42" t="n">
        <f aca="false">IFERROR(INDEX('Sales Roster &amp; Quotas'!$G$6:$G$20,MATCH($B26,'Sales Roster &amp; Quotas'!$B$6:$B$20,0)),0)</f>
        <v>155000</v>
      </c>
      <c r="M26" s="43" t="n">
        <f aca="false">SUMIFS($K$5:$K$274,$B$5:$B$274,$B26,$G$5:$G$274,$G26,$H$5:$H$274,"New Business")</f>
        <v>196500</v>
      </c>
      <c r="N26" s="44" t="n">
        <f aca="false">IFERROR(M26/L26,0)</f>
        <v>1.26774193548387</v>
      </c>
      <c r="O26" s="43" t="n">
        <f aca="false">MIN(M26,L26)</f>
        <v>155000</v>
      </c>
      <c r="P26" s="43" t="n">
        <f aca="false">MAX(MIN(M26,L26*1.25)-L26,0)</f>
        <v>38750</v>
      </c>
      <c r="Q26" s="43" t="n">
        <f aca="false">MAX(M26-L26*1.25,0)</f>
        <v>2750</v>
      </c>
      <c r="R26" s="42" t="n">
        <f aca="false">O26*'Commission Plan Rules'!$F$6+P26*'Commission Plan Rules'!$F$7+Q26*'Commission Plan Rules'!$F$8</f>
        <v>16605</v>
      </c>
      <c r="S26" s="45" t="n">
        <f aca="false">IF(H26="New Business",IFERROR((K26/M26)*R26,0),IF(H26="Upsell",K26*'Commission Plan Rules'!$F$9,IF(H26="Renewal",K26*'Commission Plan Rules'!$F$10,0)))</f>
        <v>570</v>
      </c>
    </row>
    <row r="27" customFormat="false" ht="15" hidden="false" customHeight="true" outlineLevel="0" collapsed="false">
      <c r="A27" s="24" t="s">
        <v>182</v>
      </c>
      <c r="B27" s="24" t="s">
        <v>104</v>
      </c>
      <c r="C27" s="34" t="str">
        <f aca="false">IFERROR(INDEX('Sales Roster &amp; Quotas'!$C$6:$C$20,MATCH($B27,'Sales Roster &amp; Quotas'!$B$6:$B$20,0)),"")</f>
        <v>Omar Fischer</v>
      </c>
      <c r="D27" s="34" t="str">
        <f aca="false">IFERROR(INDEX('Sales Roster &amp; Quotas'!$D$6:$D$20,MATCH($B27,'Sales Roster &amp; Quotas'!$B$6:$B$20,0)),"")</f>
        <v>Mid-Market</v>
      </c>
      <c r="E27" s="25" t="n">
        <v>46036</v>
      </c>
      <c r="F27" s="35" t="str">
        <f aca="false">TEXT(E27,"yyyy-mm")</f>
        <v>2026-01</v>
      </c>
      <c r="G27" s="35" t="str">
        <f aca="false">IF(MONTH(E27)&lt;=3,"Q1","Q2")</f>
        <v>Q1</v>
      </c>
      <c r="H27" s="24" t="s">
        <v>45</v>
      </c>
      <c r="I27" s="24" t="s">
        <v>183</v>
      </c>
      <c r="J27" s="24" t="s">
        <v>152</v>
      </c>
      <c r="K27" s="26" t="n">
        <v>18000</v>
      </c>
      <c r="L27" s="36" t="n">
        <f aca="false">IFERROR(INDEX('Sales Roster &amp; Quotas'!$G$6:$G$20,MATCH($B27,'Sales Roster &amp; Quotas'!$B$6:$B$20,0)),0)</f>
        <v>324000</v>
      </c>
      <c r="M27" s="37" t="n">
        <f aca="false">SUMIFS($K$5:$K$274,$B$5:$B$274,$B27,$G$5:$G$274,$G27,$H$5:$H$274,"New Business")</f>
        <v>457000</v>
      </c>
      <c r="N27" s="38" t="n">
        <f aca="false">IFERROR(M27/L27,0)</f>
        <v>1.41049382716049</v>
      </c>
      <c r="O27" s="37" t="n">
        <f aca="false">MIN(M27,L27)</f>
        <v>324000</v>
      </c>
      <c r="P27" s="37" t="n">
        <f aca="false">MAX(MIN(M27,L27*1.25)-L27,0)</f>
        <v>81000</v>
      </c>
      <c r="Q27" s="37" t="n">
        <f aca="false">MAX(M27-L27*1.25,0)</f>
        <v>52000</v>
      </c>
      <c r="R27" s="36" t="n">
        <f aca="false">O27*'Commission Plan Rules'!$F$6+P27*'Commission Plan Rules'!$F$7+Q27*'Commission Plan Rules'!$F$8</f>
        <v>40260</v>
      </c>
      <c r="S27" s="39" t="n">
        <f aca="false">IF(H27="New Business",IFERROR((K27/M27)*R27,0),IF(H27="Upsell",K27*'Commission Plan Rules'!$F$9,IF(H27="Renewal",K27*'Commission Plan Rules'!$F$10,0)))</f>
        <v>1080</v>
      </c>
    </row>
    <row r="28" customFormat="false" ht="15" hidden="false" customHeight="true" outlineLevel="0" collapsed="false">
      <c r="A28" s="27" t="s">
        <v>184</v>
      </c>
      <c r="B28" s="27" t="s">
        <v>79</v>
      </c>
      <c r="C28" s="40" t="str">
        <f aca="false">IFERROR(INDEX('Sales Roster &amp; Quotas'!$C$6:$C$20,MATCH($B28,'Sales Roster &amp; Quotas'!$B$6:$B$20,0)),"")</f>
        <v>David Nguyen</v>
      </c>
      <c r="D28" s="40" t="str">
        <f aca="false">IFERROR(INDEX('Sales Roster &amp; Quotas'!$D$6:$D$20,MATCH($B28,'Sales Roster &amp; Quotas'!$B$6:$B$20,0)),"")</f>
        <v>SMB</v>
      </c>
      <c r="E28" s="28" t="n">
        <v>46036</v>
      </c>
      <c r="F28" s="41" t="str">
        <f aca="false">TEXT(E28,"yyyy-mm")</f>
        <v>2026-01</v>
      </c>
      <c r="G28" s="41" t="str">
        <f aca="false">IF(MONTH(E28)&lt;=3,"Q1","Q2")</f>
        <v>Q1</v>
      </c>
      <c r="H28" s="27" t="s">
        <v>45</v>
      </c>
      <c r="I28" s="27" t="s">
        <v>185</v>
      </c>
      <c r="J28" s="27" t="s">
        <v>142</v>
      </c>
      <c r="K28" s="29" t="n">
        <v>16000</v>
      </c>
      <c r="L28" s="42" t="n">
        <f aca="false">IFERROR(INDEX('Sales Roster &amp; Quotas'!$G$6:$G$20,MATCH($B28,'Sales Roster &amp; Quotas'!$B$6:$B$20,0)),0)</f>
        <v>155000</v>
      </c>
      <c r="M28" s="43" t="n">
        <f aca="false">SUMIFS($K$5:$K$274,$B$5:$B$274,$B28,$G$5:$G$274,$G28,$H$5:$H$274,"New Business")</f>
        <v>196500</v>
      </c>
      <c r="N28" s="44" t="n">
        <f aca="false">IFERROR(M28/L28,0)</f>
        <v>1.26774193548387</v>
      </c>
      <c r="O28" s="43" t="n">
        <f aca="false">MIN(M28,L28)</f>
        <v>155000</v>
      </c>
      <c r="P28" s="43" t="n">
        <f aca="false">MAX(MIN(M28,L28*1.25)-L28,0)</f>
        <v>38750</v>
      </c>
      <c r="Q28" s="43" t="n">
        <f aca="false">MAX(M28-L28*1.25,0)</f>
        <v>2750</v>
      </c>
      <c r="R28" s="42" t="n">
        <f aca="false">O28*'Commission Plan Rules'!$F$6+P28*'Commission Plan Rules'!$F$7+Q28*'Commission Plan Rules'!$F$8</f>
        <v>16605</v>
      </c>
      <c r="S28" s="45" t="n">
        <f aca="false">IF(H28="New Business",IFERROR((K28/M28)*R28,0),IF(H28="Upsell",K28*'Commission Plan Rules'!$F$9,IF(H28="Renewal",K28*'Commission Plan Rules'!$F$10,0)))</f>
        <v>960</v>
      </c>
    </row>
    <row r="29" customFormat="false" ht="15" hidden="false" customHeight="true" outlineLevel="0" collapsed="false">
      <c r="A29" s="24" t="s">
        <v>186</v>
      </c>
      <c r="B29" s="24" t="s">
        <v>101</v>
      </c>
      <c r="C29" s="34" t="str">
        <f aca="false">IFERROR(INDEX('Sales Roster &amp; Quotas'!$C$6:$C$20,MATCH($B29,'Sales Roster &amp; Quotas'!$B$6:$B$20,0)),"")</f>
        <v>Natalie Reyes</v>
      </c>
      <c r="D29" s="34" t="str">
        <f aca="false">IFERROR(INDEX('Sales Roster &amp; Quotas'!$D$6:$D$20,MATCH($B29,'Sales Roster &amp; Quotas'!$B$6:$B$20,0)),"")</f>
        <v>Mid-Market</v>
      </c>
      <c r="E29" s="25" t="n">
        <v>46038</v>
      </c>
      <c r="F29" s="35" t="str">
        <f aca="false">TEXT(E29,"yyyy-mm")</f>
        <v>2026-01</v>
      </c>
      <c r="G29" s="35" t="str">
        <f aca="false">IF(MONTH(E29)&lt;=3,"Q1","Q2")</f>
        <v>Q1</v>
      </c>
      <c r="H29" s="24" t="s">
        <v>48</v>
      </c>
      <c r="I29" s="24" t="s">
        <v>187</v>
      </c>
      <c r="J29" s="24" t="s">
        <v>137</v>
      </c>
      <c r="K29" s="26" t="n">
        <v>28500</v>
      </c>
      <c r="L29" s="36" t="n">
        <f aca="false">IFERROR(INDEX('Sales Roster &amp; Quotas'!$G$6:$G$20,MATCH($B29,'Sales Roster &amp; Quotas'!$B$6:$B$20,0)),0)</f>
        <v>295000</v>
      </c>
      <c r="M29" s="37" t="n">
        <f aca="false">SUMIFS($K$5:$K$274,$B$5:$B$274,$B29,$G$5:$G$274,$G29,$H$5:$H$274,"New Business")</f>
        <v>267000</v>
      </c>
      <c r="N29" s="38" t="n">
        <f aca="false">IFERROR(M29/L29,0)</f>
        <v>0.905084745762712</v>
      </c>
      <c r="O29" s="37" t="n">
        <f aca="false">MIN(M29,L29)</f>
        <v>267000</v>
      </c>
      <c r="P29" s="37" t="n">
        <f aca="false">MAX(MIN(M29,L29*1.25)-L29,0)</f>
        <v>0</v>
      </c>
      <c r="Q29" s="37" t="n">
        <f aca="false">MAX(M29-L29*1.25,0)</f>
        <v>0</v>
      </c>
      <c r="R29" s="36" t="n">
        <f aca="false">O29*'Commission Plan Rules'!$F$6+P29*'Commission Plan Rules'!$F$7+Q29*'Commission Plan Rules'!$F$8</f>
        <v>21360</v>
      </c>
      <c r="S29" s="39" t="n">
        <f aca="false">IF(H29="New Business",IFERROR((K29/M29)*R29,0),IF(H29="Upsell",K29*'Commission Plan Rules'!$F$9,IF(H29="Renewal",K29*'Commission Plan Rules'!$F$10,0)))</f>
        <v>855</v>
      </c>
    </row>
    <row r="30" customFormat="false" ht="15" hidden="false" customHeight="true" outlineLevel="0" collapsed="false">
      <c r="A30" s="27" t="s">
        <v>188</v>
      </c>
      <c r="B30" s="27" t="s">
        <v>104</v>
      </c>
      <c r="C30" s="40" t="str">
        <f aca="false">IFERROR(INDEX('Sales Roster &amp; Quotas'!$C$6:$C$20,MATCH($B30,'Sales Roster &amp; Quotas'!$B$6:$B$20,0)),"")</f>
        <v>Omar Fischer</v>
      </c>
      <c r="D30" s="40" t="str">
        <f aca="false">IFERROR(INDEX('Sales Roster &amp; Quotas'!$D$6:$D$20,MATCH($B30,'Sales Roster &amp; Quotas'!$B$6:$B$20,0)),"")</f>
        <v>Mid-Market</v>
      </c>
      <c r="E30" s="28" t="n">
        <v>46039</v>
      </c>
      <c r="F30" s="41" t="str">
        <f aca="false">TEXT(E30,"yyyy-mm")</f>
        <v>2026-01</v>
      </c>
      <c r="G30" s="41" t="str">
        <f aca="false">IF(MONTH(E30)&lt;=3,"Q1","Q2")</f>
        <v>Q1</v>
      </c>
      <c r="H30" s="27" t="s">
        <v>40</v>
      </c>
      <c r="I30" s="27" t="s">
        <v>189</v>
      </c>
      <c r="J30" s="27" t="s">
        <v>142</v>
      </c>
      <c r="K30" s="29" t="n">
        <v>121500</v>
      </c>
      <c r="L30" s="42" t="n">
        <f aca="false">IFERROR(INDEX('Sales Roster &amp; Quotas'!$G$6:$G$20,MATCH($B30,'Sales Roster &amp; Quotas'!$B$6:$B$20,0)),0)</f>
        <v>324000</v>
      </c>
      <c r="M30" s="43" t="n">
        <f aca="false">SUMIFS($K$5:$K$274,$B$5:$B$274,$B30,$G$5:$G$274,$G30,$H$5:$H$274,"New Business")</f>
        <v>457000</v>
      </c>
      <c r="N30" s="44" t="n">
        <f aca="false">IFERROR(M30/L30,0)</f>
        <v>1.41049382716049</v>
      </c>
      <c r="O30" s="43" t="n">
        <f aca="false">MIN(M30,L30)</f>
        <v>324000</v>
      </c>
      <c r="P30" s="43" t="n">
        <f aca="false">MAX(MIN(M30,L30*1.25)-L30,0)</f>
        <v>81000</v>
      </c>
      <c r="Q30" s="43" t="n">
        <f aca="false">MAX(M30-L30*1.25,0)</f>
        <v>52000</v>
      </c>
      <c r="R30" s="42" t="n">
        <f aca="false">O30*'Commission Plan Rules'!$F$6+P30*'Commission Plan Rules'!$F$7+Q30*'Commission Plan Rules'!$F$8</f>
        <v>40260</v>
      </c>
      <c r="S30" s="45" t="n">
        <f aca="false">IF(H30="New Business",IFERROR((K30/M30)*R30,0),IF(H30="Upsell",K30*'Commission Plan Rules'!$F$9,IF(H30="Renewal",K30*'Commission Plan Rules'!$F$10,0)))</f>
        <v>10703.6980306346</v>
      </c>
    </row>
    <row r="31" customFormat="false" ht="15" hidden="false" customHeight="true" outlineLevel="0" collapsed="false">
      <c r="A31" s="24" t="s">
        <v>190</v>
      </c>
      <c r="B31" s="24" t="s">
        <v>111</v>
      </c>
      <c r="C31" s="34" t="str">
        <f aca="false">IFERROR(INDEX('Sales Roster &amp; Quotas'!$C$6:$C$20,MATCH($B31,'Sales Roster &amp; Quotas'!$B$6:$B$20,0)),"")</f>
        <v>Kevin Novak</v>
      </c>
      <c r="D31" s="34" t="str">
        <f aca="false">IFERROR(INDEX('Sales Roster &amp; Quotas'!$D$6:$D$20,MATCH($B31,'Sales Roster &amp; Quotas'!$B$6:$B$20,0)),"")</f>
        <v>Enterprise</v>
      </c>
      <c r="E31" s="25" t="n">
        <v>46039</v>
      </c>
      <c r="F31" s="35" t="str">
        <f aca="false">TEXT(E31,"yyyy-mm")</f>
        <v>2026-01</v>
      </c>
      <c r="G31" s="35" t="str">
        <f aca="false">IF(MONTH(E31)&lt;=3,"Q1","Q2")</f>
        <v>Q1</v>
      </c>
      <c r="H31" s="24" t="s">
        <v>45</v>
      </c>
      <c r="I31" s="24" t="s">
        <v>191</v>
      </c>
      <c r="J31" s="24" t="s">
        <v>142</v>
      </c>
      <c r="K31" s="26" t="n">
        <v>51000</v>
      </c>
      <c r="L31" s="36" t="n">
        <f aca="false">IFERROR(INDEX('Sales Roster &amp; Quotas'!$G$6:$G$20,MATCH($B31,'Sales Roster &amp; Quotas'!$B$6:$B$20,0)),0)</f>
        <v>641000</v>
      </c>
      <c r="M31" s="37" t="n">
        <f aca="false">SUMIFS($K$5:$K$274,$B$5:$B$274,$B31,$G$5:$G$274,$G31,$H$5:$H$274,"New Business")</f>
        <v>504500</v>
      </c>
      <c r="N31" s="38" t="n">
        <f aca="false">IFERROR(M31/L31,0)</f>
        <v>0.787051482059282</v>
      </c>
      <c r="O31" s="37" t="n">
        <f aca="false">MIN(M31,L31)</f>
        <v>504500</v>
      </c>
      <c r="P31" s="37" t="n">
        <f aca="false">MAX(MIN(M31,L31*1.25)-L31,0)</f>
        <v>0</v>
      </c>
      <c r="Q31" s="37" t="n">
        <f aca="false">MAX(M31-L31*1.25,0)</f>
        <v>0</v>
      </c>
      <c r="R31" s="36" t="n">
        <f aca="false">O31*'Commission Plan Rules'!$F$6+P31*'Commission Plan Rules'!$F$7+Q31*'Commission Plan Rules'!$F$8</f>
        <v>40360</v>
      </c>
      <c r="S31" s="39" t="n">
        <f aca="false">IF(H31="New Business",IFERROR((K31/M31)*R31,0),IF(H31="Upsell",K31*'Commission Plan Rules'!$F$9,IF(H31="Renewal",K31*'Commission Plan Rules'!$F$10,0)))</f>
        <v>3060</v>
      </c>
    </row>
    <row r="32" customFormat="false" ht="15" hidden="false" customHeight="true" outlineLevel="0" collapsed="false">
      <c r="A32" s="27" t="s">
        <v>192</v>
      </c>
      <c r="B32" s="27" t="s">
        <v>95</v>
      </c>
      <c r="C32" s="40" t="str">
        <f aca="false">IFERROR(INDEX('Sales Roster &amp; Quotas'!$C$6:$C$20,MATCH($B32,'Sales Roster &amp; Quotas'!$B$6:$B$20,0)),"")</f>
        <v>Aisha Kim</v>
      </c>
      <c r="D32" s="40" t="str">
        <f aca="false">IFERROR(INDEX('Sales Roster &amp; Quotas'!$D$6:$D$20,MATCH($B32,'Sales Roster &amp; Quotas'!$B$6:$B$20,0)),"")</f>
        <v>Mid-Market</v>
      </c>
      <c r="E32" s="28" t="n">
        <v>46039</v>
      </c>
      <c r="F32" s="41" t="str">
        <f aca="false">TEXT(E32,"yyyy-mm")</f>
        <v>2026-01</v>
      </c>
      <c r="G32" s="41" t="str">
        <f aca="false">IF(MONTH(E32)&lt;=3,"Q1","Q2")</f>
        <v>Q1</v>
      </c>
      <c r="H32" s="27" t="s">
        <v>48</v>
      </c>
      <c r="I32" s="27" t="s">
        <v>193</v>
      </c>
      <c r="J32" s="27" t="s">
        <v>157</v>
      </c>
      <c r="K32" s="29" t="n">
        <v>18500</v>
      </c>
      <c r="L32" s="42" t="n">
        <f aca="false">IFERROR(INDEX('Sales Roster &amp; Quotas'!$G$6:$G$20,MATCH($B32,'Sales Roster &amp; Quotas'!$B$6:$B$20,0)),0)</f>
        <v>287000</v>
      </c>
      <c r="M32" s="43" t="n">
        <f aca="false">SUMIFS($K$5:$K$274,$B$5:$B$274,$B32,$G$5:$G$274,$G32,$H$5:$H$274,"New Business")</f>
        <v>266000</v>
      </c>
      <c r="N32" s="44" t="n">
        <f aca="false">IFERROR(M32/L32,0)</f>
        <v>0.926829268292683</v>
      </c>
      <c r="O32" s="43" t="n">
        <f aca="false">MIN(M32,L32)</f>
        <v>266000</v>
      </c>
      <c r="P32" s="43" t="n">
        <f aca="false">MAX(MIN(M32,L32*1.25)-L32,0)</f>
        <v>0</v>
      </c>
      <c r="Q32" s="43" t="n">
        <f aca="false">MAX(M32-L32*1.25,0)</f>
        <v>0</v>
      </c>
      <c r="R32" s="42" t="n">
        <f aca="false">O32*'Commission Plan Rules'!$F$6+P32*'Commission Plan Rules'!$F$7+Q32*'Commission Plan Rules'!$F$8</f>
        <v>21280</v>
      </c>
      <c r="S32" s="45" t="n">
        <f aca="false">IF(H32="New Business",IFERROR((K32/M32)*R32,0),IF(H32="Upsell",K32*'Commission Plan Rules'!$F$9,IF(H32="Renewal",K32*'Commission Plan Rules'!$F$10,0)))</f>
        <v>555</v>
      </c>
    </row>
    <row r="33" customFormat="false" ht="15" hidden="false" customHeight="true" outlineLevel="0" collapsed="false">
      <c r="A33" s="24" t="s">
        <v>194</v>
      </c>
      <c r="B33" s="24" t="s">
        <v>114</v>
      </c>
      <c r="C33" s="34" t="str">
        <f aca="false">IFERROR(INDEX('Sales Roster &amp; Quotas'!$C$6:$C$20,MATCH($B33,'Sales Roster &amp; Quotas'!$B$6:$B$20,0)),"")</f>
        <v>Lucia Larsen</v>
      </c>
      <c r="D33" s="34" t="str">
        <f aca="false">IFERROR(INDEX('Sales Roster &amp; Quotas'!$D$6:$D$20,MATCH($B33,'Sales Roster &amp; Quotas'!$B$6:$B$20,0)),"")</f>
        <v>Enterprise</v>
      </c>
      <c r="E33" s="25" t="n">
        <v>46039</v>
      </c>
      <c r="F33" s="35" t="str">
        <f aca="false">TEXT(E33,"yyyy-mm")</f>
        <v>2026-01</v>
      </c>
      <c r="G33" s="35" t="str">
        <f aca="false">IF(MONTH(E33)&lt;=3,"Q1","Q2")</f>
        <v>Q1</v>
      </c>
      <c r="H33" s="24" t="s">
        <v>48</v>
      </c>
      <c r="I33" s="24" t="s">
        <v>189</v>
      </c>
      <c r="J33" s="24" t="s">
        <v>157</v>
      </c>
      <c r="K33" s="26" t="n">
        <v>30500</v>
      </c>
      <c r="L33" s="36" t="n">
        <f aca="false">IFERROR(INDEX('Sales Roster &amp; Quotas'!$G$6:$G$20,MATCH($B33,'Sales Roster &amp; Quotas'!$B$6:$B$20,0)),0)</f>
        <v>594000</v>
      </c>
      <c r="M33" s="37" t="n">
        <f aca="false">SUMIFS($K$5:$K$274,$B$5:$B$274,$B33,$G$5:$G$274,$G33,$H$5:$H$274,"New Business")</f>
        <v>542500</v>
      </c>
      <c r="N33" s="38" t="n">
        <f aca="false">IFERROR(M33/L33,0)</f>
        <v>0.913299663299663</v>
      </c>
      <c r="O33" s="37" t="n">
        <f aca="false">MIN(M33,L33)</f>
        <v>542500</v>
      </c>
      <c r="P33" s="37" t="n">
        <f aca="false">MAX(MIN(M33,L33*1.25)-L33,0)</f>
        <v>0</v>
      </c>
      <c r="Q33" s="37" t="n">
        <f aca="false">MAX(M33-L33*1.25,0)</f>
        <v>0</v>
      </c>
      <c r="R33" s="36" t="n">
        <f aca="false">O33*'Commission Plan Rules'!$F$6+P33*'Commission Plan Rules'!$F$7+Q33*'Commission Plan Rules'!$F$8</f>
        <v>43400</v>
      </c>
      <c r="S33" s="39" t="n">
        <f aca="false">IF(H33="New Business",IFERROR((K33/M33)*R33,0),IF(H33="Upsell",K33*'Commission Plan Rules'!$F$9,IF(H33="Renewal",K33*'Commission Plan Rules'!$F$10,0)))</f>
        <v>915</v>
      </c>
    </row>
    <row r="34" customFormat="false" ht="15" hidden="false" customHeight="true" outlineLevel="0" collapsed="false">
      <c r="A34" s="27" t="s">
        <v>195</v>
      </c>
      <c r="B34" s="27" t="s">
        <v>88</v>
      </c>
      <c r="C34" s="40" t="str">
        <f aca="false">IFERROR(INDEX('Sales Roster &amp; Quotas'!$C$6:$C$20,MATCH($B34,'Sales Roster &amp; Quotas'!$B$6:$B$20,0)),"")</f>
        <v>Elena Kowalski</v>
      </c>
      <c r="D34" s="40" t="str">
        <f aca="false">IFERROR(INDEX('Sales Roster &amp; Quotas'!$D$6:$D$20,MATCH($B34,'Sales Roster &amp; Quotas'!$B$6:$B$20,0)),"")</f>
        <v>Mid-Market</v>
      </c>
      <c r="E34" s="28" t="n">
        <v>46039</v>
      </c>
      <c r="F34" s="41" t="str">
        <f aca="false">TEXT(E34,"yyyy-mm")</f>
        <v>2026-01</v>
      </c>
      <c r="G34" s="41" t="str">
        <f aca="false">IF(MONTH(E34)&lt;=3,"Q1","Q2")</f>
        <v>Q1</v>
      </c>
      <c r="H34" s="27" t="s">
        <v>45</v>
      </c>
      <c r="I34" s="27" t="s">
        <v>196</v>
      </c>
      <c r="J34" s="27" t="s">
        <v>137</v>
      </c>
      <c r="K34" s="29" t="n">
        <v>51500</v>
      </c>
      <c r="L34" s="42" t="n">
        <f aca="false">IFERROR(INDEX('Sales Roster &amp; Quotas'!$G$6:$G$20,MATCH($B34,'Sales Roster &amp; Quotas'!$B$6:$B$20,0)),0)</f>
        <v>320000</v>
      </c>
      <c r="M34" s="43" t="n">
        <f aca="false">SUMIFS($K$5:$K$274,$B$5:$B$274,$B34,$G$5:$G$274,$G34,$H$5:$H$274,"New Business")</f>
        <v>259000</v>
      </c>
      <c r="N34" s="44" t="n">
        <f aca="false">IFERROR(M34/L34,0)</f>
        <v>0.809375</v>
      </c>
      <c r="O34" s="43" t="n">
        <f aca="false">MIN(M34,L34)</f>
        <v>259000</v>
      </c>
      <c r="P34" s="43" t="n">
        <f aca="false">MAX(MIN(M34,L34*1.25)-L34,0)</f>
        <v>0</v>
      </c>
      <c r="Q34" s="43" t="n">
        <f aca="false">MAX(M34-L34*1.25,0)</f>
        <v>0</v>
      </c>
      <c r="R34" s="42" t="n">
        <f aca="false">O34*'Commission Plan Rules'!$F$6+P34*'Commission Plan Rules'!$F$7+Q34*'Commission Plan Rules'!$F$8</f>
        <v>20720</v>
      </c>
      <c r="S34" s="45" t="n">
        <f aca="false">IF(H34="New Business",IFERROR((K34/M34)*R34,0),IF(H34="Upsell",K34*'Commission Plan Rules'!$F$9,IF(H34="Renewal",K34*'Commission Plan Rules'!$F$10,0)))</f>
        <v>3090</v>
      </c>
    </row>
    <row r="35" customFormat="false" ht="15" hidden="false" customHeight="true" outlineLevel="0" collapsed="false">
      <c r="A35" s="24" t="s">
        <v>197</v>
      </c>
      <c r="B35" s="24" t="s">
        <v>101</v>
      </c>
      <c r="C35" s="34" t="str">
        <f aca="false">IFERROR(INDEX('Sales Roster &amp; Quotas'!$C$6:$C$20,MATCH($B35,'Sales Roster &amp; Quotas'!$B$6:$B$20,0)),"")</f>
        <v>Natalie Reyes</v>
      </c>
      <c r="D35" s="34" t="str">
        <f aca="false">IFERROR(INDEX('Sales Roster &amp; Quotas'!$D$6:$D$20,MATCH($B35,'Sales Roster &amp; Quotas'!$B$6:$B$20,0)),"")</f>
        <v>Mid-Market</v>
      </c>
      <c r="E35" s="25" t="n">
        <v>46041</v>
      </c>
      <c r="F35" s="35" t="str">
        <f aca="false">TEXT(E35,"yyyy-mm")</f>
        <v>2026-01</v>
      </c>
      <c r="G35" s="35" t="str">
        <f aca="false">IF(MONTH(E35)&lt;=3,"Q1","Q2")</f>
        <v>Q1</v>
      </c>
      <c r="H35" s="24" t="s">
        <v>45</v>
      </c>
      <c r="I35" s="24" t="s">
        <v>191</v>
      </c>
      <c r="J35" s="24" t="s">
        <v>142</v>
      </c>
      <c r="K35" s="26" t="n">
        <v>19500</v>
      </c>
      <c r="L35" s="36" t="n">
        <f aca="false">IFERROR(INDEX('Sales Roster &amp; Quotas'!$G$6:$G$20,MATCH($B35,'Sales Roster &amp; Quotas'!$B$6:$B$20,0)),0)</f>
        <v>295000</v>
      </c>
      <c r="M35" s="37" t="n">
        <f aca="false">SUMIFS($K$5:$K$274,$B$5:$B$274,$B35,$G$5:$G$274,$G35,$H$5:$H$274,"New Business")</f>
        <v>267000</v>
      </c>
      <c r="N35" s="38" t="n">
        <f aca="false">IFERROR(M35/L35,0)</f>
        <v>0.905084745762712</v>
      </c>
      <c r="O35" s="37" t="n">
        <f aca="false">MIN(M35,L35)</f>
        <v>267000</v>
      </c>
      <c r="P35" s="37" t="n">
        <f aca="false">MAX(MIN(M35,L35*1.25)-L35,0)</f>
        <v>0</v>
      </c>
      <c r="Q35" s="37" t="n">
        <f aca="false">MAX(M35-L35*1.25,0)</f>
        <v>0</v>
      </c>
      <c r="R35" s="36" t="n">
        <f aca="false">O35*'Commission Plan Rules'!$F$6+P35*'Commission Plan Rules'!$F$7+Q35*'Commission Plan Rules'!$F$8</f>
        <v>21360</v>
      </c>
      <c r="S35" s="39" t="n">
        <f aca="false">IF(H35="New Business",IFERROR((K35/M35)*R35,0),IF(H35="Upsell",K35*'Commission Plan Rules'!$F$9,IF(H35="Renewal",K35*'Commission Plan Rules'!$F$10,0)))</f>
        <v>1170</v>
      </c>
    </row>
    <row r="36" customFormat="false" ht="15" hidden="false" customHeight="true" outlineLevel="0" collapsed="false">
      <c r="A36" s="27" t="s">
        <v>198</v>
      </c>
      <c r="B36" s="27" t="s">
        <v>101</v>
      </c>
      <c r="C36" s="40" t="str">
        <f aca="false">IFERROR(INDEX('Sales Roster &amp; Quotas'!$C$6:$C$20,MATCH($B36,'Sales Roster &amp; Quotas'!$B$6:$B$20,0)),"")</f>
        <v>Natalie Reyes</v>
      </c>
      <c r="D36" s="40" t="str">
        <f aca="false">IFERROR(INDEX('Sales Roster &amp; Quotas'!$D$6:$D$20,MATCH($B36,'Sales Roster &amp; Quotas'!$B$6:$B$20,0)),"")</f>
        <v>Mid-Market</v>
      </c>
      <c r="E36" s="28" t="n">
        <v>46042</v>
      </c>
      <c r="F36" s="41" t="str">
        <f aca="false">TEXT(E36,"yyyy-mm")</f>
        <v>2026-01</v>
      </c>
      <c r="G36" s="41" t="str">
        <f aca="false">IF(MONTH(E36)&lt;=3,"Q1","Q2")</f>
        <v>Q1</v>
      </c>
      <c r="H36" s="27" t="s">
        <v>48</v>
      </c>
      <c r="I36" s="27" t="s">
        <v>199</v>
      </c>
      <c r="J36" s="27" t="s">
        <v>157</v>
      </c>
      <c r="K36" s="29" t="n">
        <v>16500</v>
      </c>
      <c r="L36" s="42" t="n">
        <f aca="false">IFERROR(INDEX('Sales Roster &amp; Quotas'!$G$6:$G$20,MATCH($B36,'Sales Roster &amp; Quotas'!$B$6:$B$20,0)),0)</f>
        <v>295000</v>
      </c>
      <c r="M36" s="43" t="n">
        <f aca="false">SUMIFS($K$5:$K$274,$B$5:$B$274,$B36,$G$5:$G$274,$G36,$H$5:$H$274,"New Business")</f>
        <v>267000</v>
      </c>
      <c r="N36" s="44" t="n">
        <f aca="false">IFERROR(M36/L36,0)</f>
        <v>0.905084745762712</v>
      </c>
      <c r="O36" s="43" t="n">
        <f aca="false">MIN(M36,L36)</f>
        <v>267000</v>
      </c>
      <c r="P36" s="43" t="n">
        <f aca="false">MAX(MIN(M36,L36*1.25)-L36,0)</f>
        <v>0</v>
      </c>
      <c r="Q36" s="43" t="n">
        <f aca="false">MAX(M36-L36*1.25,0)</f>
        <v>0</v>
      </c>
      <c r="R36" s="42" t="n">
        <f aca="false">O36*'Commission Plan Rules'!$F$6+P36*'Commission Plan Rules'!$F$7+Q36*'Commission Plan Rules'!$F$8</f>
        <v>21360</v>
      </c>
      <c r="S36" s="45" t="n">
        <f aca="false">IF(H36="New Business",IFERROR((K36/M36)*R36,0),IF(H36="Upsell",K36*'Commission Plan Rules'!$F$9,IF(H36="Renewal",K36*'Commission Plan Rules'!$F$10,0)))</f>
        <v>495</v>
      </c>
    </row>
    <row r="37" customFormat="false" ht="15" hidden="false" customHeight="true" outlineLevel="0" collapsed="false">
      <c r="A37" s="24" t="s">
        <v>200</v>
      </c>
      <c r="B37" s="24" t="s">
        <v>75</v>
      </c>
      <c r="C37" s="34" t="str">
        <f aca="false">IFERROR(INDEX('Sales Roster &amp; Quotas'!$C$6:$C$20,MATCH($B37,'Sales Roster &amp; Quotas'!$B$6:$B$20,0)),"")</f>
        <v>Priya Patel</v>
      </c>
      <c r="D37" s="34" t="str">
        <f aca="false">IFERROR(INDEX('Sales Roster &amp; Quotas'!$D$6:$D$20,MATCH($B37,'Sales Roster &amp; Quotas'!$B$6:$B$20,0)),"")</f>
        <v>SMB</v>
      </c>
      <c r="E37" s="25" t="n">
        <v>46043</v>
      </c>
      <c r="F37" s="35" t="str">
        <f aca="false">TEXT(E37,"yyyy-mm")</f>
        <v>2026-01</v>
      </c>
      <c r="G37" s="35" t="str">
        <f aca="false">IF(MONTH(E37)&lt;=3,"Q1","Q2")</f>
        <v>Q1</v>
      </c>
      <c r="H37" s="24" t="s">
        <v>40</v>
      </c>
      <c r="I37" s="24" t="s">
        <v>201</v>
      </c>
      <c r="J37" s="24" t="s">
        <v>137</v>
      </c>
      <c r="K37" s="26" t="n">
        <v>78000</v>
      </c>
      <c r="L37" s="36" t="n">
        <f aca="false">IFERROR(INDEX('Sales Roster &amp; Quotas'!$G$6:$G$20,MATCH($B37,'Sales Roster &amp; Quotas'!$B$6:$B$20,0)),0)</f>
        <v>137000</v>
      </c>
      <c r="M37" s="37" t="n">
        <f aca="false">SUMIFS($K$5:$K$274,$B$5:$B$274,$B37,$G$5:$G$274,$G37,$H$5:$H$274,"New Business")</f>
        <v>118500</v>
      </c>
      <c r="N37" s="38" t="n">
        <f aca="false">IFERROR(M37/L37,0)</f>
        <v>0.864963503649635</v>
      </c>
      <c r="O37" s="37" t="n">
        <f aca="false">MIN(M37,L37)</f>
        <v>118500</v>
      </c>
      <c r="P37" s="37" t="n">
        <f aca="false">MAX(MIN(M37,L37*1.25)-L37,0)</f>
        <v>0</v>
      </c>
      <c r="Q37" s="37" t="n">
        <f aca="false">MAX(M37-L37*1.25,0)</f>
        <v>0</v>
      </c>
      <c r="R37" s="36" t="n">
        <f aca="false">O37*'Commission Plan Rules'!$F$6+P37*'Commission Plan Rules'!$F$7+Q37*'Commission Plan Rules'!$F$8</f>
        <v>9480</v>
      </c>
      <c r="S37" s="39" t="n">
        <f aca="false">IF(H37="New Business",IFERROR((K37/M37)*R37,0),IF(H37="Upsell",K37*'Commission Plan Rules'!$F$9,IF(H37="Renewal",K37*'Commission Plan Rules'!$F$10,0)))</f>
        <v>6240</v>
      </c>
    </row>
    <row r="38" customFormat="false" ht="15" hidden="false" customHeight="true" outlineLevel="0" collapsed="false">
      <c r="A38" s="27" t="s">
        <v>202</v>
      </c>
      <c r="B38" s="27" t="s">
        <v>67</v>
      </c>
      <c r="C38" s="40" t="str">
        <f aca="false">IFERROR(INDEX('Sales Roster &amp; Quotas'!$C$6:$C$20,MATCH($B38,'Sales Roster &amp; Quotas'!$B$6:$B$20,0)),"")</f>
        <v>Maria Chen</v>
      </c>
      <c r="D38" s="40" t="str">
        <f aca="false">IFERROR(INDEX('Sales Roster &amp; Quotas'!$D$6:$D$20,MATCH($B38,'Sales Roster &amp; Quotas'!$B$6:$B$20,0)),"")</f>
        <v>SMB</v>
      </c>
      <c r="E38" s="28" t="n">
        <v>46044</v>
      </c>
      <c r="F38" s="41" t="str">
        <f aca="false">TEXT(E38,"yyyy-mm")</f>
        <v>2026-01</v>
      </c>
      <c r="G38" s="41" t="str">
        <f aca="false">IF(MONTH(E38)&lt;=3,"Q1","Q2")</f>
        <v>Q1</v>
      </c>
      <c r="H38" s="27" t="s">
        <v>48</v>
      </c>
      <c r="I38" s="27" t="s">
        <v>203</v>
      </c>
      <c r="J38" s="27" t="s">
        <v>137</v>
      </c>
      <c r="K38" s="29" t="n">
        <v>4500</v>
      </c>
      <c r="L38" s="42" t="n">
        <f aca="false">IFERROR(INDEX('Sales Roster &amp; Quotas'!$G$6:$G$20,MATCH($B38,'Sales Roster &amp; Quotas'!$B$6:$B$20,0)),0)</f>
        <v>160000</v>
      </c>
      <c r="M38" s="43" t="n">
        <f aca="false">SUMIFS($K$5:$K$274,$B$5:$B$274,$B38,$G$5:$G$274,$G38,$H$5:$H$274,"New Business")</f>
        <v>142000</v>
      </c>
      <c r="N38" s="44" t="n">
        <f aca="false">IFERROR(M38/L38,0)</f>
        <v>0.8875</v>
      </c>
      <c r="O38" s="43" t="n">
        <f aca="false">MIN(M38,L38)</f>
        <v>142000</v>
      </c>
      <c r="P38" s="43" t="n">
        <f aca="false">MAX(MIN(M38,L38*1.25)-L38,0)</f>
        <v>0</v>
      </c>
      <c r="Q38" s="43" t="n">
        <f aca="false">MAX(M38-L38*1.25,0)</f>
        <v>0</v>
      </c>
      <c r="R38" s="42" t="n">
        <f aca="false">O38*'Commission Plan Rules'!$F$6+P38*'Commission Plan Rules'!$F$7+Q38*'Commission Plan Rules'!$F$8</f>
        <v>11360</v>
      </c>
      <c r="S38" s="45" t="n">
        <f aca="false">IF(H38="New Business",IFERROR((K38/M38)*R38,0),IF(H38="Upsell",K38*'Commission Plan Rules'!$F$9,IF(H38="Renewal",K38*'Commission Plan Rules'!$F$10,0)))</f>
        <v>135</v>
      </c>
    </row>
    <row r="39" customFormat="false" ht="15" hidden="false" customHeight="true" outlineLevel="0" collapsed="false">
      <c r="A39" s="24" t="s">
        <v>204</v>
      </c>
      <c r="B39" s="24" t="s">
        <v>85</v>
      </c>
      <c r="C39" s="34" t="str">
        <f aca="false">IFERROR(INDEX('Sales Roster &amp; Quotas'!$C$6:$C$20,MATCH($B39,'Sales Roster &amp; Quotas'!$B$6:$B$20,0)),"")</f>
        <v>Marcus Bennett</v>
      </c>
      <c r="D39" s="34" t="str">
        <f aca="false">IFERROR(INDEX('Sales Roster &amp; Quotas'!$D$6:$D$20,MATCH($B39,'Sales Roster &amp; Quotas'!$B$6:$B$20,0)),"")</f>
        <v>SMB</v>
      </c>
      <c r="E39" s="25" t="n">
        <v>46044</v>
      </c>
      <c r="F39" s="35" t="str">
        <f aca="false">TEXT(E39,"yyyy-mm")</f>
        <v>2026-01</v>
      </c>
      <c r="G39" s="35" t="str">
        <f aca="false">IF(MONTH(E39)&lt;=3,"Q1","Q2")</f>
        <v>Q1</v>
      </c>
      <c r="H39" s="24" t="s">
        <v>40</v>
      </c>
      <c r="I39" s="24" t="s">
        <v>205</v>
      </c>
      <c r="J39" s="24" t="s">
        <v>152</v>
      </c>
      <c r="K39" s="26" t="n">
        <v>4500</v>
      </c>
      <c r="L39" s="36" t="n">
        <f aca="false">IFERROR(INDEX('Sales Roster &amp; Quotas'!$G$6:$G$20,MATCH($B39,'Sales Roster &amp; Quotas'!$B$6:$B$20,0)),0)</f>
        <v>159000</v>
      </c>
      <c r="M39" s="37" t="n">
        <f aca="false">SUMIFS($K$5:$K$274,$B$5:$B$274,$B39,$G$5:$G$274,$G39,$H$5:$H$274,"New Business")</f>
        <v>174500</v>
      </c>
      <c r="N39" s="38" t="n">
        <f aca="false">IFERROR(M39/L39,0)</f>
        <v>1.09748427672956</v>
      </c>
      <c r="O39" s="37" t="n">
        <f aca="false">MIN(M39,L39)</f>
        <v>159000</v>
      </c>
      <c r="P39" s="37" t="n">
        <f aca="false">MAX(MIN(M39,L39*1.25)-L39,0)</f>
        <v>15500</v>
      </c>
      <c r="Q39" s="37" t="n">
        <f aca="false">MAX(M39-L39*1.25,0)</f>
        <v>0</v>
      </c>
      <c r="R39" s="36" t="n">
        <f aca="false">O39*'Commission Plan Rules'!$F$6+P39*'Commission Plan Rules'!$F$7+Q39*'Commission Plan Rules'!$F$8</f>
        <v>14270</v>
      </c>
      <c r="S39" s="39" t="n">
        <f aca="false">IF(H39="New Business",IFERROR((K39/M39)*R39,0),IF(H39="Upsell",K39*'Commission Plan Rules'!$F$9,IF(H39="Renewal",K39*'Commission Plan Rules'!$F$10,0)))</f>
        <v>367.994269340974</v>
      </c>
    </row>
    <row r="40" customFormat="false" ht="15" hidden="false" customHeight="true" outlineLevel="0" collapsed="false">
      <c r="A40" s="27" t="s">
        <v>206</v>
      </c>
      <c r="B40" s="27" t="s">
        <v>95</v>
      </c>
      <c r="C40" s="40" t="str">
        <f aca="false">IFERROR(INDEX('Sales Roster &amp; Quotas'!$C$6:$C$20,MATCH($B40,'Sales Roster &amp; Quotas'!$B$6:$B$20,0)),"")</f>
        <v>Aisha Kim</v>
      </c>
      <c r="D40" s="40" t="str">
        <f aca="false">IFERROR(INDEX('Sales Roster &amp; Quotas'!$D$6:$D$20,MATCH($B40,'Sales Roster &amp; Quotas'!$B$6:$B$20,0)),"")</f>
        <v>Mid-Market</v>
      </c>
      <c r="E40" s="28" t="n">
        <v>46044</v>
      </c>
      <c r="F40" s="41" t="str">
        <f aca="false">TEXT(E40,"yyyy-mm")</f>
        <v>2026-01</v>
      </c>
      <c r="G40" s="41" t="str">
        <f aca="false">IF(MONTH(E40)&lt;=3,"Q1","Q2")</f>
        <v>Q1</v>
      </c>
      <c r="H40" s="27" t="s">
        <v>45</v>
      </c>
      <c r="I40" s="27" t="s">
        <v>207</v>
      </c>
      <c r="J40" s="27" t="s">
        <v>142</v>
      </c>
      <c r="K40" s="29" t="n">
        <v>58500</v>
      </c>
      <c r="L40" s="42" t="n">
        <f aca="false">IFERROR(INDEX('Sales Roster &amp; Quotas'!$G$6:$G$20,MATCH($B40,'Sales Roster &amp; Quotas'!$B$6:$B$20,0)),0)</f>
        <v>287000</v>
      </c>
      <c r="M40" s="43" t="n">
        <f aca="false">SUMIFS($K$5:$K$274,$B$5:$B$274,$B40,$G$5:$G$274,$G40,$H$5:$H$274,"New Business")</f>
        <v>266000</v>
      </c>
      <c r="N40" s="44" t="n">
        <f aca="false">IFERROR(M40/L40,0)</f>
        <v>0.926829268292683</v>
      </c>
      <c r="O40" s="43" t="n">
        <f aca="false">MIN(M40,L40)</f>
        <v>266000</v>
      </c>
      <c r="P40" s="43" t="n">
        <f aca="false">MAX(MIN(M40,L40*1.25)-L40,0)</f>
        <v>0</v>
      </c>
      <c r="Q40" s="43" t="n">
        <f aca="false">MAX(M40-L40*1.25,0)</f>
        <v>0</v>
      </c>
      <c r="R40" s="42" t="n">
        <f aca="false">O40*'Commission Plan Rules'!$F$6+P40*'Commission Plan Rules'!$F$7+Q40*'Commission Plan Rules'!$F$8</f>
        <v>21280</v>
      </c>
      <c r="S40" s="45" t="n">
        <f aca="false">IF(H40="New Business",IFERROR((K40/M40)*R40,0),IF(H40="Upsell",K40*'Commission Plan Rules'!$F$9,IF(H40="Renewal",K40*'Commission Plan Rules'!$F$10,0)))</f>
        <v>3510</v>
      </c>
    </row>
    <row r="41" customFormat="false" ht="15" hidden="false" customHeight="true" outlineLevel="0" collapsed="false">
      <c r="A41" s="24" t="s">
        <v>208</v>
      </c>
      <c r="B41" s="24" t="s">
        <v>82</v>
      </c>
      <c r="C41" s="34" t="str">
        <f aca="false">IFERROR(INDEX('Sales Roster &amp; Quotas'!$C$6:$C$20,MATCH($B41,'Sales Roster &amp; Quotas'!$B$6:$B$20,0)),"")</f>
        <v>Sofia Rossi</v>
      </c>
      <c r="D41" s="34" t="str">
        <f aca="false">IFERROR(INDEX('Sales Roster &amp; Quotas'!$D$6:$D$20,MATCH($B41,'Sales Roster &amp; Quotas'!$B$6:$B$20,0)),"")</f>
        <v>SMB</v>
      </c>
      <c r="E41" s="25" t="n">
        <v>46045</v>
      </c>
      <c r="F41" s="35" t="str">
        <f aca="false">TEXT(E41,"yyyy-mm")</f>
        <v>2026-01</v>
      </c>
      <c r="G41" s="35" t="str">
        <f aca="false">IF(MONTH(E41)&lt;=3,"Q1","Q2")</f>
        <v>Q1</v>
      </c>
      <c r="H41" s="24" t="s">
        <v>40</v>
      </c>
      <c r="I41" s="24" t="s">
        <v>209</v>
      </c>
      <c r="J41" s="24" t="s">
        <v>137</v>
      </c>
      <c r="K41" s="26" t="n">
        <v>32500</v>
      </c>
      <c r="L41" s="36" t="n">
        <f aca="false">IFERROR(INDEX('Sales Roster &amp; Quotas'!$G$6:$G$20,MATCH($B41,'Sales Roster &amp; Quotas'!$B$6:$B$20,0)),0)</f>
        <v>152000</v>
      </c>
      <c r="M41" s="37" t="n">
        <f aca="false">SUMIFS($K$5:$K$274,$B$5:$B$274,$B41,$G$5:$G$274,$G41,$H$5:$H$274,"New Business")</f>
        <v>153500</v>
      </c>
      <c r="N41" s="38" t="n">
        <f aca="false">IFERROR(M41/L41,0)</f>
        <v>1.00986842105263</v>
      </c>
      <c r="O41" s="37" t="n">
        <f aca="false">MIN(M41,L41)</f>
        <v>152000</v>
      </c>
      <c r="P41" s="37" t="n">
        <f aca="false">MAX(MIN(M41,L41*1.25)-L41,0)</f>
        <v>1500</v>
      </c>
      <c r="Q41" s="37" t="n">
        <f aca="false">MAX(M41-L41*1.25,0)</f>
        <v>0</v>
      </c>
      <c r="R41" s="36" t="n">
        <f aca="false">O41*'Commission Plan Rules'!$F$6+P41*'Commission Plan Rules'!$F$7+Q41*'Commission Plan Rules'!$F$8</f>
        <v>12310</v>
      </c>
      <c r="S41" s="39" t="n">
        <f aca="false">IF(H41="New Business",IFERROR((K41/M41)*R41,0),IF(H41="Upsell",K41*'Commission Plan Rules'!$F$9,IF(H41="Renewal",K41*'Commission Plan Rules'!$F$10,0)))</f>
        <v>2606.35179153095</v>
      </c>
    </row>
    <row r="42" customFormat="false" ht="15" hidden="false" customHeight="true" outlineLevel="0" collapsed="false">
      <c r="A42" s="27" t="s">
        <v>210</v>
      </c>
      <c r="B42" s="27" t="s">
        <v>85</v>
      </c>
      <c r="C42" s="40" t="str">
        <f aca="false">IFERROR(INDEX('Sales Roster &amp; Quotas'!$C$6:$C$20,MATCH($B42,'Sales Roster &amp; Quotas'!$B$6:$B$20,0)),"")</f>
        <v>Marcus Bennett</v>
      </c>
      <c r="D42" s="40" t="str">
        <f aca="false">IFERROR(INDEX('Sales Roster &amp; Quotas'!$D$6:$D$20,MATCH($B42,'Sales Roster &amp; Quotas'!$B$6:$B$20,0)),"")</f>
        <v>SMB</v>
      </c>
      <c r="E42" s="28" t="n">
        <v>46046</v>
      </c>
      <c r="F42" s="41" t="str">
        <f aca="false">TEXT(E42,"yyyy-mm")</f>
        <v>2026-01</v>
      </c>
      <c r="G42" s="41" t="str">
        <f aca="false">IF(MONTH(E42)&lt;=3,"Q1","Q2")</f>
        <v>Q1</v>
      </c>
      <c r="H42" s="27" t="s">
        <v>45</v>
      </c>
      <c r="I42" s="27" t="s">
        <v>211</v>
      </c>
      <c r="J42" s="27" t="s">
        <v>142</v>
      </c>
      <c r="K42" s="29" t="n">
        <v>21000</v>
      </c>
      <c r="L42" s="42" t="n">
        <f aca="false">IFERROR(INDEX('Sales Roster &amp; Quotas'!$G$6:$G$20,MATCH($B42,'Sales Roster &amp; Quotas'!$B$6:$B$20,0)),0)</f>
        <v>159000</v>
      </c>
      <c r="M42" s="43" t="n">
        <f aca="false">SUMIFS($K$5:$K$274,$B$5:$B$274,$B42,$G$5:$G$274,$G42,$H$5:$H$274,"New Business")</f>
        <v>174500</v>
      </c>
      <c r="N42" s="44" t="n">
        <f aca="false">IFERROR(M42/L42,0)</f>
        <v>1.09748427672956</v>
      </c>
      <c r="O42" s="43" t="n">
        <f aca="false">MIN(M42,L42)</f>
        <v>159000</v>
      </c>
      <c r="P42" s="43" t="n">
        <f aca="false">MAX(MIN(M42,L42*1.25)-L42,0)</f>
        <v>15500</v>
      </c>
      <c r="Q42" s="43" t="n">
        <f aca="false">MAX(M42-L42*1.25,0)</f>
        <v>0</v>
      </c>
      <c r="R42" s="42" t="n">
        <f aca="false">O42*'Commission Plan Rules'!$F$6+P42*'Commission Plan Rules'!$F$7+Q42*'Commission Plan Rules'!$F$8</f>
        <v>14270</v>
      </c>
      <c r="S42" s="45" t="n">
        <f aca="false">IF(H42="New Business",IFERROR((K42/M42)*R42,0),IF(H42="Upsell",K42*'Commission Plan Rules'!$F$9,IF(H42="Renewal",K42*'Commission Plan Rules'!$F$10,0)))</f>
        <v>1260</v>
      </c>
    </row>
    <row r="43" customFormat="false" ht="15" hidden="false" customHeight="true" outlineLevel="0" collapsed="false">
      <c r="A43" s="24" t="s">
        <v>212</v>
      </c>
      <c r="B43" s="24" t="s">
        <v>85</v>
      </c>
      <c r="C43" s="34" t="str">
        <f aca="false">IFERROR(INDEX('Sales Roster &amp; Quotas'!$C$6:$C$20,MATCH($B43,'Sales Roster &amp; Quotas'!$B$6:$B$20,0)),"")</f>
        <v>Marcus Bennett</v>
      </c>
      <c r="D43" s="34" t="str">
        <f aca="false">IFERROR(INDEX('Sales Roster &amp; Quotas'!$D$6:$D$20,MATCH($B43,'Sales Roster &amp; Quotas'!$B$6:$B$20,0)),"")</f>
        <v>SMB</v>
      </c>
      <c r="E43" s="25" t="n">
        <v>46047</v>
      </c>
      <c r="F43" s="35" t="str">
        <f aca="false">TEXT(E43,"yyyy-mm")</f>
        <v>2026-01</v>
      </c>
      <c r="G43" s="35" t="str">
        <f aca="false">IF(MONTH(E43)&lt;=3,"Q1","Q2")</f>
        <v>Q1</v>
      </c>
      <c r="H43" s="24" t="s">
        <v>40</v>
      </c>
      <c r="I43" s="24" t="s">
        <v>213</v>
      </c>
      <c r="J43" s="24" t="s">
        <v>142</v>
      </c>
      <c r="K43" s="26" t="n">
        <v>44000</v>
      </c>
      <c r="L43" s="36" t="n">
        <f aca="false">IFERROR(INDEX('Sales Roster &amp; Quotas'!$G$6:$G$20,MATCH($B43,'Sales Roster &amp; Quotas'!$B$6:$B$20,0)),0)</f>
        <v>159000</v>
      </c>
      <c r="M43" s="37" t="n">
        <f aca="false">SUMIFS($K$5:$K$274,$B$5:$B$274,$B43,$G$5:$G$274,$G43,$H$5:$H$274,"New Business")</f>
        <v>174500</v>
      </c>
      <c r="N43" s="38" t="n">
        <f aca="false">IFERROR(M43/L43,0)</f>
        <v>1.09748427672956</v>
      </c>
      <c r="O43" s="37" t="n">
        <f aca="false">MIN(M43,L43)</f>
        <v>159000</v>
      </c>
      <c r="P43" s="37" t="n">
        <f aca="false">MAX(MIN(M43,L43*1.25)-L43,0)</f>
        <v>15500</v>
      </c>
      <c r="Q43" s="37" t="n">
        <f aca="false">MAX(M43-L43*1.25,0)</f>
        <v>0</v>
      </c>
      <c r="R43" s="36" t="n">
        <f aca="false">O43*'Commission Plan Rules'!$F$6+P43*'Commission Plan Rules'!$F$7+Q43*'Commission Plan Rules'!$F$8</f>
        <v>14270</v>
      </c>
      <c r="S43" s="39" t="n">
        <f aca="false">IF(H43="New Business",IFERROR((K43/M43)*R43,0),IF(H43="Upsell",K43*'Commission Plan Rules'!$F$9,IF(H43="Renewal",K43*'Commission Plan Rules'!$F$10,0)))</f>
        <v>3598.16618911175</v>
      </c>
    </row>
    <row r="44" customFormat="false" ht="15" hidden="false" customHeight="true" outlineLevel="0" collapsed="false">
      <c r="A44" s="27" t="s">
        <v>214</v>
      </c>
      <c r="B44" s="27" t="s">
        <v>67</v>
      </c>
      <c r="C44" s="40" t="str">
        <f aca="false">IFERROR(INDEX('Sales Roster &amp; Quotas'!$C$6:$C$20,MATCH($B44,'Sales Roster &amp; Quotas'!$B$6:$B$20,0)),"")</f>
        <v>Maria Chen</v>
      </c>
      <c r="D44" s="40" t="str">
        <f aca="false">IFERROR(INDEX('Sales Roster &amp; Quotas'!$D$6:$D$20,MATCH($B44,'Sales Roster &amp; Quotas'!$B$6:$B$20,0)),"")</f>
        <v>SMB</v>
      </c>
      <c r="E44" s="28" t="n">
        <v>46047</v>
      </c>
      <c r="F44" s="41" t="str">
        <f aca="false">TEXT(E44,"yyyy-mm")</f>
        <v>2026-01</v>
      </c>
      <c r="G44" s="41" t="str">
        <f aca="false">IF(MONTH(E44)&lt;=3,"Q1","Q2")</f>
        <v>Q1</v>
      </c>
      <c r="H44" s="27" t="s">
        <v>40</v>
      </c>
      <c r="I44" s="27" t="s">
        <v>215</v>
      </c>
      <c r="J44" s="27" t="s">
        <v>142</v>
      </c>
      <c r="K44" s="29" t="n">
        <v>27000</v>
      </c>
      <c r="L44" s="42" t="n">
        <f aca="false">IFERROR(INDEX('Sales Roster &amp; Quotas'!$G$6:$G$20,MATCH($B44,'Sales Roster &amp; Quotas'!$B$6:$B$20,0)),0)</f>
        <v>160000</v>
      </c>
      <c r="M44" s="43" t="n">
        <f aca="false">SUMIFS($K$5:$K$274,$B$5:$B$274,$B44,$G$5:$G$274,$G44,$H$5:$H$274,"New Business")</f>
        <v>142000</v>
      </c>
      <c r="N44" s="44" t="n">
        <f aca="false">IFERROR(M44/L44,0)</f>
        <v>0.8875</v>
      </c>
      <c r="O44" s="43" t="n">
        <f aca="false">MIN(M44,L44)</f>
        <v>142000</v>
      </c>
      <c r="P44" s="43" t="n">
        <f aca="false">MAX(MIN(M44,L44*1.25)-L44,0)</f>
        <v>0</v>
      </c>
      <c r="Q44" s="43" t="n">
        <f aca="false">MAX(M44-L44*1.25,0)</f>
        <v>0</v>
      </c>
      <c r="R44" s="42" t="n">
        <f aca="false">O44*'Commission Plan Rules'!$F$6+P44*'Commission Plan Rules'!$F$7+Q44*'Commission Plan Rules'!$F$8</f>
        <v>11360</v>
      </c>
      <c r="S44" s="45" t="n">
        <f aca="false">IF(H44="New Business",IFERROR((K44/M44)*R44,0),IF(H44="Upsell",K44*'Commission Plan Rules'!$F$9,IF(H44="Renewal",K44*'Commission Plan Rules'!$F$10,0)))</f>
        <v>2160</v>
      </c>
    </row>
    <row r="45" customFormat="false" ht="15" hidden="false" customHeight="true" outlineLevel="0" collapsed="false">
      <c r="A45" s="24" t="s">
        <v>216</v>
      </c>
      <c r="B45" s="24" t="s">
        <v>92</v>
      </c>
      <c r="C45" s="34" t="str">
        <f aca="false">IFERROR(INDEX('Sales Roster &amp; Quotas'!$C$6:$C$20,MATCH($B45,'Sales Roster &amp; Quotas'!$B$6:$B$20,0)),"")</f>
        <v>Tyler Alvarez</v>
      </c>
      <c r="D45" s="34" t="str">
        <f aca="false">IFERROR(INDEX('Sales Roster &amp; Quotas'!$D$6:$D$20,MATCH($B45,'Sales Roster &amp; Quotas'!$B$6:$B$20,0)),"")</f>
        <v>Mid-Market</v>
      </c>
      <c r="E45" s="25" t="n">
        <v>46048</v>
      </c>
      <c r="F45" s="35" t="str">
        <f aca="false">TEXT(E45,"yyyy-mm")</f>
        <v>2026-01</v>
      </c>
      <c r="G45" s="35" t="str">
        <f aca="false">IF(MONTH(E45)&lt;=3,"Q1","Q2")</f>
        <v>Q1</v>
      </c>
      <c r="H45" s="24" t="s">
        <v>40</v>
      </c>
      <c r="I45" s="24" t="s">
        <v>217</v>
      </c>
      <c r="J45" s="24" t="s">
        <v>137</v>
      </c>
      <c r="K45" s="26" t="n">
        <v>146000</v>
      </c>
      <c r="L45" s="36" t="n">
        <f aca="false">IFERROR(INDEX('Sales Roster &amp; Quotas'!$G$6:$G$20,MATCH($B45,'Sales Roster &amp; Quotas'!$B$6:$B$20,0)),0)</f>
        <v>275000</v>
      </c>
      <c r="M45" s="37" t="n">
        <f aca="false">SUMIFS($K$5:$K$274,$B$5:$B$274,$B45,$G$5:$G$274,$G45,$H$5:$H$274,"New Business")</f>
        <v>260500</v>
      </c>
      <c r="N45" s="38" t="n">
        <f aca="false">IFERROR(M45/L45,0)</f>
        <v>0.947272727272727</v>
      </c>
      <c r="O45" s="37" t="n">
        <f aca="false">MIN(M45,L45)</f>
        <v>260500</v>
      </c>
      <c r="P45" s="37" t="n">
        <f aca="false">MAX(MIN(M45,L45*1.25)-L45,0)</f>
        <v>0</v>
      </c>
      <c r="Q45" s="37" t="n">
        <f aca="false">MAX(M45-L45*1.25,0)</f>
        <v>0</v>
      </c>
      <c r="R45" s="36" t="n">
        <f aca="false">O45*'Commission Plan Rules'!$F$6+P45*'Commission Plan Rules'!$F$7+Q45*'Commission Plan Rules'!$F$8</f>
        <v>20840</v>
      </c>
      <c r="S45" s="39" t="n">
        <f aca="false">IF(H45="New Business",IFERROR((K45/M45)*R45,0),IF(H45="Upsell",K45*'Commission Plan Rules'!$F$9,IF(H45="Renewal",K45*'Commission Plan Rules'!$F$10,0)))</f>
        <v>11680</v>
      </c>
    </row>
    <row r="46" customFormat="false" ht="15" hidden="false" customHeight="true" outlineLevel="0" collapsed="false">
      <c r="A46" s="27" t="s">
        <v>218</v>
      </c>
      <c r="B46" s="27" t="s">
        <v>82</v>
      </c>
      <c r="C46" s="40" t="str">
        <f aca="false">IFERROR(INDEX('Sales Roster &amp; Quotas'!$C$6:$C$20,MATCH($B46,'Sales Roster &amp; Quotas'!$B$6:$B$20,0)),"")</f>
        <v>Sofia Rossi</v>
      </c>
      <c r="D46" s="40" t="str">
        <f aca="false">IFERROR(INDEX('Sales Roster &amp; Quotas'!$D$6:$D$20,MATCH($B46,'Sales Roster &amp; Quotas'!$B$6:$B$20,0)),"")</f>
        <v>SMB</v>
      </c>
      <c r="E46" s="28" t="n">
        <v>46049</v>
      </c>
      <c r="F46" s="41" t="str">
        <f aca="false">TEXT(E46,"yyyy-mm")</f>
        <v>2026-01</v>
      </c>
      <c r="G46" s="41" t="str">
        <f aca="false">IF(MONTH(E46)&lt;=3,"Q1","Q2")</f>
        <v>Q1</v>
      </c>
      <c r="H46" s="27" t="s">
        <v>40</v>
      </c>
      <c r="I46" s="27" t="s">
        <v>219</v>
      </c>
      <c r="J46" s="27" t="s">
        <v>137</v>
      </c>
      <c r="K46" s="29" t="n">
        <v>15000</v>
      </c>
      <c r="L46" s="42" t="n">
        <f aca="false">IFERROR(INDEX('Sales Roster &amp; Quotas'!$G$6:$G$20,MATCH($B46,'Sales Roster &amp; Quotas'!$B$6:$B$20,0)),0)</f>
        <v>152000</v>
      </c>
      <c r="M46" s="43" t="n">
        <f aca="false">SUMIFS($K$5:$K$274,$B$5:$B$274,$B46,$G$5:$G$274,$G46,$H$5:$H$274,"New Business")</f>
        <v>153500</v>
      </c>
      <c r="N46" s="44" t="n">
        <f aca="false">IFERROR(M46/L46,0)</f>
        <v>1.00986842105263</v>
      </c>
      <c r="O46" s="43" t="n">
        <f aca="false">MIN(M46,L46)</f>
        <v>152000</v>
      </c>
      <c r="P46" s="43" t="n">
        <f aca="false">MAX(MIN(M46,L46*1.25)-L46,0)</f>
        <v>1500</v>
      </c>
      <c r="Q46" s="43" t="n">
        <f aca="false">MAX(M46-L46*1.25,0)</f>
        <v>0</v>
      </c>
      <c r="R46" s="42" t="n">
        <f aca="false">O46*'Commission Plan Rules'!$F$6+P46*'Commission Plan Rules'!$F$7+Q46*'Commission Plan Rules'!$F$8</f>
        <v>12310</v>
      </c>
      <c r="S46" s="45" t="n">
        <f aca="false">IF(H46="New Business",IFERROR((K46/M46)*R46,0),IF(H46="Upsell",K46*'Commission Plan Rules'!$F$9,IF(H46="Renewal",K46*'Commission Plan Rules'!$F$10,0)))</f>
        <v>1202.93159609121</v>
      </c>
    </row>
    <row r="47" customFormat="false" ht="15" hidden="false" customHeight="true" outlineLevel="0" collapsed="false">
      <c r="A47" s="24" t="s">
        <v>220</v>
      </c>
      <c r="B47" s="24" t="s">
        <v>92</v>
      </c>
      <c r="C47" s="34" t="str">
        <f aca="false">IFERROR(INDEX('Sales Roster &amp; Quotas'!$C$6:$C$20,MATCH($B47,'Sales Roster &amp; Quotas'!$B$6:$B$20,0)),"")</f>
        <v>Tyler Alvarez</v>
      </c>
      <c r="D47" s="34" t="str">
        <f aca="false">IFERROR(INDEX('Sales Roster &amp; Quotas'!$D$6:$D$20,MATCH($B47,'Sales Roster &amp; Quotas'!$B$6:$B$20,0)),"")</f>
        <v>Mid-Market</v>
      </c>
      <c r="E47" s="25" t="n">
        <v>46050</v>
      </c>
      <c r="F47" s="35" t="str">
        <f aca="false">TEXT(E47,"yyyy-mm")</f>
        <v>2026-01</v>
      </c>
      <c r="G47" s="35" t="str">
        <f aca="false">IF(MONTH(E47)&lt;=3,"Q1","Q2")</f>
        <v>Q1</v>
      </c>
      <c r="H47" s="24" t="s">
        <v>48</v>
      </c>
      <c r="I47" s="24" t="s">
        <v>221</v>
      </c>
      <c r="J47" s="24" t="s">
        <v>137</v>
      </c>
      <c r="K47" s="26" t="n">
        <v>1500</v>
      </c>
      <c r="L47" s="36" t="n">
        <f aca="false">IFERROR(INDEX('Sales Roster &amp; Quotas'!$G$6:$G$20,MATCH($B47,'Sales Roster &amp; Quotas'!$B$6:$B$20,0)),0)</f>
        <v>275000</v>
      </c>
      <c r="M47" s="37" t="n">
        <f aca="false">SUMIFS($K$5:$K$274,$B$5:$B$274,$B47,$G$5:$G$274,$G47,$H$5:$H$274,"New Business")</f>
        <v>260500</v>
      </c>
      <c r="N47" s="38" t="n">
        <f aca="false">IFERROR(M47/L47,0)</f>
        <v>0.947272727272727</v>
      </c>
      <c r="O47" s="37" t="n">
        <f aca="false">MIN(M47,L47)</f>
        <v>260500</v>
      </c>
      <c r="P47" s="37" t="n">
        <f aca="false">MAX(MIN(M47,L47*1.25)-L47,0)</f>
        <v>0</v>
      </c>
      <c r="Q47" s="37" t="n">
        <f aca="false">MAX(M47-L47*1.25,0)</f>
        <v>0</v>
      </c>
      <c r="R47" s="36" t="n">
        <f aca="false">O47*'Commission Plan Rules'!$F$6+P47*'Commission Plan Rules'!$F$7+Q47*'Commission Plan Rules'!$F$8</f>
        <v>20840</v>
      </c>
      <c r="S47" s="39" t="n">
        <f aca="false">IF(H47="New Business",IFERROR((K47/M47)*R47,0),IF(H47="Upsell",K47*'Commission Plan Rules'!$F$9,IF(H47="Renewal",K47*'Commission Plan Rules'!$F$10,0)))</f>
        <v>45</v>
      </c>
    </row>
    <row r="48" customFormat="false" ht="15" hidden="false" customHeight="true" outlineLevel="0" collapsed="false">
      <c r="A48" s="27" t="s">
        <v>222</v>
      </c>
      <c r="B48" s="27" t="s">
        <v>67</v>
      </c>
      <c r="C48" s="40" t="str">
        <f aca="false">IFERROR(INDEX('Sales Roster &amp; Quotas'!$C$6:$C$20,MATCH($B48,'Sales Roster &amp; Quotas'!$B$6:$B$20,0)),"")</f>
        <v>Maria Chen</v>
      </c>
      <c r="D48" s="40" t="str">
        <f aca="false">IFERROR(INDEX('Sales Roster &amp; Quotas'!$D$6:$D$20,MATCH($B48,'Sales Roster &amp; Quotas'!$B$6:$B$20,0)),"")</f>
        <v>SMB</v>
      </c>
      <c r="E48" s="28" t="n">
        <v>46050</v>
      </c>
      <c r="F48" s="41" t="str">
        <f aca="false">TEXT(E48,"yyyy-mm")</f>
        <v>2026-01</v>
      </c>
      <c r="G48" s="41" t="str">
        <f aca="false">IF(MONTH(E48)&lt;=3,"Q1","Q2")</f>
        <v>Q1</v>
      </c>
      <c r="H48" s="27" t="s">
        <v>40</v>
      </c>
      <c r="I48" s="27" t="s">
        <v>223</v>
      </c>
      <c r="J48" s="27" t="s">
        <v>137</v>
      </c>
      <c r="K48" s="29" t="n">
        <v>42500</v>
      </c>
      <c r="L48" s="42" t="n">
        <f aca="false">IFERROR(INDEX('Sales Roster &amp; Quotas'!$G$6:$G$20,MATCH($B48,'Sales Roster &amp; Quotas'!$B$6:$B$20,0)),0)</f>
        <v>160000</v>
      </c>
      <c r="M48" s="43" t="n">
        <f aca="false">SUMIFS($K$5:$K$274,$B$5:$B$274,$B48,$G$5:$G$274,$G48,$H$5:$H$274,"New Business")</f>
        <v>142000</v>
      </c>
      <c r="N48" s="44" t="n">
        <f aca="false">IFERROR(M48/L48,0)</f>
        <v>0.8875</v>
      </c>
      <c r="O48" s="43" t="n">
        <f aca="false">MIN(M48,L48)</f>
        <v>142000</v>
      </c>
      <c r="P48" s="43" t="n">
        <f aca="false">MAX(MIN(M48,L48*1.25)-L48,0)</f>
        <v>0</v>
      </c>
      <c r="Q48" s="43" t="n">
        <f aca="false">MAX(M48-L48*1.25,0)</f>
        <v>0</v>
      </c>
      <c r="R48" s="42" t="n">
        <f aca="false">O48*'Commission Plan Rules'!$F$6+P48*'Commission Plan Rules'!$F$7+Q48*'Commission Plan Rules'!$F$8</f>
        <v>11360</v>
      </c>
      <c r="S48" s="45" t="n">
        <f aca="false">IF(H48="New Business",IFERROR((K48/M48)*R48,0),IF(H48="Upsell",K48*'Commission Plan Rules'!$F$9,IF(H48="Renewal",K48*'Commission Plan Rules'!$F$10,0)))</f>
        <v>3400</v>
      </c>
    </row>
    <row r="49" customFormat="false" ht="15" hidden="false" customHeight="true" outlineLevel="0" collapsed="false">
      <c r="A49" s="24" t="s">
        <v>224</v>
      </c>
      <c r="B49" s="24" t="s">
        <v>67</v>
      </c>
      <c r="C49" s="34" t="str">
        <f aca="false">IFERROR(INDEX('Sales Roster &amp; Quotas'!$C$6:$C$20,MATCH($B49,'Sales Roster &amp; Quotas'!$B$6:$B$20,0)),"")</f>
        <v>Maria Chen</v>
      </c>
      <c r="D49" s="34" t="str">
        <f aca="false">IFERROR(INDEX('Sales Roster &amp; Quotas'!$D$6:$D$20,MATCH($B49,'Sales Roster &amp; Quotas'!$B$6:$B$20,0)),"")</f>
        <v>SMB</v>
      </c>
      <c r="E49" s="25" t="n">
        <v>46055</v>
      </c>
      <c r="F49" s="35" t="str">
        <f aca="false">TEXT(E49,"yyyy-mm")</f>
        <v>2026-02</v>
      </c>
      <c r="G49" s="35" t="str">
        <f aca="false">IF(MONTH(E49)&lt;=3,"Q1","Q2")</f>
        <v>Q1</v>
      </c>
      <c r="H49" s="24" t="s">
        <v>45</v>
      </c>
      <c r="I49" s="24" t="s">
        <v>225</v>
      </c>
      <c r="J49" s="24" t="s">
        <v>142</v>
      </c>
      <c r="K49" s="26" t="n">
        <v>11500</v>
      </c>
      <c r="L49" s="36" t="n">
        <f aca="false">IFERROR(INDEX('Sales Roster &amp; Quotas'!$G$6:$G$20,MATCH($B49,'Sales Roster &amp; Quotas'!$B$6:$B$20,0)),0)</f>
        <v>160000</v>
      </c>
      <c r="M49" s="37" t="n">
        <f aca="false">SUMIFS($K$5:$K$274,$B$5:$B$274,$B49,$G$5:$G$274,$G49,$H$5:$H$274,"New Business")</f>
        <v>142000</v>
      </c>
      <c r="N49" s="38" t="n">
        <f aca="false">IFERROR(M49/L49,0)</f>
        <v>0.8875</v>
      </c>
      <c r="O49" s="37" t="n">
        <f aca="false">MIN(M49,L49)</f>
        <v>142000</v>
      </c>
      <c r="P49" s="37" t="n">
        <f aca="false">MAX(MIN(M49,L49*1.25)-L49,0)</f>
        <v>0</v>
      </c>
      <c r="Q49" s="37" t="n">
        <f aca="false">MAX(M49-L49*1.25,0)</f>
        <v>0</v>
      </c>
      <c r="R49" s="36" t="n">
        <f aca="false">O49*'Commission Plan Rules'!$F$6+P49*'Commission Plan Rules'!$F$7+Q49*'Commission Plan Rules'!$F$8</f>
        <v>11360</v>
      </c>
      <c r="S49" s="39" t="n">
        <f aca="false">IF(H49="New Business",IFERROR((K49/M49)*R49,0),IF(H49="Upsell",K49*'Commission Plan Rules'!$F$9,IF(H49="Renewal",K49*'Commission Plan Rules'!$F$10,0)))</f>
        <v>690</v>
      </c>
    </row>
    <row r="50" customFormat="false" ht="15" hidden="false" customHeight="true" outlineLevel="0" collapsed="false">
      <c r="A50" s="27" t="s">
        <v>226</v>
      </c>
      <c r="B50" s="27" t="s">
        <v>107</v>
      </c>
      <c r="C50" s="40" t="str">
        <f aca="false">IFERROR(INDEX('Sales Roster &amp; Quotas'!$C$6:$C$20,MATCH($B50,'Sales Roster &amp; Quotas'!$B$6:$B$20,0)),"")</f>
        <v>Grace Adeyemi</v>
      </c>
      <c r="D50" s="40" t="str">
        <f aca="false">IFERROR(INDEX('Sales Roster &amp; Quotas'!$D$6:$D$20,MATCH($B50,'Sales Roster &amp; Quotas'!$B$6:$B$20,0)),"")</f>
        <v>Enterprise</v>
      </c>
      <c r="E50" s="28" t="n">
        <v>46055</v>
      </c>
      <c r="F50" s="41" t="str">
        <f aca="false">TEXT(E50,"yyyy-mm")</f>
        <v>2026-02</v>
      </c>
      <c r="G50" s="41" t="str">
        <f aca="false">IF(MONTH(E50)&lt;=3,"Q1","Q2")</f>
        <v>Q1</v>
      </c>
      <c r="H50" s="27" t="s">
        <v>40</v>
      </c>
      <c r="I50" s="27" t="s">
        <v>227</v>
      </c>
      <c r="J50" s="27" t="s">
        <v>152</v>
      </c>
      <c r="K50" s="29" t="n">
        <v>403500</v>
      </c>
      <c r="L50" s="42" t="n">
        <f aca="false">IFERROR(INDEX('Sales Roster &amp; Quotas'!$G$6:$G$20,MATCH($B50,'Sales Roster &amp; Quotas'!$B$6:$B$20,0)),0)</f>
        <v>626000</v>
      </c>
      <c r="M50" s="43" t="n">
        <f aca="false">SUMIFS($K$5:$K$274,$B$5:$B$274,$B50,$G$5:$G$274,$G50,$H$5:$H$274,"New Business")</f>
        <v>403500</v>
      </c>
      <c r="N50" s="44" t="n">
        <f aca="false">IFERROR(M50/L50,0)</f>
        <v>0.644568690095847</v>
      </c>
      <c r="O50" s="43" t="n">
        <f aca="false">MIN(M50,L50)</f>
        <v>403500</v>
      </c>
      <c r="P50" s="43" t="n">
        <f aca="false">MAX(MIN(M50,L50*1.25)-L50,0)</f>
        <v>0</v>
      </c>
      <c r="Q50" s="43" t="n">
        <f aca="false">MAX(M50-L50*1.25,0)</f>
        <v>0</v>
      </c>
      <c r="R50" s="42" t="n">
        <f aca="false">O50*'Commission Plan Rules'!$F$6+P50*'Commission Plan Rules'!$F$7+Q50*'Commission Plan Rules'!$F$8</f>
        <v>32280</v>
      </c>
      <c r="S50" s="45" t="n">
        <f aca="false">IF(H50="New Business",IFERROR((K50/M50)*R50,0),IF(H50="Upsell",K50*'Commission Plan Rules'!$F$9,IF(H50="Renewal",K50*'Commission Plan Rules'!$F$10,0)))</f>
        <v>32280</v>
      </c>
    </row>
    <row r="51" customFormat="false" ht="15" hidden="false" customHeight="true" outlineLevel="0" collapsed="false">
      <c r="A51" s="24" t="s">
        <v>228</v>
      </c>
      <c r="B51" s="24" t="s">
        <v>114</v>
      </c>
      <c r="C51" s="34" t="str">
        <f aca="false">IFERROR(INDEX('Sales Roster &amp; Quotas'!$C$6:$C$20,MATCH($B51,'Sales Roster &amp; Quotas'!$B$6:$B$20,0)),"")</f>
        <v>Lucia Larsen</v>
      </c>
      <c r="D51" s="34" t="str">
        <f aca="false">IFERROR(INDEX('Sales Roster &amp; Quotas'!$D$6:$D$20,MATCH($B51,'Sales Roster &amp; Quotas'!$B$6:$B$20,0)),"")</f>
        <v>Enterprise</v>
      </c>
      <c r="E51" s="25" t="n">
        <v>46057</v>
      </c>
      <c r="F51" s="35" t="str">
        <f aca="false">TEXT(E51,"yyyy-mm")</f>
        <v>2026-02</v>
      </c>
      <c r="G51" s="35" t="str">
        <f aca="false">IF(MONTH(E51)&lt;=3,"Q1","Q2")</f>
        <v>Q1</v>
      </c>
      <c r="H51" s="24" t="s">
        <v>40</v>
      </c>
      <c r="I51" s="24" t="s">
        <v>229</v>
      </c>
      <c r="J51" s="24" t="s">
        <v>137</v>
      </c>
      <c r="K51" s="26" t="n">
        <v>542500</v>
      </c>
      <c r="L51" s="36" t="n">
        <f aca="false">IFERROR(INDEX('Sales Roster &amp; Quotas'!$G$6:$G$20,MATCH($B51,'Sales Roster &amp; Quotas'!$B$6:$B$20,0)),0)</f>
        <v>594000</v>
      </c>
      <c r="M51" s="37" t="n">
        <f aca="false">SUMIFS($K$5:$K$274,$B$5:$B$274,$B51,$G$5:$G$274,$G51,$H$5:$H$274,"New Business")</f>
        <v>542500</v>
      </c>
      <c r="N51" s="38" t="n">
        <f aca="false">IFERROR(M51/L51,0)</f>
        <v>0.913299663299663</v>
      </c>
      <c r="O51" s="37" t="n">
        <f aca="false">MIN(M51,L51)</f>
        <v>542500</v>
      </c>
      <c r="P51" s="37" t="n">
        <f aca="false">MAX(MIN(M51,L51*1.25)-L51,0)</f>
        <v>0</v>
      </c>
      <c r="Q51" s="37" t="n">
        <f aca="false">MAX(M51-L51*1.25,0)</f>
        <v>0</v>
      </c>
      <c r="R51" s="36" t="n">
        <f aca="false">O51*'Commission Plan Rules'!$F$6+P51*'Commission Plan Rules'!$F$7+Q51*'Commission Plan Rules'!$F$8</f>
        <v>43400</v>
      </c>
      <c r="S51" s="39" t="n">
        <f aca="false">IF(H51="New Business",IFERROR((K51/M51)*R51,0),IF(H51="Upsell",K51*'Commission Plan Rules'!$F$9,IF(H51="Renewal",K51*'Commission Plan Rules'!$F$10,0)))</f>
        <v>43400</v>
      </c>
    </row>
    <row r="52" customFormat="false" ht="15" hidden="false" customHeight="true" outlineLevel="0" collapsed="false">
      <c r="A52" s="27" t="s">
        <v>230</v>
      </c>
      <c r="B52" s="27" t="s">
        <v>88</v>
      </c>
      <c r="C52" s="40" t="str">
        <f aca="false">IFERROR(INDEX('Sales Roster &amp; Quotas'!$C$6:$C$20,MATCH($B52,'Sales Roster &amp; Quotas'!$B$6:$B$20,0)),"")</f>
        <v>Elena Kowalski</v>
      </c>
      <c r="D52" s="40" t="str">
        <f aca="false">IFERROR(INDEX('Sales Roster &amp; Quotas'!$D$6:$D$20,MATCH($B52,'Sales Roster &amp; Quotas'!$B$6:$B$20,0)),"")</f>
        <v>Mid-Market</v>
      </c>
      <c r="E52" s="28" t="n">
        <v>46057</v>
      </c>
      <c r="F52" s="41" t="str">
        <f aca="false">TEXT(E52,"yyyy-mm")</f>
        <v>2026-02</v>
      </c>
      <c r="G52" s="41" t="str">
        <f aca="false">IF(MONTH(E52)&lt;=3,"Q1","Q2")</f>
        <v>Q1</v>
      </c>
      <c r="H52" s="27" t="s">
        <v>40</v>
      </c>
      <c r="I52" s="27" t="s">
        <v>231</v>
      </c>
      <c r="J52" s="27" t="s">
        <v>137</v>
      </c>
      <c r="K52" s="29" t="n">
        <v>112000</v>
      </c>
      <c r="L52" s="42" t="n">
        <f aca="false">IFERROR(INDEX('Sales Roster &amp; Quotas'!$G$6:$G$20,MATCH($B52,'Sales Roster &amp; Quotas'!$B$6:$B$20,0)),0)</f>
        <v>320000</v>
      </c>
      <c r="M52" s="43" t="n">
        <f aca="false">SUMIFS($K$5:$K$274,$B$5:$B$274,$B52,$G$5:$G$274,$G52,$H$5:$H$274,"New Business")</f>
        <v>259000</v>
      </c>
      <c r="N52" s="44" t="n">
        <f aca="false">IFERROR(M52/L52,0)</f>
        <v>0.809375</v>
      </c>
      <c r="O52" s="43" t="n">
        <f aca="false">MIN(M52,L52)</f>
        <v>259000</v>
      </c>
      <c r="P52" s="43" t="n">
        <f aca="false">MAX(MIN(M52,L52*1.25)-L52,0)</f>
        <v>0</v>
      </c>
      <c r="Q52" s="43" t="n">
        <f aca="false">MAX(M52-L52*1.25,0)</f>
        <v>0</v>
      </c>
      <c r="R52" s="42" t="n">
        <f aca="false">O52*'Commission Plan Rules'!$F$6+P52*'Commission Plan Rules'!$F$7+Q52*'Commission Plan Rules'!$F$8</f>
        <v>20720</v>
      </c>
      <c r="S52" s="45" t="n">
        <f aca="false">IF(H52="New Business",IFERROR((K52/M52)*R52,0),IF(H52="Upsell",K52*'Commission Plan Rules'!$F$9,IF(H52="Renewal",K52*'Commission Plan Rules'!$F$10,0)))</f>
        <v>8960</v>
      </c>
    </row>
    <row r="53" customFormat="false" ht="15" hidden="false" customHeight="true" outlineLevel="0" collapsed="false">
      <c r="A53" s="24" t="s">
        <v>232</v>
      </c>
      <c r="B53" s="24" t="s">
        <v>85</v>
      </c>
      <c r="C53" s="34" t="str">
        <f aca="false">IFERROR(INDEX('Sales Roster &amp; Quotas'!$C$6:$C$20,MATCH($B53,'Sales Roster &amp; Quotas'!$B$6:$B$20,0)),"")</f>
        <v>Marcus Bennett</v>
      </c>
      <c r="D53" s="34" t="str">
        <f aca="false">IFERROR(INDEX('Sales Roster &amp; Quotas'!$D$6:$D$20,MATCH($B53,'Sales Roster &amp; Quotas'!$B$6:$B$20,0)),"")</f>
        <v>SMB</v>
      </c>
      <c r="E53" s="25" t="n">
        <v>46057</v>
      </c>
      <c r="F53" s="35" t="str">
        <f aca="false">TEXT(E53,"yyyy-mm")</f>
        <v>2026-02</v>
      </c>
      <c r="G53" s="35" t="str">
        <f aca="false">IF(MONTH(E53)&lt;=3,"Q1","Q2")</f>
        <v>Q1</v>
      </c>
      <c r="H53" s="24" t="s">
        <v>45</v>
      </c>
      <c r="I53" s="24" t="s">
        <v>233</v>
      </c>
      <c r="J53" s="24" t="s">
        <v>152</v>
      </c>
      <c r="K53" s="26" t="n">
        <v>22500</v>
      </c>
      <c r="L53" s="36" t="n">
        <f aca="false">IFERROR(INDEX('Sales Roster &amp; Quotas'!$G$6:$G$20,MATCH($B53,'Sales Roster &amp; Quotas'!$B$6:$B$20,0)),0)</f>
        <v>159000</v>
      </c>
      <c r="M53" s="37" t="n">
        <f aca="false">SUMIFS($K$5:$K$274,$B$5:$B$274,$B53,$G$5:$G$274,$G53,$H$5:$H$274,"New Business")</f>
        <v>174500</v>
      </c>
      <c r="N53" s="38" t="n">
        <f aca="false">IFERROR(M53/L53,0)</f>
        <v>1.09748427672956</v>
      </c>
      <c r="O53" s="37" t="n">
        <f aca="false">MIN(M53,L53)</f>
        <v>159000</v>
      </c>
      <c r="P53" s="37" t="n">
        <f aca="false">MAX(MIN(M53,L53*1.25)-L53,0)</f>
        <v>15500</v>
      </c>
      <c r="Q53" s="37" t="n">
        <f aca="false">MAX(M53-L53*1.25,0)</f>
        <v>0</v>
      </c>
      <c r="R53" s="36" t="n">
        <f aca="false">O53*'Commission Plan Rules'!$F$6+P53*'Commission Plan Rules'!$F$7+Q53*'Commission Plan Rules'!$F$8</f>
        <v>14270</v>
      </c>
      <c r="S53" s="39" t="n">
        <f aca="false">IF(H53="New Business",IFERROR((K53/M53)*R53,0),IF(H53="Upsell",K53*'Commission Plan Rules'!$F$9,IF(H53="Renewal",K53*'Commission Plan Rules'!$F$10,0)))</f>
        <v>1350</v>
      </c>
    </row>
    <row r="54" customFormat="false" ht="15" hidden="false" customHeight="true" outlineLevel="0" collapsed="false">
      <c r="A54" s="27" t="s">
        <v>234</v>
      </c>
      <c r="B54" s="27" t="s">
        <v>79</v>
      </c>
      <c r="C54" s="40" t="str">
        <f aca="false">IFERROR(INDEX('Sales Roster &amp; Quotas'!$C$6:$C$20,MATCH($B54,'Sales Roster &amp; Quotas'!$B$6:$B$20,0)),"")</f>
        <v>David Nguyen</v>
      </c>
      <c r="D54" s="40" t="str">
        <f aca="false">IFERROR(INDEX('Sales Roster &amp; Quotas'!$D$6:$D$20,MATCH($B54,'Sales Roster &amp; Quotas'!$B$6:$B$20,0)),"")</f>
        <v>SMB</v>
      </c>
      <c r="E54" s="28" t="n">
        <v>46058</v>
      </c>
      <c r="F54" s="41" t="str">
        <f aca="false">TEXT(E54,"yyyy-mm")</f>
        <v>2026-02</v>
      </c>
      <c r="G54" s="41" t="str">
        <f aca="false">IF(MONTH(E54)&lt;=3,"Q1","Q2")</f>
        <v>Q1</v>
      </c>
      <c r="H54" s="27" t="s">
        <v>40</v>
      </c>
      <c r="I54" s="27" t="s">
        <v>235</v>
      </c>
      <c r="J54" s="27" t="s">
        <v>157</v>
      </c>
      <c r="K54" s="29" t="n">
        <v>47000</v>
      </c>
      <c r="L54" s="42" t="n">
        <f aca="false">IFERROR(INDEX('Sales Roster &amp; Quotas'!$G$6:$G$20,MATCH($B54,'Sales Roster &amp; Quotas'!$B$6:$B$20,0)),0)</f>
        <v>155000</v>
      </c>
      <c r="M54" s="43" t="n">
        <f aca="false">SUMIFS($K$5:$K$274,$B$5:$B$274,$B54,$G$5:$G$274,$G54,$H$5:$H$274,"New Business")</f>
        <v>196500</v>
      </c>
      <c r="N54" s="44" t="n">
        <f aca="false">IFERROR(M54/L54,0)</f>
        <v>1.26774193548387</v>
      </c>
      <c r="O54" s="43" t="n">
        <f aca="false">MIN(M54,L54)</f>
        <v>155000</v>
      </c>
      <c r="P54" s="43" t="n">
        <f aca="false">MAX(MIN(M54,L54*1.25)-L54,0)</f>
        <v>38750</v>
      </c>
      <c r="Q54" s="43" t="n">
        <f aca="false">MAX(M54-L54*1.25,0)</f>
        <v>2750</v>
      </c>
      <c r="R54" s="42" t="n">
        <f aca="false">O54*'Commission Plan Rules'!$F$6+P54*'Commission Plan Rules'!$F$7+Q54*'Commission Plan Rules'!$F$8</f>
        <v>16605</v>
      </c>
      <c r="S54" s="45" t="n">
        <f aca="false">IF(H54="New Business",IFERROR((K54/M54)*R54,0),IF(H54="Upsell",K54*'Commission Plan Rules'!$F$9,IF(H54="Renewal",K54*'Commission Plan Rules'!$F$10,0)))</f>
        <v>3971.67938931298</v>
      </c>
    </row>
    <row r="55" customFormat="false" ht="15" hidden="false" customHeight="true" outlineLevel="0" collapsed="false">
      <c r="A55" s="24" t="s">
        <v>236</v>
      </c>
      <c r="B55" s="24" t="s">
        <v>85</v>
      </c>
      <c r="C55" s="34" t="str">
        <f aca="false">IFERROR(INDEX('Sales Roster &amp; Quotas'!$C$6:$C$20,MATCH($B55,'Sales Roster &amp; Quotas'!$B$6:$B$20,0)),"")</f>
        <v>Marcus Bennett</v>
      </c>
      <c r="D55" s="34" t="str">
        <f aca="false">IFERROR(INDEX('Sales Roster &amp; Quotas'!$D$6:$D$20,MATCH($B55,'Sales Roster &amp; Quotas'!$B$6:$B$20,0)),"")</f>
        <v>SMB</v>
      </c>
      <c r="E55" s="25" t="n">
        <v>46059</v>
      </c>
      <c r="F55" s="35" t="str">
        <f aca="false">TEXT(E55,"yyyy-mm")</f>
        <v>2026-02</v>
      </c>
      <c r="G55" s="35" t="str">
        <f aca="false">IF(MONTH(E55)&lt;=3,"Q1","Q2")</f>
        <v>Q1</v>
      </c>
      <c r="H55" s="24" t="s">
        <v>45</v>
      </c>
      <c r="I55" s="24" t="s">
        <v>237</v>
      </c>
      <c r="J55" s="24" t="s">
        <v>137</v>
      </c>
      <c r="K55" s="26" t="n">
        <v>21000</v>
      </c>
      <c r="L55" s="36" t="n">
        <f aca="false">IFERROR(INDEX('Sales Roster &amp; Quotas'!$G$6:$G$20,MATCH($B55,'Sales Roster &amp; Quotas'!$B$6:$B$20,0)),0)</f>
        <v>159000</v>
      </c>
      <c r="M55" s="37" t="n">
        <f aca="false">SUMIFS($K$5:$K$274,$B$5:$B$274,$B55,$G$5:$G$274,$G55,$H$5:$H$274,"New Business")</f>
        <v>174500</v>
      </c>
      <c r="N55" s="38" t="n">
        <f aca="false">IFERROR(M55/L55,0)</f>
        <v>1.09748427672956</v>
      </c>
      <c r="O55" s="37" t="n">
        <f aca="false">MIN(M55,L55)</f>
        <v>159000</v>
      </c>
      <c r="P55" s="37" t="n">
        <f aca="false">MAX(MIN(M55,L55*1.25)-L55,0)</f>
        <v>15500</v>
      </c>
      <c r="Q55" s="37" t="n">
        <f aca="false">MAX(M55-L55*1.25,0)</f>
        <v>0</v>
      </c>
      <c r="R55" s="36" t="n">
        <f aca="false">O55*'Commission Plan Rules'!$F$6+P55*'Commission Plan Rules'!$F$7+Q55*'Commission Plan Rules'!$F$8</f>
        <v>14270</v>
      </c>
      <c r="S55" s="39" t="n">
        <f aca="false">IF(H55="New Business",IFERROR((K55/M55)*R55,0),IF(H55="Upsell",K55*'Commission Plan Rules'!$F$9,IF(H55="Renewal",K55*'Commission Plan Rules'!$F$10,0)))</f>
        <v>1260</v>
      </c>
    </row>
    <row r="56" customFormat="false" ht="15" hidden="false" customHeight="true" outlineLevel="0" collapsed="false">
      <c r="A56" s="27" t="s">
        <v>238</v>
      </c>
      <c r="B56" s="27" t="s">
        <v>85</v>
      </c>
      <c r="C56" s="40" t="str">
        <f aca="false">IFERROR(INDEX('Sales Roster &amp; Quotas'!$C$6:$C$20,MATCH($B56,'Sales Roster &amp; Quotas'!$B$6:$B$20,0)),"")</f>
        <v>Marcus Bennett</v>
      </c>
      <c r="D56" s="40" t="str">
        <f aca="false">IFERROR(INDEX('Sales Roster &amp; Quotas'!$D$6:$D$20,MATCH($B56,'Sales Roster &amp; Quotas'!$B$6:$B$20,0)),"")</f>
        <v>SMB</v>
      </c>
      <c r="E56" s="28" t="n">
        <v>46059</v>
      </c>
      <c r="F56" s="41" t="str">
        <f aca="false">TEXT(E56,"yyyy-mm")</f>
        <v>2026-02</v>
      </c>
      <c r="G56" s="41" t="str">
        <f aca="false">IF(MONTH(E56)&lt;=3,"Q1","Q2")</f>
        <v>Q1</v>
      </c>
      <c r="H56" s="27" t="s">
        <v>48</v>
      </c>
      <c r="I56" s="27" t="s">
        <v>239</v>
      </c>
      <c r="J56" s="27" t="s">
        <v>142</v>
      </c>
      <c r="K56" s="29" t="n">
        <v>18000</v>
      </c>
      <c r="L56" s="42" t="n">
        <f aca="false">IFERROR(INDEX('Sales Roster &amp; Quotas'!$G$6:$G$20,MATCH($B56,'Sales Roster &amp; Quotas'!$B$6:$B$20,0)),0)</f>
        <v>159000</v>
      </c>
      <c r="M56" s="43" t="n">
        <f aca="false">SUMIFS($K$5:$K$274,$B$5:$B$274,$B56,$G$5:$G$274,$G56,$H$5:$H$274,"New Business")</f>
        <v>174500</v>
      </c>
      <c r="N56" s="44" t="n">
        <f aca="false">IFERROR(M56/L56,0)</f>
        <v>1.09748427672956</v>
      </c>
      <c r="O56" s="43" t="n">
        <f aca="false">MIN(M56,L56)</f>
        <v>159000</v>
      </c>
      <c r="P56" s="43" t="n">
        <f aca="false">MAX(MIN(M56,L56*1.25)-L56,0)</f>
        <v>15500</v>
      </c>
      <c r="Q56" s="43" t="n">
        <f aca="false">MAX(M56-L56*1.25,0)</f>
        <v>0</v>
      </c>
      <c r="R56" s="42" t="n">
        <f aca="false">O56*'Commission Plan Rules'!$F$6+P56*'Commission Plan Rules'!$F$7+Q56*'Commission Plan Rules'!$F$8</f>
        <v>14270</v>
      </c>
      <c r="S56" s="45" t="n">
        <f aca="false">IF(H56="New Business",IFERROR((K56/M56)*R56,0),IF(H56="Upsell",K56*'Commission Plan Rules'!$F$9,IF(H56="Renewal",K56*'Commission Plan Rules'!$F$10,0)))</f>
        <v>540</v>
      </c>
    </row>
    <row r="57" customFormat="false" ht="15" hidden="false" customHeight="true" outlineLevel="0" collapsed="false">
      <c r="A57" s="24" t="s">
        <v>240</v>
      </c>
      <c r="B57" s="24" t="s">
        <v>107</v>
      </c>
      <c r="C57" s="34" t="str">
        <f aca="false">IFERROR(INDEX('Sales Roster &amp; Quotas'!$C$6:$C$20,MATCH($B57,'Sales Roster &amp; Quotas'!$B$6:$B$20,0)),"")</f>
        <v>Grace Adeyemi</v>
      </c>
      <c r="D57" s="34" t="str">
        <f aca="false">IFERROR(INDEX('Sales Roster &amp; Quotas'!$D$6:$D$20,MATCH($B57,'Sales Roster &amp; Quotas'!$B$6:$B$20,0)),"")</f>
        <v>Enterprise</v>
      </c>
      <c r="E57" s="25" t="n">
        <v>46059</v>
      </c>
      <c r="F57" s="35" t="str">
        <f aca="false">TEXT(E57,"yyyy-mm")</f>
        <v>2026-02</v>
      </c>
      <c r="G57" s="35" t="str">
        <f aca="false">IF(MONTH(E57)&lt;=3,"Q1","Q2")</f>
        <v>Q1</v>
      </c>
      <c r="H57" s="24" t="s">
        <v>48</v>
      </c>
      <c r="I57" s="24" t="s">
        <v>151</v>
      </c>
      <c r="J57" s="24" t="s">
        <v>137</v>
      </c>
      <c r="K57" s="26" t="n">
        <v>101500</v>
      </c>
      <c r="L57" s="36" t="n">
        <f aca="false">IFERROR(INDEX('Sales Roster &amp; Quotas'!$G$6:$G$20,MATCH($B57,'Sales Roster &amp; Quotas'!$B$6:$B$20,0)),0)</f>
        <v>626000</v>
      </c>
      <c r="M57" s="37" t="n">
        <f aca="false">SUMIFS($K$5:$K$274,$B$5:$B$274,$B57,$G$5:$G$274,$G57,$H$5:$H$274,"New Business")</f>
        <v>403500</v>
      </c>
      <c r="N57" s="38" t="n">
        <f aca="false">IFERROR(M57/L57,0)</f>
        <v>0.644568690095847</v>
      </c>
      <c r="O57" s="37" t="n">
        <f aca="false">MIN(M57,L57)</f>
        <v>403500</v>
      </c>
      <c r="P57" s="37" t="n">
        <f aca="false">MAX(MIN(M57,L57*1.25)-L57,0)</f>
        <v>0</v>
      </c>
      <c r="Q57" s="37" t="n">
        <f aca="false">MAX(M57-L57*1.25,0)</f>
        <v>0</v>
      </c>
      <c r="R57" s="36" t="n">
        <f aca="false">O57*'Commission Plan Rules'!$F$6+P57*'Commission Plan Rules'!$F$7+Q57*'Commission Plan Rules'!$F$8</f>
        <v>32280</v>
      </c>
      <c r="S57" s="39" t="n">
        <f aca="false">IF(H57="New Business",IFERROR((K57/M57)*R57,0),IF(H57="Upsell",K57*'Commission Plan Rules'!$F$9,IF(H57="Renewal",K57*'Commission Plan Rules'!$F$10,0)))</f>
        <v>3045</v>
      </c>
    </row>
    <row r="58" customFormat="false" ht="15" hidden="false" customHeight="true" outlineLevel="0" collapsed="false">
      <c r="A58" s="27" t="s">
        <v>241</v>
      </c>
      <c r="B58" s="27" t="s">
        <v>104</v>
      </c>
      <c r="C58" s="40" t="str">
        <f aca="false">IFERROR(INDEX('Sales Roster &amp; Quotas'!$C$6:$C$20,MATCH($B58,'Sales Roster &amp; Quotas'!$B$6:$B$20,0)),"")</f>
        <v>Omar Fischer</v>
      </c>
      <c r="D58" s="40" t="str">
        <f aca="false">IFERROR(INDEX('Sales Roster &amp; Quotas'!$D$6:$D$20,MATCH($B58,'Sales Roster &amp; Quotas'!$B$6:$B$20,0)),"")</f>
        <v>Mid-Market</v>
      </c>
      <c r="E58" s="28" t="n">
        <v>46061</v>
      </c>
      <c r="F58" s="41" t="str">
        <f aca="false">TEXT(E58,"yyyy-mm")</f>
        <v>2026-02</v>
      </c>
      <c r="G58" s="41" t="str">
        <f aca="false">IF(MONTH(E58)&lt;=3,"Q1","Q2")</f>
        <v>Q1</v>
      </c>
      <c r="H58" s="27" t="s">
        <v>40</v>
      </c>
      <c r="I58" s="27" t="s">
        <v>242</v>
      </c>
      <c r="J58" s="27" t="s">
        <v>142</v>
      </c>
      <c r="K58" s="29" t="n">
        <v>61500</v>
      </c>
      <c r="L58" s="42" t="n">
        <f aca="false">IFERROR(INDEX('Sales Roster &amp; Quotas'!$G$6:$G$20,MATCH($B58,'Sales Roster &amp; Quotas'!$B$6:$B$20,0)),0)</f>
        <v>324000</v>
      </c>
      <c r="M58" s="43" t="n">
        <f aca="false">SUMIFS($K$5:$K$274,$B$5:$B$274,$B58,$G$5:$G$274,$G58,$H$5:$H$274,"New Business")</f>
        <v>457000</v>
      </c>
      <c r="N58" s="44" t="n">
        <f aca="false">IFERROR(M58/L58,0)</f>
        <v>1.41049382716049</v>
      </c>
      <c r="O58" s="43" t="n">
        <f aca="false">MIN(M58,L58)</f>
        <v>324000</v>
      </c>
      <c r="P58" s="43" t="n">
        <f aca="false">MAX(MIN(M58,L58*1.25)-L58,0)</f>
        <v>81000</v>
      </c>
      <c r="Q58" s="43" t="n">
        <f aca="false">MAX(M58-L58*1.25,0)</f>
        <v>52000</v>
      </c>
      <c r="R58" s="42" t="n">
        <f aca="false">O58*'Commission Plan Rules'!$F$6+P58*'Commission Plan Rules'!$F$7+Q58*'Commission Plan Rules'!$F$8</f>
        <v>40260</v>
      </c>
      <c r="S58" s="45" t="n">
        <f aca="false">IF(H58="New Business",IFERROR((K58/M58)*R58,0),IF(H58="Upsell",K58*'Commission Plan Rules'!$F$9,IF(H58="Renewal",K58*'Commission Plan Rules'!$F$10,0)))</f>
        <v>5417.92122538293</v>
      </c>
    </row>
    <row r="59" customFormat="false" ht="15" hidden="false" customHeight="true" outlineLevel="0" collapsed="false">
      <c r="A59" s="24" t="s">
        <v>243</v>
      </c>
      <c r="B59" s="24" t="s">
        <v>92</v>
      </c>
      <c r="C59" s="34" t="str">
        <f aca="false">IFERROR(INDEX('Sales Roster &amp; Quotas'!$C$6:$C$20,MATCH($B59,'Sales Roster &amp; Quotas'!$B$6:$B$20,0)),"")</f>
        <v>Tyler Alvarez</v>
      </c>
      <c r="D59" s="34" t="str">
        <f aca="false">IFERROR(INDEX('Sales Roster &amp; Quotas'!$D$6:$D$20,MATCH($B59,'Sales Roster &amp; Quotas'!$B$6:$B$20,0)),"")</f>
        <v>Mid-Market</v>
      </c>
      <c r="E59" s="25" t="n">
        <v>46062</v>
      </c>
      <c r="F59" s="35" t="str">
        <f aca="false">TEXT(E59,"yyyy-mm")</f>
        <v>2026-02</v>
      </c>
      <c r="G59" s="35" t="str">
        <f aca="false">IF(MONTH(E59)&lt;=3,"Q1","Q2")</f>
        <v>Q1</v>
      </c>
      <c r="H59" s="24" t="s">
        <v>48</v>
      </c>
      <c r="I59" s="24" t="s">
        <v>244</v>
      </c>
      <c r="J59" s="24" t="s">
        <v>152</v>
      </c>
      <c r="K59" s="26" t="n">
        <v>79000</v>
      </c>
      <c r="L59" s="36" t="n">
        <f aca="false">IFERROR(INDEX('Sales Roster &amp; Quotas'!$G$6:$G$20,MATCH($B59,'Sales Roster &amp; Quotas'!$B$6:$B$20,0)),0)</f>
        <v>275000</v>
      </c>
      <c r="M59" s="37" t="n">
        <f aca="false">SUMIFS($K$5:$K$274,$B$5:$B$274,$B59,$G$5:$G$274,$G59,$H$5:$H$274,"New Business")</f>
        <v>260500</v>
      </c>
      <c r="N59" s="38" t="n">
        <f aca="false">IFERROR(M59/L59,0)</f>
        <v>0.947272727272727</v>
      </c>
      <c r="O59" s="37" t="n">
        <f aca="false">MIN(M59,L59)</f>
        <v>260500</v>
      </c>
      <c r="P59" s="37" t="n">
        <f aca="false">MAX(MIN(M59,L59*1.25)-L59,0)</f>
        <v>0</v>
      </c>
      <c r="Q59" s="37" t="n">
        <f aca="false">MAX(M59-L59*1.25,0)</f>
        <v>0</v>
      </c>
      <c r="R59" s="36" t="n">
        <f aca="false">O59*'Commission Plan Rules'!$F$6+P59*'Commission Plan Rules'!$F$7+Q59*'Commission Plan Rules'!$F$8</f>
        <v>20840</v>
      </c>
      <c r="S59" s="39" t="n">
        <f aca="false">IF(H59="New Business",IFERROR((K59/M59)*R59,0),IF(H59="Upsell",K59*'Commission Plan Rules'!$F$9,IF(H59="Renewal",K59*'Commission Plan Rules'!$F$10,0)))</f>
        <v>2370</v>
      </c>
    </row>
    <row r="60" customFormat="false" ht="15" hidden="false" customHeight="true" outlineLevel="0" collapsed="false">
      <c r="A60" s="27" t="s">
        <v>245</v>
      </c>
      <c r="B60" s="27" t="s">
        <v>85</v>
      </c>
      <c r="C60" s="40" t="str">
        <f aca="false">IFERROR(INDEX('Sales Roster &amp; Quotas'!$C$6:$C$20,MATCH($B60,'Sales Roster &amp; Quotas'!$B$6:$B$20,0)),"")</f>
        <v>Marcus Bennett</v>
      </c>
      <c r="D60" s="40" t="str">
        <f aca="false">IFERROR(INDEX('Sales Roster &amp; Quotas'!$D$6:$D$20,MATCH($B60,'Sales Roster &amp; Quotas'!$B$6:$B$20,0)),"")</f>
        <v>SMB</v>
      </c>
      <c r="E60" s="28" t="n">
        <v>46063</v>
      </c>
      <c r="F60" s="41" t="str">
        <f aca="false">TEXT(E60,"yyyy-mm")</f>
        <v>2026-02</v>
      </c>
      <c r="G60" s="41" t="str">
        <f aca="false">IF(MONTH(E60)&lt;=3,"Q1","Q2")</f>
        <v>Q1</v>
      </c>
      <c r="H60" s="27" t="s">
        <v>40</v>
      </c>
      <c r="I60" s="27" t="s">
        <v>177</v>
      </c>
      <c r="J60" s="27" t="s">
        <v>152</v>
      </c>
      <c r="K60" s="29" t="n">
        <v>14500</v>
      </c>
      <c r="L60" s="42" t="n">
        <f aca="false">IFERROR(INDEX('Sales Roster &amp; Quotas'!$G$6:$G$20,MATCH($B60,'Sales Roster &amp; Quotas'!$B$6:$B$20,0)),0)</f>
        <v>159000</v>
      </c>
      <c r="M60" s="43" t="n">
        <f aca="false">SUMIFS($K$5:$K$274,$B$5:$B$274,$B60,$G$5:$G$274,$G60,$H$5:$H$274,"New Business")</f>
        <v>174500</v>
      </c>
      <c r="N60" s="44" t="n">
        <f aca="false">IFERROR(M60/L60,0)</f>
        <v>1.09748427672956</v>
      </c>
      <c r="O60" s="43" t="n">
        <f aca="false">MIN(M60,L60)</f>
        <v>159000</v>
      </c>
      <c r="P60" s="43" t="n">
        <f aca="false">MAX(MIN(M60,L60*1.25)-L60,0)</f>
        <v>15500</v>
      </c>
      <c r="Q60" s="43" t="n">
        <f aca="false">MAX(M60-L60*1.25,0)</f>
        <v>0</v>
      </c>
      <c r="R60" s="42" t="n">
        <f aca="false">O60*'Commission Plan Rules'!$F$6+P60*'Commission Plan Rules'!$F$7+Q60*'Commission Plan Rules'!$F$8</f>
        <v>14270</v>
      </c>
      <c r="S60" s="45" t="n">
        <f aca="false">IF(H60="New Business",IFERROR((K60/M60)*R60,0),IF(H60="Upsell",K60*'Commission Plan Rules'!$F$9,IF(H60="Renewal",K60*'Commission Plan Rules'!$F$10,0)))</f>
        <v>1185.75931232092</v>
      </c>
    </row>
    <row r="61" customFormat="false" ht="15" hidden="false" customHeight="true" outlineLevel="0" collapsed="false">
      <c r="A61" s="24" t="s">
        <v>246</v>
      </c>
      <c r="B61" s="24" t="s">
        <v>88</v>
      </c>
      <c r="C61" s="34" t="str">
        <f aca="false">IFERROR(INDEX('Sales Roster &amp; Quotas'!$C$6:$C$20,MATCH($B61,'Sales Roster &amp; Quotas'!$B$6:$B$20,0)),"")</f>
        <v>Elena Kowalski</v>
      </c>
      <c r="D61" s="34" t="str">
        <f aca="false">IFERROR(INDEX('Sales Roster &amp; Quotas'!$D$6:$D$20,MATCH($B61,'Sales Roster &amp; Quotas'!$B$6:$B$20,0)),"")</f>
        <v>Mid-Market</v>
      </c>
      <c r="E61" s="25" t="n">
        <v>46063</v>
      </c>
      <c r="F61" s="35" t="str">
        <f aca="false">TEXT(E61,"yyyy-mm")</f>
        <v>2026-02</v>
      </c>
      <c r="G61" s="35" t="str">
        <f aca="false">IF(MONTH(E61)&lt;=3,"Q1","Q2")</f>
        <v>Q1</v>
      </c>
      <c r="H61" s="24" t="s">
        <v>45</v>
      </c>
      <c r="I61" s="24" t="s">
        <v>247</v>
      </c>
      <c r="J61" s="24" t="s">
        <v>152</v>
      </c>
      <c r="K61" s="26" t="n">
        <v>65000</v>
      </c>
      <c r="L61" s="36" t="n">
        <f aca="false">IFERROR(INDEX('Sales Roster &amp; Quotas'!$G$6:$G$20,MATCH($B61,'Sales Roster &amp; Quotas'!$B$6:$B$20,0)),0)</f>
        <v>320000</v>
      </c>
      <c r="M61" s="37" t="n">
        <f aca="false">SUMIFS($K$5:$K$274,$B$5:$B$274,$B61,$G$5:$G$274,$G61,$H$5:$H$274,"New Business")</f>
        <v>259000</v>
      </c>
      <c r="N61" s="38" t="n">
        <f aca="false">IFERROR(M61/L61,0)</f>
        <v>0.809375</v>
      </c>
      <c r="O61" s="37" t="n">
        <f aca="false">MIN(M61,L61)</f>
        <v>259000</v>
      </c>
      <c r="P61" s="37" t="n">
        <f aca="false">MAX(MIN(M61,L61*1.25)-L61,0)</f>
        <v>0</v>
      </c>
      <c r="Q61" s="37" t="n">
        <f aca="false">MAX(M61-L61*1.25,0)</f>
        <v>0</v>
      </c>
      <c r="R61" s="36" t="n">
        <f aca="false">O61*'Commission Plan Rules'!$F$6+P61*'Commission Plan Rules'!$F$7+Q61*'Commission Plan Rules'!$F$8</f>
        <v>20720</v>
      </c>
      <c r="S61" s="39" t="n">
        <f aca="false">IF(H61="New Business",IFERROR((K61/M61)*R61,0),IF(H61="Upsell",K61*'Commission Plan Rules'!$F$9,IF(H61="Renewal",K61*'Commission Plan Rules'!$F$10,0)))</f>
        <v>3900</v>
      </c>
    </row>
    <row r="62" customFormat="false" ht="15" hidden="false" customHeight="true" outlineLevel="0" collapsed="false">
      <c r="A62" s="27" t="s">
        <v>248</v>
      </c>
      <c r="B62" s="27" t="s">
        <v>111</v>
      </c>
      <c r="C62" s="40" t="str">
        <f aca="false">IFERROR(INDEX('Sales Roster &amp; Quotas'!$C$6:$C$20,MATCH($B62,'Sales Roster &amp; Quotas'!$B$6:$B$20,0)),"")</f>
        <v>Kevin Novak</v>
      </c>
      <c r="D62" s="40" t="str">
        <f aca="false">IFERROR(INDEX('Sales Roster &amp; Quotas'!$D$6:$D$20,MATCH($B62,'Sales Roster &amp; Quotas'!$B$6:$B$20,0)),"")</f>
        <v>Enterprise</v>
      </c>
      <c r="E62" s="28" t="n">
        <v>46063</v>
      </c>
      <c r="F62" s="41" t="str">
        <f aca="false">TEXT(E62,"yyyy-mm")</f>
        <v>2026-02</v>
      </c>
      <c r="G62" s="41" t="str">
        <f aca="false">IF(MONTH(E62)&lt;=3,"Q1","Q2")</f>
        <v>Q1</v>
      </c>
      <c r="H62" s="27" t="s">
        <v>45</v>
      </c>
      <c r="I62" s="27" t="s">
        <v>249</v>
      </c>
      <c r="J62" s="27" t="s">
        <v>152</v>
      </c>
      <c r="K62" s="29" t="n">
        <v>38500</v>
      </c>
      <c r="L62" s="42" t="n">
        <f aca="false">IFERROR(INDEX('Sales Roster &amp; Quotas'!$G$6:$G$20,MATCH($B62,'Sales Roster &amp; Quotas'!$B$6:$B$20,0)),0)</f>
        <v>641000</v>
      </c>
      <c r="M62" s="43" t="n">
        <f aca="false">SUMIFS($K$5:$K$274,$B$5:$B$274,$B62,$G$5:$G$274,$G62,$H$5:$H$274,"New Business")</f>
        <v>504500</v>
      </c>
      <c r="N62" s="44" t="n">
        <f aca="false">IFERROR(M62/L62,0)</f>
        <v>0.787051482059282</v>
      </c>
      <c r="O62" s="43" t="n">
        <f aca="false">MIN(M62,L62)</f>
        <v>504500</v>
      </c>
      <c r="P62" s="43" t="n">
        <f aca="false">MAX(MIN(M62,L62*1.25)-L62,0)</f>
        <v>0</v>
      </c>
      <c r="Q62" s="43" t="n">
        <f aca="false">MAX(M62-L62*1.25,0)</f>
        <v>0</v>
      </c>
      <c r="R62" s="42" t="n">
        <f aca="false">O62*'Commission Plan Rules'!$F$6+P62*'Commission Plan Rules'!$F$7+Q62*'Commission Plan Rules'!$F$8</f>
        <v>40360</v>
      </c>
      <c r="S62" s="45" t="n">
        <f aca="false">IF(H62="New Business",IFERROR((K62/M62)*R62,0),IF(H62="Upsell",K62*'Commission Plan Rules'!$F$9,IF(H62="Renewal",K62*'Commission Plan Rules'!$F$10,0)))</f>
        <v>2310</v>
      </c>
    </row>
    <row r="63" customFormat="false" ht="15" hidden="false" customHeight="true" outlineLevel="0" collapsed="false">
      <c r="A63" s="24" t="s">
        <v>250</v>
      </c>
      <c r="B63" s="24" t="s">
        <v>67</v>
      </c>
      <c r="C63" s="34" t="str">
        <f aca="false">IFERROR(INDEX('Sales Roster &amp; Quotas'!$C$6:$C$20,MATCH($B63,'Sales Roster &amp; Quotas'!$B$6:$B$20,0)),"")</f>
        <v>Maria Chen</v>
      </c>
      <c r="D63" s="34" t="str">
        <f aca="false">IFERROR(INDEX('Sales Roster &amp; Quotas'!$D$6:$D$20,MATCH($B63,'Sales Roster &amp; Quotas'!$B$6:$B$20,0)),"")</f>
        <v>SMB</v>
      </c>
      <c r="E63" s="25" t="n">
        <v>46064</v>
      </c>
      <c r="F63" s="35" t="str">
        <f aca="false">TEXT(E63,"yyyy-mm")</f>
        <v>2026-02</v>
      </c>
      <c r="G63" s="35" t="str">
        <f aca="false">IF(MONTH(E63)&lt;=3,"Q1","Q2")</f>
        <v>Q1</v>
      </c>
      <c r="H63" s="24" t="s">
        <v>40</v>
      </c>
      <c r="I63" s="24" t="s">
        <v>169</v>
      </c>
      <c r="J63" s="24" t="s">
        <v>137</v>
      </c>
      <c r="K63" s="26" t="n">
        <v>54000</v>
      </c>
      <c r="L63" s="36" t="n">
        <f aca="false">IFERROR(INDEX('Sales Roster &amp; Quotas'!$G$6:$G$20,MATCH($B63,'Sales Roster &amp; Quotas'!$B$6:$B$20,0)),0)</f>
        <v>160000</v>
      </c>
      <c r="M63" s="37" t="n">
        <f aca="false">SUMIFS($K$5:$K$274,$B$5:$B$274,$B63,$G$5:$G$274,$G63,$H$5:$H$274,"New Business")</f>
        <v>142000</v>
      </c>
      <c r="N63" s="38" t="n">
        <f aca="false">IFERROR(M63/L63,0)</f>
        <v>0.8875</v>
      </c>
      <c r="O63" s="37" t="n">
        <f aca="false">MIN(M63,L63)</f>
        <v>142000</v>
      </c>
      <c r="P63" s="37" t="n">
        <f aca="false">MAX(MIN(M63,L63*1.25)-L63,0)</f>
        <v>0</v>
      </c>
      <c r="Q63" s="37" t="n">
        <f aca="false">MAX(M63-L63*1.25,0)</f>
        <v>0</v>
      </c>
      <c r="R63" s="36" t="n">
        <f aca="false">O63*'Commission Plan Rules'!$F$6+P63*'Commission Plan Rules'!$F$7+Q63*'Commission Plan Rules'!$F$8</f>
        <v>11360</v>
      </c>
      <c r="S63" s="39" t="n">
        <f aca="false">IF(H63="New Business",IFERROR((K63/M63)*R63,0),IF(H63="Upsell",K63*'Commission Plan Rules'!$F$9,IF(H63="Renewal",K63*'Commission Plan Rules'!$F$10,0)))</f>
        <v>4320</v>
      </c>
    </row>
    <row r="64" customFormat="false" ht="15" hidden="false" customHeight="true" outlineLevel="0" collapsed="false">
      <c r="A64" s="27" t="s">
        <v>251</v>
      </c>
      <c r="B64" s="27" t="s">
        <v>79</v>
      </c>
      <c r="C64" s="40" t="str">
        <f aca="false">IFERROR(INDEX('Sales Roster &amp; Quotas'!$C$6:$C$20,MATCH($B64,'Sales Roster &amp; Quotas'!$B$6:$B$20,0)),"")</f>
        <v>David Nguyen</v>
      </c>
      <c r="D64" s="40" t="str">
        <f aca="false">IFERROR(INDEX('Sales Roster &amp; Quotas'!$D$6:$D$20,MATCH($B64,'Sales Roster &amp; Quotas'!$B$6:$B$20,0)),"")</f>
        <v>SMB</v>
      </c>
      <c r="E64" s="28" t="n">
        <v>46064</v>
      </c>
      <c r="F64" s="41" t="str">
        <f aca="false">TEXT(E64,"yyyy-mm")</f>
        <v>2026-02</v>
      </c>
      <c r="G64" s="41" t="str">
        <f aca="false">IF(MONTH(E64)&lt;=3,"Q1","Q2")</f>
        <v>Q1</v>
      </c>
      <c r="H64" s="27" t="s">
        <v>40</v>
      </c>
      <c r="I64" s="27" t="s">
        <v>252</v>
      </c>
      <c r="J64" s="27" t="s">
        <v>137</v>
      </c>
      <c r="K64" s="29" t="n">
        <v>63500</v>
      </c>
      <c r="L64" s="42" t="n">
        <f aca="false">IFERROR(INDEX('Sales Roster &amp; Quotas'!$G$6:$G$20,MATCH($B64,'Sales Roster &amp; Quotas'!$B$6:$B$20,0)),0)</f>
        <v>155000</v>
      </c>
      <c r="M64" s="43" t="n">
        <f aca="false">SUMIFS($K$5:$K$274,$B$5:$B$274,$B64,$G$5:$G$274,$G64,$H$5:$H$274,"New Business")</f>
        <v>196500</v>
      </c>
      <c r="N64" s="44" t="n">
        <f aca="false">IFERROR(M64/L64,0)</f>
        <v>1.26774193548387</v>
      </c>
      <c r="O64" s="43" t="n">
        <f aca="false">MIN(M64,L64)</f>
        <v>155000</v>
      </c>
      <c r="P64" s="43" t="n">
        <f aca="false">MAX(MIN(M64,L64*1.25)-L64,0)</f>
        <v>38750</v>
      </c>
      <c r="Q64" s="43" t="n">
        <f aca="false">MAX(M64-L64*1.25,0)</f>
        <v>2750</v>
      </c>
      <c r="R64" s="42" t="n">
        <f aca="false">O64*'Commission Plan Rules'!$F$6+P64*'Commission Plan Rules'!$F$7+Q64*'Commission Plan Rules'!$F$8</f>
        <v>16605</v>
      </c>
      <c r="S64" s="45" t="n">
        <f aca="false">IF(H64="New Business",IFERROR((K64/M64)*R64,0),IF(H64="Upsell",K64*'Commission Plan Rules'!$F$9,IF(H64="Renewal",K64*'Commission Plan Rules'!$F$10,0)))</f>
        <v>5365.99236641221</v>
      </c>
    </row>
    <row r="65" customFormat="false" ht="15" hidden="false" customHeight="true" outlineLevel="0" collapsed="false">
      <c r="A65" s="24" t="s">
        <v>253</v>
      </c>
      <c r="B65" s="24" t="s">
        <v>101</v>
      </c>
      <c r="C65" s="34" t="str">
        <f aca="false">IFERROR(INDEX('Sales Roster &amp; Quotas'!$C$6:$C$20,MATCH($B65,'Sales Roster &amp; Quotas'!$B$6:$B$20,0)),"")</f>
        <v>Natalie Reyes</v>
      </c>
      <c r="D65" s="34" t="str">
        <f aca="false">IFERROR(INDEX('Sales Roster &amp; Quotas'!$D$6:$D$20,MATCH($B65,'Sales Roster &amp; Quotas'!$B$6:$B$20,0)),"")</f>
        <v>Mid-Market</v>
      </c>
      <c r="E65" s="25" t="n">
        <v>46064</v>
      </c>
      <c r="F65" s="35" t="str">
        <f aca="false">TEXT(E65,"yyyy-mm")</f>
        <v>2026-02</v>
      </c>
      <c r="G65" s="35" t="str">
        <f aca="false">IF(MONTH(E65)&lt;=3,"Q1","Q2")</f>
        <v>Q1</v>
      </c>
      <c r="H65" s="24" t="s">
        <v>40</v>
      </c>
      <c r="I65" s="24" t="s">
        <v>254</v>
      </c>
      <c r="J65" s="24" t="s">
        <v>142</v>
      </c>
      <c r="K65" s="26" t="n">
        <v>139500</v>
      </c>
      <c r="L65" s="36" t="n">
        <f aca="false">IFERROR(INDEX('Sales Roster &amp; Quotas'!$G$6:$G$20,MATCH($B65,'Sales Roster &amp; Quotas'!$B$6:$B$20,0)),0)</f>
        <v>295000</v>
      </c>
      <c r="M65" s="37" t="n">
        <f aca="false">SUMIFS($K$5:$K$274,$B$5:$B$274,$B65,$G$5:$G$274,$G65,$H$5:$H$274,"New Business")</f>
        <v>267000</v>
      </c>
      <c r="N65" s="38" t="n">
        <f aca="false">IFERROR(M65/L65,0)</f>
        <v>0.905084745762712</v>
      </c>
      <c r="O65" s="37" t="n">
        <f aca="false">MIN(M65,L65)</f>
        <v>267000</v>
      </c>
      <c r="P65" s="37" t="n">
        <f aca="false">MAX(MIN(M65,L65*1.25)-L65,0)</f>
        <v>0</v>
      </c>
      <c r="Q65" s="37" t="n">
        <f aca="false">MAX(M65-L65*1.25,0)</f>
        <v>0</v>
      </c>
      <c r="R65" s="36" t="n">
        <f aca="false">O65*'Commission Plan Rules'!$F$6+P65*'Commission Plan Rules'!$F$7+Q65*'Commission Plan Rules'!$F$8</f>
        <v>21360</v>
      </c>
      <c r="S65" s="39" t="n">
        <f aca="false">IF(H65="New Business",IFERROR((K65/M65)*R65,0),IF(H65="Upsell",K65*'Commission Plan Rules'!$F$9,IF(H65="Renewal",K65*'Commission Plan Rules'!$F$10,0)))</f>
        <v>11160</v>
      </c>
    </row>
    <row r="66" customFormat="false" ht="15" hidden="false" customHeight="true" outlineLevel="0" collapsed="false">
      <c r="A66" s="27" t="s">
        <v>255</v>
      </c>
      <c r="B66" s="27" t="s">
        <v>111</v>
      </c>
      <c r="C66" s="40" t="str">
        <f aca="false">IFERROR(INDEX('Sales Roster &amp; Quotas'!$C$6:$C$20,MATCH($B66,'Sales Roster &amp; Quotas'!$B$6:$B$20,0)),"")</f>
        <v>Kevin Novak</v>
      </c>
      <c r="D66" s="40" t="str">
        <f aca="false">IFERROR(INDEX('Sales Roster &amp; Quotas'!$D$6:$D$20,MATCH($B66,'Sales Roster &amp; Quotas'!$B$6:$B$20,0)),"")</f>
        <v>Enterprise</v>
      </c>
      <c r="E66" s="28" t="n">
        <v>46064</v>
      </c>
      <c r="F66" s="41" t="str">
        <f aca="false">TEXT(E66,"yyyy-mm")</f>
        <v>2026-02</v>
      </c>
      <c r="G66" s="41" t="str">
        <f aca="false">IF(MONTH(E66)&lt;=3,"Q1","Q2")</f>
        <v>Q1</v>
      </c>
      <c r="H66" s="27" t="s">
        <v>48</v>
      </c>
      <c r="I66" s="27" t="s">
        <v>205</v>
      </c>
      <c r="J66" s="27" t="s">
        <v>137</v>
      </c>
      <c r="K66" s="29" t="n">
        <v>57000</v>
      </c>
      <c r="L66" s="42" t="n">
        <f aca="false">IFERROR(INDEX('Sales Roster &amp; Quotas'!$G$6:$G$20,MATCH($B66,'Sales Roster &amp; Quotas'!$B$6:$B$20,0)),0)</f>
        <v>641000</v>
      </c>
      <c r="M66" s="43" t="n">
        <f aca="false">SUMIFS($K$5:$K$274,$B$5:$B$274,$B66,$G$5:$G$274,$G66,$H$5:$H$274,"New Business")</f>
        <v>504500</v>
      </c>
      <c r="N66" s="44" t="n">
        <f aca="false">IFERROR(M66/L66,0)</f>
        <v>0.787051482059282</v>
      </c>
      <c r="O66" s="43" t="n">
        <f aca="false">MIN(M66,L66)</f>
        <v>504500</v>
      </c>
      <c r="P66" s="43" t="n">
        <f aca="false">MAX(MIN(M66,L66*1.25)-L66,0)</f>
        <v>0</v>
      </c>
      <c r="Q66" s="43" t="n">
        <f aca="false">MAX(M66-L66*1.25,0)</f>
        <v>0</v>
      </c>
      <c r="R66" s="42" t="n">
        <f aca="false">O66*'Commission Plan Rules'!$F$6+P66*'Commission Plan Rules'!$F$7+Q66*'Commission Plan Rules'!$F$8</f>
        <v>40360</v>
      </c>
      <c r="S66" s="45" t="n">
        <f aca="false">IF(H66="New Business",IFERROR((K66/M66)*R66,0),IF(H66="Upsell",K66*'Commission Plan Rules'!$F$9,IF(H66="Renewal",K66*'Commission Plan Rules'!$F$10,0)))</f>
        <v>1710</v>
      </c>
    </row>
    <row r="67" customFormat="false" ht="15" hidden="false" customHeight="true" outlineLevel="0" collapsed="false">
      <c r="A67" s="24" t="s">
        <v>256</v>
      </c>
      <c r="B67" s="24" t="s">
        <v>101</v>
      </c>
      <c r="C67" s="34" t="str">
        <f aca="false">IFERROR(INDEX('Sales Roster &amp; Quotas'!$C$6:$C$20,MATCH($B67,'Sales Roster &amp; Quotas'!$B$6:$B$20,0)),"")</f>
        <v>Natalie Reyes</v>
      </c>
      <c r="D67" s="34" t="str">
        <f aca="false">IFERROR(INDEX('Sales Roster &amp; Quotas'!$D$6:$D$20,MATCH($B67,'Sales Roster &amp; Quotas'!$B$6:$B$20,0)),"")</f>
        <v>Mid-Market</v>
      </c>
      <c r="E67" s="25" t="n">
        <v>46065</v>
      </c>
      <c r="F67" s="35" t="str">
        <f aca="false">TEXT(E67,"yyyy-mm")</f>
        <v>2026-02</v>
      </c>
      <c r="G67" s="35" t="str">
        <f aca="false">IF(MONTH(E67)&lt;=3,"Q1","Q2")</f>
        <v>Q1</v>
      </c>
      <c r="H67" s="24" t="s">
        <v>40</v>
      </c>
      <c r="I67" s="24" t="s">
        <v>257</v>
      </c>
      <c r="J67" s="24" t="s">
        <v>142</v>
      </c>
      <c r="K67" s="26" t="n">
        <v>17500</v>
      </c>
      <c r="L67" s="36" t="n">
        <f aca="false">IFERROR(INDEX('Sales Roster &amp; Quotas'!$G$6:$G$20,MATCH($B67,'Sales Roster &amp; Quotas'!$B$6:$B$20,0)),0)</f>
        <v>295000</v>
      </c>
      <c r="M67" s="37" t="n">
        <f aca="false">SUMIFS($K$5:$K$274,$B$5:$B$274,$B67,$G$5:$G$274,$G67,$H$5:$H$274,"New Business")</f>
        <v>267000</v>
      </c>
      <c r="N67" s="38" t="n">
        <f aca="false">IFERROR(M67/L67,0)</f>
        <v>0.905084745762712</v>
      </c>
      <c r="O67" s="37" t="n">
        <f aca="false">MIN(M67,L67)</f>
        <v>267000</v>
      </c>
      <c r="P67" s="37" t="n">
        <f aca="false">MAX(MIN(M67,L67*1.25)-L67,0)</f>
        <v>0</v>
      </c>
      <c r="Q67" s="37" t="n">
        <f aca="false">MAX(M67-L67*1.25,0)</f>
        <v>0</v>
      </c>
      <c r="R67" s="36" t="n">
        <f aca="false">O67*'Commission Plan Rules'!$F$6+P67*'Commission Plan Rules'!$F$7+Q67*'Commission Plan Rules'!$F$8</f>
        <v>21360</v>
      </c>
      <c r="S67" s="39" t="n">
        <f aca="false">IF(H67="New Business",IFERROR((K67/M67)*R67,0),IF(H67="Upsell",K67*'Commission Plan Rules'!$F$9,IF(H67="Renewal",K67*'Commission Plan Rules'!$F$10,0)))</f>
        <v>1400</v>
      </c>
    </row>
    <row r="68" customFormat="false" ht="15" hidden="false" customHeight="true" outlineLevel="0" collapsed="false">
      <c r="A68" s="27" t="s">
        <v>258</v>
      </c>
      <c r="B68" s="27" t="s">
        <v>72</v>
      </c>
      <c r="C68" s="40" t="str">
        <f aca="false">IFERROR(INDEX('Sales Roster &amp; Quotas'!$C$6:$C$20,MATCH($B68,'Sales Roster &amp; Quotas'!$B$6:$B$20,0)),"")</f>
        <v>James Okafor</v>
      </c>
      <c r="D68" s="40" t="str">
        <f aca="false">IFERROR(INDEX('Sales Roster &amp; Quotas'!$D$6:$D$20,MATCH($B68,'Sales Roster &amp; Quotas'!$B$6:$B$20,0)),"")</f>
        <v>SMB</v>
      </c>
      <c r="E68" s="28" t="n">
        <v>46067</v>
      </c>
      <c r="F68" s="41" t="str">
        <f aca="false">TEXT(E68,"yyyy-mm")</f>
        <v>2026-02</v>
      </c>
      <c r="G68" s="41" t="str">
        <f aca="false">IF(MONTH(E68)&lt;=3,"Q1","Q2")</f>
        <v>Q1</v>
      </c>
      <c r="H68" s="27" t="s">
        <v>40</v>
      </c>
      <c r="I68" s="27" t="s">
        <v>259</v>
      </c>
      <c r="J68" s="27" t="s">
        <v>142</v>
      </c>
      <c r="K68" s="29" t="n">
        <v>29500</v>
      </c>
      <c r="L68" s="42" t="n">
        <f aca="false">IFERROR(INDEX('Sales Roster &amp; Quotas'!$G$6:$G$20,MATCH($B68,'Sales Roster &amp; Quotas'!$B$6:$B$20,0)),0)</f>
        <v>135000</v>
      </c>
      <c r="M68" s="43" t="n">
        <f aca="false">SUMIFS($K$5:$K$274,$B$5:$B$274,$B68,$G$5:$G$274,$G68,$H$5:$H$274,"New Business")</f>
        <v>170500</v>
      </c>
      <c r="N68" s="44" t="n">
        <f aca="false">IFERROR(M68/L68,0)</f>
        <v>1.26296296296296</v>
      </c>
      <c r="O68" s="43" t="n">
        <f aca="false">MIN(M68,L68)</f>
        <v>135000</v>
      </c>
      <c r="P68" s="43" t="n">
        <f aca="false">MAX(MIN(M68,L68*1.25)-L68,0)</f>
        <v>33750</v>
      </c>
      <c r="Q68" s="43" t="n">
        <f aca="false">MAX(M68-L68*1.25,0)</f>
        <v>1750</v>
      </c>
      <c r="R68" s="42" t="n">
        <f aca="false">O68*'Commission Plan Rules'!$F$6+P68*'Commission Plan Rules'!$F$7+Q68*'Commission Plan Rules'!$F$8</f>
        <v>14385</v>
      </c>
      <c r="S68" s="45" t="n">
        <f aca="false">IF(H68="New Business",IFERROR((K68/M68)*R68,0),IF(H68="Upsell",K68*'Commission Plan Rules'!$F$9,IF(H68="Renewal",K68*'Commission Plan Rules'!$F$10,0)))</f>
        <v>2488.90029325513</v>
      </c>
    </row>
    <row r="69" customFormat="false" ht="15" hidden="false" customHeight="true" outlineLevel="0" collapsed="false">
      <c r="A69" s="24" t="s">
        <v>260</v>
      </c>
      <c r="B69" s="24" t="s">
        <v>67</v>
      </c>
      <c r="C69" s="34" t="str">
        <f aca="false">IFERROR(INDEX('Sales Roster &amp; Quotas'!$C$6:$C$20,MATCH($B69,'Sales Roster &amp; Quotas'!$B$6:$B$20,0)),"")</f>
        <v>Maria Chen</v>
      </c>
      <c r="D69" s="34" t="str">
        <f aca="false">IFERROR(INDEX('Sales Roster &amp; Quotas'!$D$6:$D$20,MATCH($B69,'Sales Roster &amp; Quotas'!$B$6:$B$20,0)),"")</f>
        <v>SMB</v>
      </c>
      <c r="E69" s="25" t="n">
        <v>46067</v>
      </c>
      <c r="F69" s="35" t="str">
        <f aca="false">TEXT(E69,"yyyy-mm")</f>
        <v>2026-02</v>
      </c>
      <c r="G69" s="35" t="str">
        <f aca="false">IF(MONTH(E69)&lt;=3,"Q1","Q2")</f>
        <v>Q1</v>
      </c>
      <c r="H69" s="24" t="s">
        <v>48</v>
      </c>
      <c r="I69" s="24" t="s">
        <v>244</v>
      </c>
      <c r="J69" s="24" t="s">
        <v>137</v>
      </c>
      <c r="K69" s="26" t="n">
        <v>26500</v>
      </c>
      <c r="L69" s="36" t="n">
        <f aca="false">IFERROR(INDEX('Sales Roster &amp; Quotas'!$G$6:$G$20,MATCH($B69,'Sales Roster &amp; Quotas'!$B$6:$B$20,0)),0)</f>
        <v>160000</v>
      </c>
      <c r="M69" s="37" t="n">
        <f aca="false">SUMIFS($K$5:$K$274,$B$5:$B$274,$B69,$G$5:$G$274,$G69,$H$5:$H$274,"New Business")</f>
        <v>142000</v>
      </c>
      <c r="N69" s="38" t="n">
        <f aca="false">IFERROR(M69/L69,0)</f>
        <v>0.8875</v>
      </c>
      <c r="O69" s="37" t="n">
        <f aca="false">MIN(M69,L69)</f>
        <v>142000</v>
      </c>
      <c r="P69" s="37" t="n">
        <f aca="false">MAX(MIN(M69,L69*1.25)-L69,0)</f>
        <v>0</v>
      </c>
      <c r="Q69" s="37" t="n">
        <f aca="false">MAX(M69-L69*1.25,0)</f>
        <v>0</v>
      </c>
      <c r="R69" s="36" t="n">
        <f aca="false">O69*'Commission Plan Rules'!$F$6+P69*'Commission Plan Rules'!$F$7+Q69*'Commission Plan Rules'!$F$8</f>
        <v>11360</v>
      </c>
      <c r="S69" s="39" t="n">
        <f aca="false">IF(H69="New Business",IFERROR((K69/M69)*R69,0),IF(H69="Upsell",K69*'Commission Plan Rules'!$F$9,IF(H69="Renewal",K69*'Commission Plan Rules'!$F$10,0)))</f>
        <v>795</v>
      </c>
    </row>
    <row r="70" customFormat="false" ht="15" hidden="false" customHeight="true" outlineLevel="0" collapsed="false">
      <c r="A70" s="27" t="s">
        <v>261</v>
      </c>
      <c r="B70" s="27" t="s">
        <v>88</v>
      </c>
      <c r="C70" s="40" t="str">
        <f aca="false">IFERROR(INDEX('Sales Roster &amp; Quotas'!$C$6:$C$20,MATCH($B70,'Sales Roster &amp; Quotas'!$B$6:$B$20,0)),"")</f>
        <v>Elena Kowalski</v>
      </c>
      <c r="D70" s="40" t="str">
        <f aca="false">IFERROR(INDEX('Sales Roster &amp; Quotas'!$D$6:$D$20,MATCH($B70,'Sales Roster &amp; Quotas'!$B$6:$B$20,0)),"")</f>
        <v>Mid-Market</v>
      </c>
      <c r="E70" s="28" t="n">
        <v>46067</v>
      </c>
      <c r="F70" s="41" t="str">
        <f aca="false">TEXT(E70,"yyyy-mm")</f>
        <v>2026-02</v>
      </c>
      <c r="G70" s="41" t="str">
        <f aca="false">IF(MONTH(E70)&lt;=3,"Q1","Q2")</f>
        <v>Q1</v>
      </c>
      <c r="H70" s="27" t="s">
        <v>40</v>
      </c>
      <c r="I70" s="27" t="s">
        <v>257</v>
      </c>
      <c r="J70" s="27" t="s">
        <v>152</v>
      </c>
      <c r="K70" s="29" t="n">
        <v>81000</v>
      </c>
      <c r="L70" s="42" t="n">
        <f aca="false">IFERROR(INDEX('Sales Roster &amp; Quotas'!$G$6:$G$20,MATCH($B70,'Sales Roster &amp; Quotas'!$B$6:$B$20,0)),0)</f>
        <v>320000</v>
      </c>
      <c r="M70" s="43" t="n">
        <f aca="false">SUMIFS($K$5:$K$274,$B$5:$B$274,$B70,$G$5:$G$274,$G70,$H$5:$H$274,"New Business")</f>
        <v>259000</v>
      </c>
      <c r="N70" s="44" t="n">
        <f aca="false">IFERROR(M70/L70,0)</f>
        <v>0.809375</v>
      </c>
      <c r="O70" s="43" t="n">
        <f aca="false">MIN(M70,L70)</f>
        <v>259000</v>
      </c>
      <c r="P70" s="43" t="n">
        <f aca="false">MAX(MIN(M70,L70*1.25)-L70,0)</f>
        <v>0</v>
      </c>
      <c r="Q70" s="43" t="n">
        <f aca="false">MAX(M70-L70*1.25,0)</f>
        <v>0</v>
      </c>
      <c r="R70" s="42" t="n">
        <f aca="false">O70*'Commission Plan Rules'!$F$6+P70*'Commission Plan Rules'!$F$7+Q70*'Commission Plan Rules'!$F$8</f>
        <v>20720</v>
      </c>
      <c r="S70" s="45" t="n">
        <f aca="false">IF(H70="New Business",IFERROR((K70/M70)*R70,0),IF(H70="Upsell",K70*'Commission Plan Rules'!$F$9,IF(H70="Renewal",K70*'Commission Plan Rules'!$F$10,0)))</f>
        <v>6480</v>
      </c>
    </row>
    <row r="71" customFormat="false" ht="15" hidden="false" customHeight="true" outlineLevel="0" collapsed="false">
      <c r="A71" s="24" t="s">
        <v>262</v>
      </c>
      <c r="B71" s="24" t="s">
        <v>67</v>
      </c>
      <c r="C71" s="34" t="str">
        <f aca="false">IFERROR(INDEX('Sales Roster &amp; Quotas'!$C$6:$C$20,MATCH($B71,'Sales Roster &amp; Quotas'!$B$6:$B$20,0)),"")</f>
        <v>Maria Chen</v>
      </c>
      <c r="D71" s="34" t="str">
        <f aca="false">IFERROR(INDEX('Sales Roster &amp; Quotas'!$D$6:$D$20,MATCH($B71,'Sales Roster &amp; Quotas'!$B$6:$B$20,0)),"")</f>
        <v>SMB</v>
      </c>
      <c r="E71" s="25" t="n">
        <v>46067</v>
      </c>
      <c r="F71" s="35" t="str">
        <f aca="false">TEXT(E71,"yyyy-mm")</f>
        <v>2026-02</v>
      </c>
      <c r="G71" s="35" t="str">
        <f aca="false">IF(MONTH(E71)&lt;=3,"Q1","Q2")</f>
        <v>Q1</v>
      </c>
      <c r="H71" s="24" t="s">
        <v>45</v>
      </c>
      <c r="I71" s="24" t="s">
        <v>263</v>
      </c>
      <c r="J71" s="24" t="s">
        <v>152</v>
      </c>
      <c r="K71" s="26" t="n">
        <v>19500</v>
      </c>
      <c r="L71" s="36" t="n">
        <f aca="false">IFERROR(INDEX('Sales Roster &amp; Quotas'!$G$6:$G$20,MATCH($B71,'Sales Roster &amp; Quotas'!$B$6:$B$20,0)),0)</f>
        <v>160000</v>
      </c>
      <c r="M71" s="37" t="n">
        <f aca="false">SUMIFS($K$5:$K$274,$B$5:$B$274,$B71,$G$5:$G$274,$G71,$H$5:$H$274,"New Business")</f>
        <v>142000</v>
      </c>
      <c r="N71" s="38" t="n">
        <f aca="false">IFERROR(M71/L71,0)</f>
        <v>0.8875</v>
      </c>
      <c r="O71" s="37" t="n">
        <f aca="false">MIN(M71,L71)</f>
        <v>142000</v>
      </c>
      <c r="P71" s="37" t="n">
        <f aca="false">MAX(MIN(M71,L71*1.25)-L71,0)</f>
        <v>0</v>
      </c>
      <c r="Q71" s="37" t="n">
        <f aca="false">MAX(M71-L71*1.25,0)</f>
        <v>0</v>
      </c>
      <c r="R71" s="36" t="n">
        <f aca="false">O71*'Commission Plan Rules'!$F$6+P71*'Commission Plan Rules'!$F$7+Q71*'Commission Plan Rules'!$F$8</f>
        <v>11360</v>
      </c>
      <c r="S71" s="39" t="n">
        <f aca="false">IF(H71="New Business",IFERROR((K71/M71)*R71,0),IF(H71="Upsell",K71*'Commission Plan Rules'!$F$9,IF(H71="Renewal",K71*'Commission Plan Rules'!$F$10,0)))</f>
        <v>1170</v>
      </c>
    </row>
    <row r="72" customFormat="false" ht="15" hidden="false" customHeight="true" outlineLevel="0" collapsed="false">
      <c r="A72" s="27" t="s">
        <v>264</v>
      </c>
      <c r="B72" s="27" t="s">
        <v>92</v>
      </c>
      <c r="C72" s="40" t="str">
        <f aca="false">IFERROR(INDEX('Sales Roster &amp; Quotas'!$C$6:$C$20,MATCH($B72,'Sales Roster &amp; Quotas'!$B$6:$B$20,0)),"")</f>
        <v>Tyler Alvarez</v>
      </c>
      <c r="D72" s="40" t="str">
        <f aca="false">IFERROR(INDEX('Sales Roster &amp; Quotas'!$D$6:$D$20,MATCH($B72,'Sales Roster &amp; Quotas'!$B$6:$B$20,0)),"")</f>
        <v>Mid-Market</v>
      </c>
      <c r="E72" s="28" t="n">
        <v>46067</v>
      </c>
      <c r="F72" s="41" t="str">
        <f aca="false">TEXT(E72,"yyyy-mm")</f>
        <v>2026-02</v>
      </c>
      <c r="G72" s="41" t="str">
        <f aca="false">IF(MONTH(E72)&lt;=3,"Q1","Q2")</f>
        <v>Q1</v>
      </c>
      <c r="H72" s="27" t="s">
        <v>45</v>
      </c>
      <c r="I72" s="27" t="s">
        <v>189</v>
      </c>
      <c r="J72" s="27" t="s">
        <v>137</v>
      </c>
      <c r="K72" s="29" t="n">
        <v>28000</v>
      </c>
      <c r="L72" s="42" t="n">
        <f aca="false">IFERROR(INDEX('Sales Roster &amp; Quotas'!$G$6:$G$20,MATCH($B72,'Sales Roster &amp; Quotas'!$B$6:$B$20,0)),0)</f>
        <v>275000</v>
      </c>
      <c r="M72" s="43" t="n">
        <f aca="false">SUMIFS($K$5:$K$274,$B$5:$B$274,$B72,$G$5:$G$274,$G72,$H$5:$H$274,"New Business")</f>
        <v>260500</v>
      </c>
      <c r="N72" s="44" t="n">
        <f aca="false">IFERROR(M72/L72,0)</f>
        <v>0.947272727272727</v>
      </c>
      <c r="O72" s="43" t="n">
        <f aca="false">MIN(M72,L72)</f>
        <v>260500</v>
      </c>
      <c r="P72" s="43" t="n">
        <f aca="false">MAX(MIN(M72,L72*1.25)-L72,0)</f>
        <v>0</v>
      </c>
      <c r="Q72" s="43" t="n">
        <f aca="false">MAX(M72-L72*1.25,0)</f>
        <v>0</v>
      </c>
      <c r="R72" s="42" t="n">
        <f aca="false">O72*'Commission Plan Rules'!$F$6+P72*'Commission Plan Rules'!$F$7+Q72*'Commission Plan Rules'!$F$8</f>
        <v>20840</v>
      </c>
      <c r="S72" s="45" t="n">
        <f aca="false">IF(H72="New Business",IFERROR((K72/M72)*R72,0),IF(H72="Upsell",K72*'Commission Plan Rules'!$F$9,IF(H72="Renewal",K72*'Commission Plan Rules'!$F$10,0)))</f>
        <v>1680</v>
      </c>
    </row>
    <row r="73" customFormat="false" ht="15" hidden="false" customHeight="true" outlineLevel="0" collapsed="false">
      <c r="A73" s="24" t="s">
        <v>265</v>
      </c>
      <c r="B73" s="24" t="s">
        <v>95</v>
      </c>
      <c r="C73" s="34" t="str">
        <f aca="false">IFERROR(INDEX('Sales Roster &amp; Quotas'!$C$6:$C$20,MATCH($B73,'Sales Roster &amp; Quotas'!$B$6:$B$20,0)),"")</f>
        <v>Aisha Kim</v>
      </c>
      <c r="D73" s="34" t="str">
        <f aca="false">IFERROR(INDEX('Sales Roster &amp; Quotas'!$D$6:$D$20,MATCH($B73,'Sales Roster &amp; Quotas'!$B$6:$B$20,0)),"")</f>
        <v>Mid-Market</v>
      </c>
      <c r="E73" s="25" t="n">
        <v>46067</v>
      </c>
      <c r="F73" s="35" t="str">
        <f aca="false">TEXT(E73,"yyyy-mm")</f>
        <v>2026-02</v>
      </c>
      <c r="G73" s="35" t="str">
        <f aca="false">IF(MONTH(E73)&lt;=3,"Q1","Q2")</f>
        <v>Q1</v>
      </c>
      <c r="H73" s="24" t="s">
        <v>40</v>
      </c>
      <c r="I73" s="24" t="s">
        <v>266</v>
      </c>
      <c r="J73" s="24" t="s">
        <v>137</v>
      </c>
      <c r="K73" s="26" t="n">
        <v>13000</v>
      </c>
      <c r="L73" s="36" t="n">
        <f aca="false">IFERROR(INDEX('Sales Roster &amp; Quotas'!$G$6:$G$20,MATCH($B73,'Sales Roster &amp; Quotas'!$B$6:$B$20,0)),0)</f>
        <v>287000</v>
      </c>
      <c r="M73" s="37" t="n">
        <f aca="false">SUMIFS($K$5:$K$274,$B$5:$B$274,$B73,$G$5:$G$274,$G73,$H$5:$H$274,"New Business")</f>
        <v>266000</v>
      </c>
      <c r="N73" s="38" t="n">
        <f aca="false">IFERROR(M73/L73,0)</f>
        <v>0.926829268292683</v>
      </c>
      <c r="O73" s="37" t="n">
        <f aca="false">MIN(M73,L73)</f>
        <v>266000</v>
      </c>
      <c r="P73" s="37" t="n">
        <f aca="false">MAX(MIN(M73,L73*1.25)-L73,0)</f>
        <v>0</v>
      </c>
      <c r="Q73" s="37" t="n">
        <f aca="false">MAX(M73-L73*1.25,0)</f>
        <v>0</v>
      </c>
      <c r="R73" s="36" t="n">
        <f aca="false">O73*'Commission Plan Rules'!$F$6+P73*'Commission Plan Rules'!$F$7+Q73*'Commission Plan Rules'!$F$8</f>
        <v>21280</v>
      </c>
      <c r="S73" s="39" t="n">
        <f aca="false">IF(H73="New Business",IFERROR((K73/M73)*R73,0),IF(H73="Upsell",K73*'Commission Plan Rules'!$F$9,IF(H73="Renewal",K73*'Commission Plan Rules'!$F$10,0)))</f>
        <v>1040</v>
      </c>
    </row>
    <row r="74" customFormat="false" ht="15" hidden="false" customHeight="true" outlineLevel="0" collapsed="false">
      <c r="A74" s="27" t="s">
        <v>267</v>
      </c>
      <c r="B74" s="27" t="s">
        <v>95</v>
      </c>
      <c r="C74" s="40" t="str">
        <f aca="false">IFERROR(INDEX('Sales Roster &amp; Quotas'!$C$6:$C$20,MATCH($B74,'Sales Roster &amp; Quotas'!$B$6:$B$20,0)),"")</f>
        <v>Aisha Kim</v>
      </c>
      <c r="D74" s="40" t="str">
        <f aca="false">IFERROR(INDEX('Sales Roster &amp; Quotas'!$D$6:$D$20,MATCH($B74,'Sales Roster &amp; Quotas'!$B$6:$B$20,0)),"")</f>
        <v>Mid-Market</v>
      </c>
      <c r="E74" s="28" t="n">
        <v>46068</v>
      </c>
      <c r="F74" s="41" t="str">
        <f aca="false">TEXT(E74,"yyyy-mm")</f>
        <v>2026-02</v>
      </c>
      <c r="G74" s="41" t="str">
        <f aca="false">IF(MONTH(E74)&lt;=3,"Q1","Q2")</f>
        <v>Q1</v>
      </c>
      <c r="H74" s="27" t="s">
        <v>48</v>
      </c>
      <c r="I74" s="27" t="s">
        <v>268</v>
      </c>
      <c r="J74" s="27" t="s">
        <v>137</v>
      </c>
      <c r="K74" s="29" t="n">
        <v>33000</v>
      </c>
      <c r="L74" s="42" t="n">
        <f aca="false">IFERROR(INDEX('Sales Roster &amp; Quotas'!$G$6:$G$20,MATCH($B74,'Sales Roster &amp; Quotas'!$B$6:$B$20,0)),0)</f>
        <v>287000</v>
      </c>
      <c r="M74" s="43" t="n">
        <f aca="false">SUMIFS($K$5:$K$274,$B$5:$B$274,$B74,$G$5:$G$274,$G74,$H$5:$H$274,"New Business")</f>
        <v>266000</v>
      </c>
      <c r="N74" s="44" t="n">
        <f aca="false">IFERROR(M74/L74,0)</f>
        <v>0.926829268292683</v>
      </c>
      <c r="O74" s="43" t="n">
        <f aca="false">MIN(M74,L74)</f>
        <v>266000</v>
      </c>
      <c r="P74" s="43" t="n">
        <f aca="false">MAX(MIN(M74,L74*1.25)-L74,0)</f>
        <v>0</v>
      </c>
      <c r="Q74" s="43" t="n">
        <f aca="false">MAX(M74-L74*1.25,0)</f>
        <v>0</v>
      </c>
      <c r="R74" s="42" t="n">
        <f aca="false">O74*'Commission Plan Rules'!$F$6+P74*'Commission Plan Rules'!$F$7+Q74*'Commission Plan Rules'!$F$8</f>
        <v>21280</v>
      </c>
      <c r="S74" s="45" t="n">
        <f aca="false">IF(H74="New Business",IFERROR((K74/M74)*R74,0),IF(H74="Upsell",K74*'Commission Plan Rules'!$F$9,IF(H74="Renewal",K74*'Commission Plan Rules'!$F$10,0)))</f>
        <v>990</v>
      </c>
    </row>
    <row r="75" customFormat="false" ht="15" hidden="false" customHeight="true" outlineLevel="0" collapsed="false">
      <c r="A75" s="24" t="s">
        <v>269</v>
      </c>
      <c r="B75" s="24" t="s">
        <v>72</v>
      </c>
      <c r="C75" s="34" t="str">
        <f aca="false">IFERROR(INDEX('Sales Roster &amp; Quotas'!$C$6:$C$20,MATCH($B75,'Sales Roster &amp; Quotas'!$B$6:$B$20,0)),"")</f>
        <v>James Okafor</v>
      </c>
      <c r="D75" s="34" t="str">
        <f aca="false">IFERROR(INDEX('Sales Roster &amp; Quotas'!$D$6:$D$20,MATCH($B75,'Sales Roster &amp; Quotas'!$B$6:$B$20,0)),"")</f>
        <v>SMB</v>
      </c>
      <c r="E75" s="25" t="n">
        <v>46068</v>
      </c>
      <c r="F75" s="35" t="str">
        <f aca="false">TEXT(E75,"yyyy-mm")</f>
        <v>2026-02</v>
      </c>
      <c r="G75" s="35" t="str">
        <f aca="false">IF(MONTH(E75)&lt;=3,"Q1","Q2")</f>
        <v>Q1</v>
      </c>
      <c r="H75" s="24" t="s">
        <v>45</v>
      </c>
      <c r="I75" s="24" t="s">
        <v>270</v>
      </c>
      <c r="J75" s="24" t="s">
        <v>137</v>
      </c>
      <c r="K75" s="26" t="n">
        <v>2000</v>
      </c>
      <c r="L75" s="36" t="n">
        <f aca="false">IFERROR(INDEX('Sales Roster &amp; Quotas'!$G$6:$G$20,MATCH($B75,'Sales Roster &amp; Quotas'!$B$6:$B$20,0)),0)</f>
        <v>135000</v>
      </c>
      <c r="M75" s="37" t="n">
        <f aca="false">SUMIFS($K$5:$K$274,$B$5:$B$274,$B75,$G$5:$G$274,$G75,$H$5:$H$274,"New Business")</f>
        <v>170500</v>
      </c>
      <c r="N75" s="38" t="n">
        <f aca="false">IFERROR(M75/L75,0)</f>
        <v>1.26296296296296</v>
      </c>
      <c r="O75" s="37" t="n">
        <f aca="false">MIN(M75,L75)</f>
        <v>135000</v>
      </c>
      <c r="P75" s="37" t="n">
        <f aca="false">MAX(MIN(M75,L75*1.25)-L75,0)</f>
        <v>33750</v>
      </c>
      <c r="Q75" s="37" t="n">
        <f aca="false">MAX(M75-L75*1.25,0)</f>
        <v>1750</v>
      </c>
      <c r="R75" s="36" t="n">
        <f aca="false">O75*'Commission Plan Rules'!$F$6+P75*'Commission Plan Rules'!$F$7+Q75*'Commission Plan Rules'!$F$8</f>
        <v>14385</v>
      </c>
      <c r="S75" s="39" t="n">
        <f aca="false">IF(H75="New Business",IFERROR((K75/M75)*R75,0),IF(H75="Upsell",K75*'Commission Plan Rules'!$F$9,IF(H75="Renewal",K75*'Commission Plan Rules'!$F$10,0)))</f>
        <v>120</v>
      </c>
    </row>
    <row r="76" customFormat="false" ht="15" hidden="false" customHeight="true" outlineLevel="0" collapsed="false">
      <c r="A76" s="27" t="s">
        <v>271</v>
      </c>
      <c r="B76" s="27" t="s">
        <v>107</v>
      </c>
      <c r="C76" s="40" t="str">
        <f aca="false">IFERROR(INDEX('Sales Roster &amp; Quotas'!$C$6:$C$20,MATCH($B76,'Sales Roster &amp; Quotas'!$B$6:$B$20,0)),"")</f>
        <v>Grace Adeyemi</v>
      </c>
      <c r="D76" s="40" t="str">
        <f aca="false">IFERROR(INDEX('Sales Roster &amp; Quotas'!$D$6:$D$20,MATCH($B76,'Sales Roster &amp; Quotas'!$B$6:$B$20,0)),"")</f>
        <v>Enterprise</v>
      </c>
      <c r="E76" s="28" t="n">
        <v>46068</v>
      </c>
      <c r="F76" s="41" t="str">
        <f aca="false">TEXT(E76,"yyyy-mm")</f>
        <v>2026-02</v>
      </c>
      <c r="G76" s="41" t="str">
        <f aca="false">IF(MONTH(E76)&lt;=3,"Q1","Q2")</f>
        <v>Q1</v>
      </c>
      <c r="H76" s="27" t="s">
        <v>45</v>
      </c>
      <c r="I76" s="27" t="s">
        <v>272</v>
      </c>
      <c r="J76" s="27" t="s">
        <v>152</v>
      </c>
      <c r="K76" s="29" t="n">
        <v>60500</v>
      </c>
      <c r="L76" s="42" t="n">
        <f aca="false">IFERROR(INDEX('Sales Roster &amp; Quotas'!$G$6:$G$20,MATCH($B76,'Sales Roster &amp; Quotas'!$B$6:$B$20,0)),0)</f>
        <v>626000</v>
      </c>
      <c r="M76" s="43" t="n">
        <f aca="false">SUMIFS($K$5:$K$274,$B$5:$B$274,$B76,$G$5:$G$274,$G76,$H$5:$H$274,"New Business")</f>
        <v>403500</v>
      </c>
      <c r="N76" s="44" t="n">
        <f aca="false">IFERROR(M76/L76,0)</f>
        <v>0.644568690095847</v>
      </c>
      <c r="O76" s="43" t="n">
        <f aca="false">MIN(M76,L76)</f>
        <v>403500</v>
      </c>
      <c r="P76" s="43" t="n">
        <f aca="false">MAX(MIN(M76,L76*1.25)-L76,0)</f>
        <v>0</v>
      </c>
      <c r="Q76" s="43" t="n">
        <f aca="false">MAX(M76-L76*1.25,0)</f>
        <v>0</v>
      </c>
      <c r="R76" s="42" t="n">
        <f aca="false">O76*'Commission Plan Rules'!$F$6+P76*'Commission Plan Rules'!$F$7+Q76*'Commission Plan Rules'!$F$8</f>
        <v>32280</v>
      </c>
      <c r="S76" s="45" t="n">
        <f aca="false">IF(H76="New Business",IFERROR((K76/M76)*R76,0),IF(H76="Upsell",K76*'Commission Plan Rules'!$F$9,IF(H76="Renewal",K76*'Commission Plan Rules'!$F$10,0)))</f>
        <v>3630</v>
      </c>
    </row>
    <row r="77" customFormat="false" ht="15" hidden="false" customHeight="true" outlineLevel="0" collapsed="false">
      <c r="A77" s="24" t="s">
        <v>273</v>
      </c>
      <c r="B77" s="24" t="s">
        <v>92</v>
      </c>
      <c r="C77" s="34" t="str">
        <f aca="false">IFERROR(INDEX('Sales Roster &amp; Quotas'!$C$6:$C$20,MATCH($B77,'Sales Roster &amp; Quotas'!$B$6:$B$20,0)),"")</f>
        <v>Tyler Alvarez</v>
      </c>
      <c r="D77" s="34" t="str">
        <f aca="false">IFERROR(INDEX('Sales Roster &amp; Quotas'!$D$6:$D$20,MATCH($B77,'Sales Roster &amp; Quotas'!$B$6:$B$20,0)),"")</f>
        <v>Mid-Market</v>
      </c>
      <c r="E77" s="25" t="n">
        <v>46069</v>
      </c>
      <c r="F77" s="35" t="str">
        <f aca="false">TEXT(E77,"yyyy-mm")</f>
        <v>2026-02</v>
      </c>
      <c r="G77" s="35" t="str">
        <f aca="false">IF(MONTH(E77)&lt;=3,"Q1","Q2")</f>
        <v>Q1</v>
      </c>
      <c r="H77" s="24" t="s">
        <v>40</v>
      </c>
      <c r="I77" s="24" t="s">
        <v>274</v>
      </c>
      <c r="J77" s="24" t="s">
        <v>137</v>
      </c>
      <c r="K77" s="26" t="n">
        <v>64500</v>
      </c>
      <c r="L77" s="36" t="n">
        <f aca="false">IFERROR(INDEX('Sales Roster &amp; Quotas'!$G$6:$G$20,MATCH($B77,'Sales Roster &amp; Quotas'!$B$6:$B$20,0)),0)</f>
        <v>275000</v>
      </c>
      <c r="M77" s="37" t="n">
        <f aca="false">SUMIFS($K$5:$K$274,$B$5:$B$274,$B77,$G$5:$G$274,$G77,$H$5:$H$274,"New Business")</f>
        <v>260500</v>
      </c>
      <c r="N77" s="38" t="n">
        <f aca="false">IFERROR(M77/L77,0)</f>
        <v>0.947272727272727</v>
      </c>
      <c r="O77" s="37" t="n">
        <f aca="false">MIN(M77,L77)</f>
        <v>260500</v>
      </c>
      <c r="P77" s="37" t="n">
        <f aca="false">MAX(MIN(M77,L77*1.25)-L77,0)</f>
        <v>0</v>
      </c>
      <c r="Q77" s="37" t="n">
        <f aca="false">MAX(M77-L77*1.25,0)</f>
        <v>0</v>
      </c>
      <c r="R77" s="36" t="n">
        <f aca="false">O77*'Commission Plan Rules'!$F$6+P77*'Commission Plan Rules'!$F$7+Q77*'Commission Plan Rules'!$F$8</f>
        <v>20840</v>
      </c>
      <c r="S77" s="39" t="n">
        <f aca="false">IF(H77="New Business",IFERROR((K77/M77)*R77,0),IF(H77="Upsell",K77*'Commission Plan Rules'!$F$9,IF(H77="Renewal",K77*'Commission Plan Rules'!$F$10,0)))</f>
        <v>5160</v>
      </c>
    </row>
    <row r="78" customFormat="false" ht="15" hidden="false" customHeight="true" outlineLevel="0" collapsed="false">
      <c r="A78" s="27" t="s">
        <v>275</v>
      </c>
      <c r="B78" s="27" t="s">
        <v>88</v>
      </c>
      <c r="C78" s="40" t="str">
        <f aca="false">IFERROR(INDEX('Sales Roster &amp; Quotas'!$C$6:$C$20,MATCH($B78,'Sales Roster &amp; Quotas'!$B$6:$B$20,0)),"")</f>
        <v>Elena Kowalski</v>
      </c>
      <c r="D78" s="40" t="str">
        <f aca="false">IFERROR(INDEX('Sales Roster &amp; Quotas'!$D$6:$D$20,MATCH($B78,'Sales Roster &amp; Quotas'!$B$6:$B$20,0)),"")</f>
        <v>Mid-Market</v>
      </c>
      <c r="E78" s="28" t="n">
        <v>46069</v>
      </c>
      <c r="F78" s="41" t="str">
        <f aca="false">TEXT(E78,"yyyy-mm")</f>
        <v>2026-02</v>
      </c>
      <c r="G78" s="41" t="str">
        <f aca="false">IF(MONTH(E78)&lt;=3,"Q1","Q2")</f>
        <v>Q1</v>
      </c>
      <c r="H78" s="27" t="s">
        <v>45</v>
      </c>
      <c r="I78" s="27" t="s">
        <v>276</v>
      </c>
      <c r="J78" s="27" t="s">
        <v>137</v>
      </c>
      <c r="K78" s="29" t="n">
        <v>32500</v>
      </c>
      <c r="L78" s="42" t="n">
        <f aca="false">IFERROR(INDEX('Sales Roster &amp; Quotas'!$G$6:$G$20,MATCH($B78,'Sales Roster &amp; Quotas'!$B$6:$B$20,0)),0)</f>
        <v>320000</v>
      </c>
      <c r="M78" s="43" t="n">
        <f aca="false">SUMIFS($K$5:$K$274,$B$5:$B$274,$B78,$G$5:$G$274,$G78,$H$5:$H$274,"New Business")</f>
        <v>259000</v>
      </c>
      <c r="N78" s="44" t="n">
        <f aca="false">IFERROR(M78/L78,0)</f>
        <v>0.809375</v>
      </c>
      <c r="O78" s="43" t="n">
        <f aca="false">MIN(M78,L78)</f>
        <v>259000</v>
      </c>
      <c r="P78" s="43" t="n">
        <f aca="false">MAX(MIN(M78,L78*1.25)-L78,0)</f>
        <v>0</v>
      </c>
      <c r="Q78" s="43" t="n">
        <f aca="false">MAX(M78-L78*1.25,0)</f>
        <v>0</v>
      </c>
      <c r="R78" s="42" t="n">
        <f aca="false">O78*'Commission Plan Rules'!$F$6+P78*'Commission Plan Rules'!$F$7+Q78*'Commission Plan Rules'!$F$8</f>
        <v>20720</v>
      </c>
      <c r="S78" s="45" t="n">
        <f aca="false">IF(H78="New Business",IFERROR((K78/M78)*R78,0),IF(H78="Upsell",K78*'Commission Plan Rules'!$F$9,IF(H78="Renewal",K78*'Commission Plan Rules'!$F$10,0)))</f>
        <v>1950</v>
      </c>
    </row>
    <row r="79" customFormat="false" ht="15" hidden="false" customHeight="true" outlineLevel="0" collapsed="false">
      <c r="A79" s="24" t="s">
        <v>277</v>
      </c>
      <c r="B79" s="24" t="s">
        <v>82</v>
      </c>
      <c r="C79" s="34" t="str">
        <f aca="false">IFERROR(INDEX('Sales Roster &amp; Quotas'!$C$6:$C$20,MATCH($B79,'Sales Roster &amp; Quotas'!$B$6:$B$20,0)),"")</f>
        <v>Sofia Rossi</v>
      </c>
      <c r="D79" s="34" t="str">
        <f aca="false">IFERROR(INDEX('Sales Roster &amp; Quotas'!$D$6:$D$20,MATCH($B79,'Sales Roster &amp; Quotas'!$B$6:$B$20,0)),"")</f>
        <v>SMB</v>
      </c>
      <c r="E79" s="25" t="n">
        <v>46069</v>
      </c>
      <c r="F79" s="35" t="str">
        <f aca="false">TEXT(E79,"yyyy-mm")</f>
        <v>2026-02</v>
      </c>
      <c r="G79" s="35" t="str">
        <f aca="false">IF(MONTH(E79)&lt;=3,"Q1","Q2")</f>
        <v>Q1</v>
      </c>
      <c r="H79" s="24" t="s">
        <v>48</v>
      </c>
      <c r="I79" s="24" t="s">
        <v>278</v>
      </c>
      <c r="J79" s="24" t="s">
        <v>142</v>
      </c>
      <c r="K79" s="26" t="n">
        <v>40000</v>
      </c>
      <c r="L79" s="36" t="n">
        <f aca="false">IFERROR(INDEX('Sales Roster &amp; Quotas'!$G$6:$G$20,MATCH($B79,'Sales Roster &amp; Quotas'!$B$6:$B$20,0)),0)</f>
        <v>152000</v>
      </c>
      <c r="M79" s="37" t="n">
        <f aca="false">SUMIFS($K$5:$K$274,$B$5:$B$274,$B79,$G$5:$G$274,$G79,$H$5:$H$274,"New Business")</f>
        <v>153500</v>
      </c>
      <c r="N79" s="38" t="n">
        <f aca="false">IFERROR(M79/L79,0)</f>
        <v>1.00986842105263</v>
      </c>
      <c r="O79" s="37" t="n">
        <f aca="false">MIN(M79,L79)</f>
        <v>152000</v>
      </c>
      <c r="P79" s="37" t="n">
        <f aca="false">MAX(MIN(M79,L79*1.25)-L79,0)</f>
        <v>1500</v>
      </c>
      <c r="Q79" s="37" t="n">
        <f aca="false">MAX(M79-L79*1.25,0)</f>
        <v>0</v>
      </c>
      <c r="R79" s="36" t="n">
        <f aca="false">O79*'Commission Plan Rules'!$F$6+P79*'Commission Plan Rules'!$F$7+Q79*'Commission Plan Rules'!$F$8</f>
        <v>12310</v>
      </c>
      <c r="S79" s="39" t="n">
        <f aca="false">IF(H79="New Business",IFERROR((K79/M79)*R79,0),IF(H79="Upsell",K79*'Commission Plan Rules'!$F$9,IF(H79="Renewal",K79*'Commission Plan Rules'!$F$10,0)))</f>
        <v>1200</v>
      </c>
    </row>
    <row r="80" customFormat="false" ht="15" hidden="false" customHeight="true" outlineLevel="0" collapsed="false">
      <c r="A80" s="27" t="s">
        <v>279</v>
      </c>
      <c r="B80" s="27" t="s">
        <v>111</v>
      </c>
      <c r="C80" s="40" t="str">
        <f aca="false">IFERROR(INDEX('Sales Roster &amp; Quotas'!$C$6:$C$20,MATCH($B80,'Sales Roster &amp; Quotas'!$B$6:$B$20,0)),"")</f>
        <v>Kevin Novak</v>
      </c>
      <c r="D80" s="40" t="str">
        <f aca="false">IFERROR(INDEX('Sales Roster &amp; Quotas'!$D$6:$D$20,MATCH($B80,'Sales Roster &amp; Quotas'!$B$6:$B$20,0)),"")</f>
        <v>Enterprise</v>
      </c>
      <c r="E80" s="28" t="n">
        <v>46069</v>
      </c>
      <c r="F80" s="41" t="str">
        <f aca="false">TEXT(E80,"yyyy-mm")</f>
        <v>2026-02</v>
      </c>
      <c r="G80" s="41" t="str">
        <f aca="false">IF(MONTH(E80)&lt;=3,"Q1","Q2")</f>
        <v>Q1</v>
      </c>
      <c r="H80" s="27" t="s">
        <v>48</v>
      </c>
      <c r="I80" s="27" t="s">
        <v>280</v>
      </c>
      <c r="J80" s="27" t="s">
        <v>137</v>
      </c>
      <c r="K80" s="29" t="n">
        <v>28000</v>
      </c>
      <c r="L80" s="42" t="n">
        <f aca="false">IFERROR(INDEX('Sales Roster &amp; Quotas'!$G$6:$G$20,MATCH($B80,'Sales Roster &amp; Quotas'!$B$6:$B$20,0)),0)</f>
        <v>641000</v>
      </c>
      <c r="M80" s="43" t="n">
        <f aca="false">SUMIFS($K$5:$K$274,$B$5:$B$274,$B80,$G$5:$G$274,$G80,$H$5:$H$274,"New Business")</f>
        <v>504500</v>
      </c>
      <c r="N80" s="44" t="n">
        <f aca="false">IFERROR(M80/L80,0)</f>
        <v>0.787051482059282</v>
      </c>
      <c r="O80" s="43" t="n">
        <f aca="false">MIN(M80,L80)</f>
        <v>504500</v>
      </c>
      <c r="P80" s="43" t="n">
        <f aca="false">MAX(MIN(M80,L80*1.25)-L80,0)</f>
        <v>0</v>
      </c>
      <c r="Q80" s="43" t="n">
        <f aca="false">MAX(M80-L80*1.25,0)</f>
        <v>0</v>
      </c>
      <c r="R80" s="42" t="n">
        <f aca="false">O80*'Commission Plan Rules'!$F$6+P80*'Commission Plan Rules'!$F$7+Q80*'Commission Plan Rules'!$F$8</f>
        <v>40360</v>
      </c>
      <c r="S80" s="45" t="n">
        <f aca="false">IF(H80="New Business",IFERROR((K80/M80)*R80,0),IF(H80="Upsell",K80*'Commission Plan Rules'!$F$9,IF(H80="Renewal",K80*'Commission Plan Rules'!$F$10,0)))</f>
        <v>840</v>
      </c>
    </row>
    <row r="81" customFormat="false" ht="15" hidden="false" customHeight="true" outlineLevel="0" collapsed="false">
      <c r="A81" s="24" t="s">
        <v>281</v>
      </c>
      <c r="B81" s="24" t="s">
        <v>101</v>
      </c>
      <c r="C81" s="34" t="str">
        <f aca="false">IFERROR(INDEX('Sales Roster &amp; Quotas'!$C$6:$C$20,MATCH($B81,'Sales Roster &amp; Quotas'!$B$6:$B$20,0)),"")</f>
        <v>Natalie Reyes</v>
      </c>
      <c r="D81" s="34" t="str">
        <f aca="false">IFERROR(INDEX('Sales Roster &amp; Quotas'!$D$6:$D$20,MATCH($B81,'Sales Roster &amp; Quotas'!$B$6:$B$20,0)),"")</f>
        <v>Mid-Market</v>
      </c>
      <c r="E81" s="25" t="n">
        <v>46070</v>
      </c>
      <c r="F81" s="35" t="str">
        <f aca="false">TEXT(E81,"yyyy-mm")</f>
        <v>2026-02</v>
      </c>
      <c r="G81" s="35" t="str">
        <f aca="false">IF(MONTH(E81)&lt;=3,"Q1","Q2")</f>
        <v>Q1</v>
      </c>
      <c r="H81" s="24" t="s">
        <v>40</v>
      </c>
      <c r="I81" s="24" t="s">
        <v>282</v>
      </c>
      <c r="J81" s="24" t="s">
        <v>137</v>
      </c>
      <c r="K81" s="26" t="n">
        <v>77000</v>
      </c>
      <c r="L81" s="36" t="n">
        <f aca="false">IFERROR(INDEX('Sales Roster &amp; Quotas'!$G$6:$G$20,MATCH($B81,'Sales Roster &amp; Quotas'!$B$6:$B$20,0)),0)</f>
        <v>295000</v>
      </c>
      <c r="M81" s="37" t="n">
        <f aca="false">SUMIFS($K$5:$K$274,$B$5:$B$274,$B81,$G$5:$G$274,$G81,$H$5:$H$274,"New Business")</f>
        <v>267000</v>
      </c>
      <c r="N81" s="38" t="n">
        <f aca="false">IFERROR(M81/L81,0)</f>
        <v>0.905084745762712</v>
      </c>
      <c r="O81" s="37" t="n">
        <f aca="false">MIN(M81,L81)</f>
        <v>267000</v>
      </c>
      <c r="P81" s="37" t="n">
        <f aca="false">MAX(MIN(M81,L81*1.25)-L81,0)</f>
        <v>0</v>
      </c>
      <c r="Q81" s="37" t="n">
        <f aca="false">MAX(M81-L81*1.25,0)</f>
        <v>0</v>
      </c>
      <c r="R81" s="36" t="n">
        <f aca="false">O81*'Commission Plan Rules'!$F$6+P81*'Commission Plan Rules'!$F$7+Q81*'Commission Plan Rules'!$F$8</f>
        <v>21360</v>
      </c>
      <c r="S81" s="39" t="n">
        <f aca="false">IF(H81="New Business",IFERROR((K81/M81)*R81,0),IF(H81="Upsell",K81*'Commission Plan Rules'!$F$9,IF(H81="Renewal",K81*'Commission Plan Rules'!$F$10,0)))</f>
        <v>6160</v>
      </c>
    </row>
    <row r="82" customFormat="false" ht="15" hidden="false" customHeight="true" outlineLevel="0" collapsed="false">
      <c r="A82" s="27" t="s">
        <v>283</v>
      </c>
      <c r="B82" s="27" t="s">
        <v>114</v>
      </c>
      <c r="C82" s="40" t="str">
        <f aca="false">IFERROR(INDEX('Sales Roster &amp; Quotas'!$C$6:$C$20,MATCH($B82,'Sales Roster &amp; Quotas'!$B$6:$B$20,0)),"")</f>
        <v>Lucia Larsen</v>
      </c>
      <c r="D82" s="40" t="str">
        <f aca="false">IFERROR(INDEX('Sales Roster &amp; Quotas'!$D$6:$D$20,MATCH($B82,'Sales Roster &amp; Quotas'!$B$6:$B$20,0)),"")</f>
        <v>Enterprise</v>
      </c>
      <c r="E82" s="28" t="n">
        <v>46070</v>
      </c>
      <c r="F82" s="41" t="str">
        <f aca="false">TEXT(E82,"yyyy-mm")</f>
        <v>2026-02</v>
      </c>
      <c r="G82" s="41" t="str">
        <f aca="false">IF(MONTH(E82)&lt;=3,"Q1","Q2")</f>
        <v>Q1</v>
      </c>
      <c r="H82" s="27" t="s">
        <v>48</v>
      </c>
      <c r="I82" s="27" t="s">
        <v>169</v>
      </c>
      <c r="J82" s="27" t="s">
        <v>137</v>
      </c>
      <c r="K82" s="29" t="n">
        <v>72000</v>
      </c>
      <c r="L82" s="42" t="n">
        <f aca="false">IFERROR(INDEX('Sales Roster &amp; Quotas'!$G$6:$G$20,MATCH($B82,'Sales Roster &amp; Quotas'!$B$6:$B$20,0)),0)</f>
        <v>594000</v>
      </c>
      <c r="M82" s="43" t="n">
        <f aca="false">SUMIFS($K$5:$K$274,$B$5:$B$274,$B82,$G$5:$G$274,$G82,$H$5:$H$274,"New Business")</f>
        <v>542500</v>
      </c>
      <c r="N82" s="44" t="n">
        <f aca="false">IFERROR(M82/L82,0)</f>
        <v>0.913299663299663</v>
      </c>
      <c r="O82" s="43" t="n">
        <f aca="false">MIN(M82,L82)</f>
        <v>542500</v>
      </c>
      <c r="P82" s="43" t="n">
        <f aca="false">MAX(MIN(M82,L82*1.25)-L82,0)</f>
        <v>0</v>
      </c>
      <c r="Q82" s="43" t="n">
        <f aca="false">MAX(M82-L82*1.25,0)</f>
        <v>0</v>
      </c>
      <c r="R82" s="42" t="n">
        <f aca="false">O82*'Commission Plan Rules'!$F$6+P82*'Commission Plan Rules'!$F$7+Q82*'Commission Plan Rules'!$F$8</f>
        <v>43400</v>
      </c>
      <c r="S82" s="45" t="n">
        <f aca="false">IF(H82="New Business",IFERROR((K82/M82)*R82,0),IF(H82="Upsell",K82*'Commission Plan Rules'!$F$9,IF(H82="Renewal",K82*'Commission Plan Rules'!$F$10,0)))</f>
        <v>2160</v>
      </c>
    </row>
    <row r="83" customFormat="false" ht="15" hidden="false" customHeight="true" outlineLevel="0" collapsed="false">
      <c r="A83" s="24" t="s">
        <v>284</v>
      </c>
      <c r="B83" s="24" t="s">
        <v>82</v>
      </c>
      <c r="C83" s="34" t="str">
        <f aca="false">IFERROR(INDEX('Sales Roster &amp; Quotas'!$C$6:$C$20,MATCH($B83,'Sales Roster &amp; Quotas'!$B$6:$B$20,0)),"")</f>
        <v>Sofia Rossi</v>
      </c>
      <c r="D83" s="34" t="str">
        <f aca="false">IFERROR(INDEX('Sales Roster &amp; Quotas'!$D$6:$D$20,MATCH($B83,'Sales Roster &amp; Quotas'!$B$6:$B$20,0)),"")</f>
        <v>SMB</v>
      </c>
      <c r="E83" s="25" t="n">
        <v>46070</v>
      </c>
      <c r="F83" s="35" t="str">
        <f aca="false">TEXT(E83,"yyyy-mm")</f>
        <v>2026-02</v>
      </c>
      <c r="G83" s="35" t="str">
        <f aca="false">IF(MONTH(E83)&lt;=3,"Q1","Q2")</f>
        <v>Q1</v>
      </c>
      <c r="H83" s="24" t="s">
        <v>48</v>
      </c>
      <c r="I83" s="24" t="s">
        <v>285</v>
      </c>
      <c r="J83" s="24" t="s">
        <v>137</v>
      </c>
      <c r="K83" s="26" t="n">
        <v>3500</v>
      </c>
      <c r="L83" s="36" t="n">
        <f aca="false">IFERROR(INDEX('Sales Roster &amp; Quotas'!$G$6:$G$20,MATCH($B83,'Sales Roster &amp; Quotas'!$B$6:$B$20,0)),0)</f>
        <v>152000</v>
      </c>
      <c r="M83" s="37" t="n">
        <f aca="false">SUMIFS($K$5:$K$274,$B$5:$B$274,$B83,$G$5:$G$274,$G83,$H$5:$H$274,"New Business")</f>
        <v>153500</v>
      </c>
      <c r="N83" s="38" t="n">
        <f aca="false">IFERROR(M83/L83,0)</f>
        <v>1.00986842105263</v>
      </c>
      <c r="O83" s="37" t="n">
        <f aca="false">MIN(M83,L83)</f>
        <v>152000</v>
      </c>
      <c r="P83" s="37" t="n">
        <f aca="false">MAX(MIN(M83,L83*1.25)-L83,0)</f>
        <v>1500</v>
      </c>
      <c r="Q83" s="37" t="n">
        <f aca="false">MAX(M83-L83*1.25,0)</f>
        <v>0</v>
      </c>
      <c r="R83" s="36" t="n">
        <f aca="false">O83*'Commission Plan Rules'!$F$6+P83*'Commission Plan Rules'!$F$7+Q83*'Commission Plan Rules'!$F$8</f>
        <v>12310</v>
      </c>
      <c r="S83" s="39" t="n">
        <f aca="false">IF(H83="New Business",IFERROR((K83/M83)*R83,0),IF(H83="Upsell",K83*'Commission Plan Rules'!$F$9,IF(H83="Renewal",K83*'Commission Plan Rules'!$F$10,0)))</f>
        <v>105</v>
      </c>
    </row>
    <row r="84" customFormat="false" ht="15" hidden="false" customHeight="true" outlineLevel="0" collapsed="false">
      <c r="A84" s="27" t="s">
        <v>286</v>
      </c>
      <c r="B84" s="27" t="s">
        <v>79</v>
      </c>
      <c r="C84" s="40" t="str">
        <f aca="false">IFERROR(INDEX('Sales Roster &amp; Quotas'!$C$6:$C$20,MATCH($B84,'Sales Roster &amp; Quotas'!$B$6:$B$20,0)),"")</f>
        <v>David Nguyen</v>
      </c>
      <c r="D84" s="40" t="str">
        <f aca="false">IFERROR(INDEX('Sales Roster &amp; Quotas'!$D$6:$D$20,MATCH($B84,'Sales Roster &amp; Quotas'!$B$6:$B$20,0)),"")</f>
        <v>SMB</v>
      </c>
      <c r="E84" s="28" t="n">
        <v>46071</v>
      </c>
      <c r="F84" s="41" t="str">
        <f aca="false">TEXT(E84,"yyyy-mm")</f>
        <v>2026-02</v>
      </c>
      <c r="G84" s="41" t="str">
        <f aca="false">IF(MONTH(E84)&lt;=3,"Q1","Q2")</f>
        <v>Q1</v>
      </c>
      <c r="H84" s="27" t="s">
        <v>48</v>
      </c>
      <c r="I84" s="27" t="s">
        <v>287</v>
      </c>
      <c r="J84" s="27" t="s">
        <v>137</v>
      </c>
      <c r="K84" s="29" t="n">
        <v>5500</v>
      </c>
      <c r="L84" s="42" t="n">
        <f aca="false">IFERROR(INDEX('Sales Roster &amp; Quotas'!$G$6:$G$20,MATCH($B84,'Sales Roster &amp; Quotas'!$B$6:$B$20,0)),0)</f>
        <v>155000</v>
      </c>
      <c r="M84" s="43" t="n">
        <f aca="false">SUMIFS($K$5:$K$274,$B$5:$B$274,$B84,$G$5:$G$274,$G84,$H$5:$H$274,"New Business")</f>
        <v>196500</v>
      </c>
      <c r="N84" s="44" t="n">
        <f aca="false">IFERROR(M84/L84,0)</f>
        <v>1.26774193548387</v>
      </c>
      <c r="O84" s="43" t="n">
        <f aca="false">MIN(M84,L84)</f>
        <v>155000</v>
      </c>
      <c r="P84" s="43" t="n">
        <f aca="false">MAX(MIN(M84,L84*1.25)-L84,0)</f>
        <v>38750</v>
      </c>
      <c r="Q84" s="43" t="n">
        <f aca="false">MAX(M84-L84*1.25,0)</f>
        <v>2750</v>
      </c>
      <c r="R84" s="42" t="n">
        <f aca="false">O84*'Commission Plan Rules'!$F$6+P84*'Commission Plan Rules'!$F$7+Q84*'Commission Plan Rules'!$F$8</f>
        <v>16605</v>
      </c>
      <c r="S84" s="45" t="n">
        <f aca="false">IF(H84="New Business",IFERROR((K84/M84)*R84,0),IF(H84="Upsell",K84*'Commission Plan Rules'!$F$9,IF(H84="Renewal",K84*'Commission Plan Rules'!$F$10,0)))</f>
        <v>165</v>
      </c>
    </row>
    <row r="85" customFormat="false" ht="15" hidden="false" customHeight="true" outlineLevel="0" collapsed="false">
      <c r="A85" s="24" t="s">
        <v>288</v>
      </c>
      <c r="B85" s="24" t="s">
        <v>82</v>
      </c>
      <c r="C85" s="34" t="str">
        <f aca="false">IFERROR(INDEX('Sales Roster &amp; Quotas'!$C$6:$C$20,MATCH($B85,'Sales Roster &amp; Quotas'!$B$6:$B$20,0)),"")</f>
        <v>Sofia Rossi</v>
      </c>
      <c r="D85" s="34" t="str">
        <f aca="false">IFERROR(INDEX('Sales Roster &amp; Quotas'!$D$6:$D$20,MATCH($B85,'Sales Roster &amp; Quotas'!$B$6:$B$20,0)),"")</f>
        <v>SMB</v>
      </c>
      <c r="E85" s="25" t="n">
        <v>46071</v>
      </c>
      <c r="F85" s="35" t="str">
        <f aca="false">TEXT(E85,"yyyy-mm")</f>
        <v>2026-02</v>
      </c>
      <c r="G85" s="35" t="str">
        <f aca="false">IF(MONTH(E85)&lt;=3,"Q1","Q2")</f>
        <v>Q1</v>
      </c>
      <c r="H85" s="24" t="s">
        <v>48</v>
      </c>
      <c r="I85" s="24" t="s">
        <v>289</v>
      </c>
      <c r="J85" s="24" t="s">
        <v>137</v>
      </c>
      <c r="K85" s="26" t="n">
        <v>42500</v>
      </c>
      <c r="L85" s="36" t="n">
        <f aca="false">IFERROR(INDEX('Sales Roster &amp; Quotas'!$G$6:$G$20,MATCH($B85,'Sales Roster &amp; Quotas'!$B$6:$B$20,0)),0)</f>
        <v>152000</v>
      </c>
      <c r="M85" s="37" t="n">
        <f aca="false">SUMIFS($K$5:$K$274,$B$5:$B$274,$B85,$G$5:$G$274,$G85,$H$5:$H$274,"New Business")</f>
        <v>153500</v>
      </c>
      <c r="N85" s="38" t="n">
        <f aca="false">IFERROR(M85/L85,0)</f>
        <v>1.00986842105263</v>
      </c>
      <c r="O85" s="37" t="n">
        <f aca="false">MIN(M85,L85)</f>
        <v>152000</v>
      </c>
      <c r="P85" s="37" t="n">
        <f aca="false">MAX(MIN(M85,L85*1.25)-L85,0)</f>
        <v>1500</v>
      </c>
      <c r="Q85" s="37" t="n">
        <f aca="false">MAX(M85-L85*1.25,0)</f>
        <v>0</v>
      </c>
      <c r="R85" s="36" t="n">
        <f aca="false">O85*'Commission Plan Rules'!$F$6+P85*'Commission Plan Rules'!$F$7+Q85*'Commission Plan Rules'!$F$8</f>
        <v>12310</v>
      </c>
      <c r="S85" s="39" t="n">
        <f aca="false">IF(H85="New Business",IFERROR((K85/M85)*R85,0),IF(H85="Upsell",K85*'Commission Plan Rules'!$F$9,IF(H85="Renewal",K85*'Commission Plan Rules'!$F$10,0)))</f>
        <v>1275</v>
      </c>
    </row>
    <row r="86" customFormat="false" ht="15" hidden="false" customHeight="true" outlineLevel="0" collapsed="false">
      <c r="A86" s="27" t="s">
        <v>290</v>
      </c>
      <c r="B86" s="27" t="s">
        <v>95</v>
      </c>
      <c r="C86" s="40" t="str">
        <f aca="false">IFERROR(INDEX('Sales Roster &amp; Quotas'!$C$6:$C$20,MATCH($B86,'Sales Roster &amp; Quotas'!$B$6:$B$20,0)),"")</f>
        <v>Aisha Kim</v>
      </c>
      <c r="D86" s="40" t="str">
        <f aca="false">IFERROR(INDEX('Sales Roster &amp; Quotas'!$D$6:$D$20,MATCH($B86,'Sales Roster &amp; Quotas'!$B$6:$B$20,0)),"")</f>
        <v>Mid-Market</v>
      </c>
      <c r="E86" s="28" t="n">
        <v>46072</v>
      </c>
      <c r="F86" s="41" t="str">
        <f aca="false">TEXT(E86,"yyyy-mm")</f>
        <v>2026-02</v>
      </c>
      <c r="G86" s="41" t="str">
        <f aca="false">IF(MONTH(E86)&lt;=3,"Q1","Q2")</f>
        <v>Q1</v>
      </c>
      <c r="H86" s="27" t="s">
        <v>40</v>
      </c>
      <c r="I86" s="27" t="s">
        <v>291</v>
      </c>
      <c r="J86" s="27" t="s">
        <v>137</v>
      </c>
      <c r="K86" s="29" t="n">
        <v>68500</v>
      </c>
      <c r="L86" s="42" t="n">
        <f aca="false">IFERROR(INDEX('Sales Roster &amp; Quotas'!$G$6:$G$20,MATCH($B86,'Sales Roster &amp; Quotas'!$B$6:$B$20,0)),0)</f>
        <v>287000</v>
      </c>
      <c r="M86" s="43" t="n">
        <f aca="false">SUMIFS($K$5:$K$274,$B$5:$B$274,$B86,$G$5:$G$274,$G86,$H$5:$H$274,"New Business")</f>
        <v>266000</v>
      </c>
      <c r="N86" s="44" t="n">
        <f aca="false">IFERROR(M86/L86,0)</f>
        <v>0.926829268292683</v>
      </c>
      <c r="O86" s="43" t="n">
        <f aca="false">MIN(M86,L86)</f>
        <v>266000</v>
      </c>
      <c r="P86" s="43" t="n">
        <f aca="false">MAX(MIN(M86,L86*1.25)-L86,0)</f>
        <v>0</v>
      </c>
      <c r="Q86" s="43" t="n">
        <f aca="false">MAX(M86-L86*1.25,0)</f>
        <v>0</v>
      </c>
      <c r="R86" s="42" t="n">
        <f aca="false">O86*'Commission Plan Rules'!$F$6+P86*'Commission Plan Rules'!$F$7+Q86*'Commission Plan Rules'!$F$8</f>
        <v>21280</v>
      </c>
      <c r="S86" s="45" t="n">
        <f aca="false">IF(H86="New Business",IFERROR((K86/M86)*R86,0),IF(H86="Upsell",K86*'Commission Plan Rules'!$F$9,IF(H86="Renewal",K86*'Commission Plan Rules'!$F$10,0)))</f>
        <v>5480</v>
      </c>
    </row>
    <row r="87" customFormat="false" ht="15" hidden="false" customHeight="true" outlineLevel="0" collapsed="false">
      <c r="A87" s="24" t="s">
        <v>292</v>
      </c>
      <c r="B87" s="24" t="s">
        <v>79</v>
      </c>
      <c r="C87" s="34" t="str">
        <f aca="false">IFERROR(INDEX('Sales Roster &amp; Quotas'!$C$6:$C$20,MATCH($B87,'Sales Roster &amp; Quotas'!$B$6:$B$20,0)),"")</f>
        <v>David Nguyen</v>
      </c>
      <c r="D87" s="34" t="str">
        <f aca="false">IFERROR(INDEX('Sales Roster &amp; Quotas'!$D$6:$D$20,MATCH($B87,'Sales Roster &amp; Quotas'!$B$6:$B$20,0)),"")</f>
        <v>SMB</v>
      </c>
      <c r="E87" s="25" t="n">
        <v>46072</v>
      </c>
      <c r="F87" s="35" t="str">
        <f aca="false">TEXT(E87,"yyyy-mm")</f>
        <v>2026-02</v>
      </c>
      <c r="G87" s="35" t="str">
        <f aca="false">IF(MONTH(E87)&lt;=3,"Q1","Q2")</f>
        <v>Q1</v>
      </c>
      <c r="H87" s="24" t="s">
        <v>40</v>
      </c>
      <c r="I87" s="24" t="s">
        <v>249</v>
      </c>
      <c r="J87" s="24" t="s">
        <v>157</v>
      </c>
      <c r="K87" s="26" t="n">
        <v>19500</v>
      </c>
      <c r="L87" s="36" t="n">
        <f aca="false">IFERROR(INDEX('Sales Roster &amp; Quotas'!$G$6:$G$20,MATCH($B87,'Sales Roster &amp; Quotas'!$B$6:$B$20,0)),0)</f>
        <v>155000</v>
      </c>
      <c r="M87" s="37" t="n">
        <f aca="false">SUMIFS($K$5:$K$274,$B$5:$B$274,$B87,$G$5:$G$274,$G87,$H$5:$H$274,"New Business")</f>
        <v>196500</v>
      </c>
      <c r="N87" s="38" t="n">
        <f aca="false">IFERROR(M87/L87,0)</f>
        <v>1.26774193548387</v>
      </c>
      <c r="O87" s="37" t="n">
        <f aca="false">MIN(M87,L87)</f>
        <v>155000</v>
      </c>
      <c r="P87" s="37" t="n">
        <f aca="false">MAX(MIN(M87,L87*1.25)-L87,0)</f>
        <v>38750</v>
      </c>
      <c r="Q87" s="37" t="n">
        <f aca="false">MAX(M87-L87*1.25,0)</f>
        <v>2750</v>
      </c>
      <c r="R87" s="36" t="n">
        <f aca="false">O87*'Commission Plan Rules'!$F$6+P87*'Commission Plan Rules'!$F$7+Q87*'Commission Plan Rules'!$F$8</f>
        <v>16605</v>
      </c>
      <c r="S87" s="39" t="n">
        <f aca="false">IF(H87="New Business",IFERROR((K87/M87)*R87,0),IF(H87="Upsell",K87*'Commission Plan Rules'!$F$9,IF(H87="Renewal",K87*'Commission Plan Rules'!$F$10,0)))</f>
        <v>1647.82442748092</v>
      </c>
    </row>
    <row r="88" customFormat="false" ht="15" hidden="false" customHeight="true" outlineLevel="0" collapsed="false">
      <c r="A88" s="27" t="s">
        <v>293</v>
      </c>
      <c r="B88" s="27" t="s">
        <v>107</v>
      </c>
      <c r="C88" s="40" t="str">
        <f aca="false">IFERROR(INDEX('Sales Roster &amp; Quotas'!$C$6:$C$20,MATCH($B88,'Sales Roster &amp; Quotas'!$B$6:$B$20,0)),"")</f>
        <v>Grace Adeyemi</v>
      </c>
      <c r="D88" s="40" t="str">
        <f aca="false">IFERROR(INDEX('Sales Roster &amp; Quotas'!$D$6:$D$20,MATCH($B88,'Sales Roster &amp; Quotas'!$B$6:$B$20,0)),"")</f>
        <v>Enterprise</v>
      </c>
      <c r="E88" s="28" t="n">
        <v>46074</v>
      </c>
      <c r="F88" s="41" t="str">
        <f aca="false">TEXT(E88,"yyyy-mm")</f>
        <v>2026-02</v>
      </c>
      <c r="G88" s="41" t="str">
        <f aca="false">IF(MONTH(E88)&lt;=3,"Q1","Q2")</f>
        <v>Q1</v>
      </c>
      <c r="H88" s="27" t="s">
        <v>45</v>
      </c>
      <c r="I88" s="27" t="s">
        <v>294</v>
      </c>
      <c r="J88" s="27" t="s">
        <v>152</v>
      </c>
      <c r="K88" s="29" t="n">
        <v>36500</v>
      </c>
      <c r="L88" s="42" t="n">
        <f aca="false">IFERROR(INDEX('Sales Roster &amp; Quotas'!$G$6:$G$20,MATCH($B88,'Sales Roster &amp; Quotas'!$B$6:$B$20,0)),0)</f>
        <v>626000</v>
      </c>
      <c r="M88" s="43" t="n">
        <f aca="false">SUMIFS($K$5:$K$274,$B$5:$B$274,$B88,$G$5:$G$274,$G88,$H$5:$H$274,"New Business")</f>
        <v>403500</v>
      </c>
      <c r="N88" s="44" t="n">
        <f aca="false">IFERROR(M88/L88,0)</f>
        <v>0.644568690095847</v>
      </c>
      <c r="O88" s="43" t="n">
        <f aca="false">MIN(M88,L88)</f>
        <v>403500</v>
      </c>
      <c r="P88" s="43" t="n">
        <f aca="false">MAX(MIN(M88,L88*1.25)-L88,0)</f>
        <v>0</v>
      </c>
      <c r="Q88" s="43" t="n">
        <f aca="false">MAX(M88-L88*1.25,0)</f>
        <v>0</v>
      </c>
      <c r="R88" s="42" t="n">
        <f aca="false">O88*'Commission Plan Rules'!$F$6+P88*'Commission Plan Rules'!$F$7+Q88*'Commission Plan Rules'!$F$8</f>
        <v>32280</v>
      </c>
      <c r="S88" s="45" t="n">
        <f aca="false">IF(H88="New Business",IFERROR((K88/M88)*R88,0),IF(H88="Upsell",K88*'Commission Plan Rules'!$F$9,IF(H88="Renewal",K88*'Commission Plan Rules'!$F$10,0)))</f>
        <v>2190</v>
      </c>
    </row>
    <row r="89" customFormat="false" ht="15" hidden="false" customHeight="true" outlineLevel="0" collapsed="false">
      <c r="A89" s="24" t="s">
        <v>295</v>
      </c>
      <c r="B89" s="24" t="s">
        <v>95</v>
      </c>
      <c r="C89" s="34" t="str">
        <f aca="false">IFERROR(INDEX('Sales Roster &amp; Quotas'!$C$6:$C$20,MATCH($B89,'Sales Roster &amp; Quotas'!$B$6:$B$20,0)),"")</f>
        <v>Aisha Kim</v>
      </c>
      <c r="D89" s="34" t="str">
        <f aca="false">IFERROR(INDEX('Sales Roster &amp; Quotas'!$D$6:$D$20,MATCH($B89,'Sales Roster &amp; Quotas'!$B$6:$B$20,0)),"")</f>
        <v>Mid-Market</v>
      </c>
      <c r="E89" s="25" t="n">
        <v>46075</v>
      </c>
      <c r="F89" s="35" t="str">
        <f aca="false">TEXT(E89,"yyyy-mm")</f>
        <v>2026-02</v>
      </c>
      <c r="G89" s="35" t="str">
        <f aca="false">IF(MONTH(E89)&lt;=3,"Q1","Q2")</f>
        <v>Q1</v>
      </c>
      <c r="H89" s="24" t="s">
        <v>48</v>
      </c>
      <c r="I89" s="24" t="s">
        <v>296</v>
      </c>
      <c r="J89" s="24" t="s">
        <v>137</v>
      </c>
      <c r="K89" s="26" t="n">
        <v>16500</v>
      </c>
      <c r="L89" s="36" t="n">
        <f aca="false">IFERROR(INDEX('Sales Roster &amp; Quotas'!$G$6:$G$20,MATCH($B89,'Sales Roster &amp; Quotas'!$B$6:$B$20,0)),0)</f>
        <v>287000</v>
      </c>
      <c r="M89" s="37" t="n">
        <f aca="false">SUMIFS($K$5:$K$274,$B$5:$B$274,$B89,$G$5:$G$274,$G89,$H$5:$H$274,"New Business")</f>
        <v>266000</v>
      </c>
      <c r="N89" s="38" t="n">
        <f aca="false">IFERROR(M89/L89,0)</f>
        <v>0.926829268292683</v>
      </c>
      <c r="O89" s="37" t="n">
        <f aca="false">MIN(M89,L89)</f>
        <v>266000</v>
      </c>
      <c r="P89" s="37" t="n">
        <f aca="false">MAX(MIN(M89,L89*1.25)-L89,0)</f>
        <v>0</v>
      </c>
      <c r="Q89" s="37" t="n">
        <f aca="false">MAX(M89-L89*1.25,0)</f>
        <v>0</v>
      </c>
      <c r="R89" s="36" t="n">
        <f aca="false">O89*'Commission Plan Rules'!$F$6+P89*'Commission Plan Rules'!$F$7+Q89*'Commission Plan Rules'!$F$8</f>
        <v>21280</v>
      </c>
      <c r="S89" s="39" t="n">
        <f aca="false">IF(H89="New Business",IFERROR((K89/M89)*R89,0),IF(H89="Upsell",K89*'Commission Plan Rules'!$F$9,IF(H89="Renewal",K89*'Commission Plan Rules'!$F$10,0)))</f>
        <v>495</v>
      </c>
    </row>
    <row r="90" customFormat="false" ht="15" hidden="false" customHeight="true" outlineLevel="0" collapsed="false">
      <c r="A90" s="27" t="s">
        <v>297</v>
      </c>
      <c r="B90" s="27" t="s">
        <v>114</v>
      </c>
      <c r="C90" s="40" t="str">
        <f aca="false">IFERROR(INDEX('Sales Roster &amp; Quotas'!$C$6:$C$20,MATCH($B90,'Sales Roster &amp; Quotas'!$B$6:$B$20,0)),"")</f>
        <v>Lucia Larsen</v>
      </c>
      <c r="D90" s="40" t="str">
        <f aca="false">IFERROR(INDEX('Sales Roster &amp; Quotas'!$D$6:$D$20,MATCH($B90,'Sales Roster &amp; Quotas'!$B$6:$B$20,0)),"")</f>
        <v>Enterprise</v>
      </c>
      <c r="E90" s="28" t="n">
        <v>46076</v>
      </c>
      <c r="F90" s="41" t="str">
        <f aca="false">TEXT(E90,"yyyy-mm")</f>
        <v>2026-02</v>
      </c>
      <c r="G90" s="41" t="str">
        <f aca="false">IF(MONTH(E90)&lt;=3,"Q1","Q2")</f>
        <v>Q1</v>
      </c>
      <c r="H90" s="27" t="s">
        <v>45</v>
      </c>
      <c r="I90" s="27" t="s">
        <v>298</v>
      </c>
      <c r="J90" s="27" t="s">
        <v>157</v>
      </c>
      <c r="K90" s="29" t="n">
        <v>86500</v>
      </c>
      <c r="L90" s="42" t="n">
        <f aca="false">IFERROR(INDEX('Sales Roster &amp; Quotas'!$G$6:$G$20,MATCH($B90,'Sales Roster &amp; Quotas'!$B$6:$B$20,0)),0)</f>
        <v>594000</v>
      </c>
      <c r="M90" s="43" t="n">
        <f aca="false">SUMIFS($K$5:$K$274,$B$5:$B$274,$B90,$G$5:$G$274,$G90,$H$5:$H$274,"New Business")</f>
        <v>542500</v>
      </c>
      <c r="N90" s="44" t="n">
        <f aca="false">IFERROR(M90/L90,0)</f>
        <v>0.913299663299663</v>
      </c>
      <c r="O90" s="43" t="n">
        <f aca="false">MIN(M90,L90)</f>
        <v>542500</v>
      </c>
      <c r="P90" s="43" t="n">
        <f aca="false">MAX(MIN(M90,L90*1.25)-L90,0)</f>
        <v>0</v>
      </c>
      <c r="Q90" s="43" t="n">
        <f aca="false">MAX(M90-L90*1.25,0)</f>
        <v>0</v>
      </c>
      <c r="R90" s="42" t="n">
        <f aca="false">O90*'Commission Plan Rules'!$F$6+P90*'Commission Plan Rules'!$F$7+Q90*'Commission Plan Rules'!$F$8</f>
        <v>43400</v>
      </c>
      <c r="S90" s="45" t="n">
        <f aca="false">IF(H90="New Business",IFERROR((K90/M90)*R90,0),IF(H90="Upsell",K90*'Commission Plan Rules'!$F$9,IF(H90="Renewal",K90*'Commission Plan Rules'!$F$10,0)))</f>
        <v>5190</v>
      </c>
    </row>
    <row r="91" customFormat="false" ht="15" hidden="false" customHeight="true" outlineLevel="0" collapsed="false">
      <c r="A91" s="24" t="s">
        <v>299</v>
      </c>
      <c r="B91" s="24" t="s">
        <v>85</v>
      </c>
      <c r="C91" s="34" t="str">
        <f aca="false">IFERROR(INDEX('Sales Roster &amp; Quotas'!$C$6:$C$20,MATCH($B91,'Sales Roster &amp; Quotas'!$B$6:$B$20,0)),"")</f>
        <v>Marcus Bennett</v>
      </c>
      <c r="D91" s="34" t="str">
        <f aca="false">IFERROR(INDEX('Sales Roster &amp; Quotas'!$D$6:$D$20,MATCH($B91,'Sales Roster &amp; Quotas'!$B$6:$B$20,0)),"")</f>
        <v>SMB</v>
      </c>
      <c r="E91" s="25" t="n">
        <v>46076</v>
      </c>
      <c r="F91" s="35" t="str">
        <f aca="false">TEXT(E91,"yyyy-mm")</f>
        <v>2026-02</v>
      </c>
      <c r="G91" s="35" t="str">
        <f aca="false">IF(MONTH(E91)&lt;=3,"Q1","Q2")</f>
        <v>Q1</v>
      </c>
      <c r="H91" s="24" t="s">
        <v>40</v>
      </c>
      <c r="I91" s="24" t="s">
        <v>300</v>
      </c>
      <c r="J91" s="24" t="s">
        <v>137</v>
      </c>
      <c r="K91" s="26" t="n">
        <v>31000</v>
      </c>
      <c r="L91" s="36" t="n">
        <f aca="false">IFERROR(INDEX('Sales Roster &amp; Quotas'!$G$6:$G$20,MATCH($B91,'Sales Roster &amp; Quotas'!$B$6:$B$20,0)),0)</f>
        <v>159000</v>
      </c>
      <c r="M91" s="37" t="n">
        <f aca="false">SUMIFS($K$5:$K$274,$B$5:$B$274,$B91,$G$5:$G$274,$G91,$H$5:$H$274,"New Business")</f>
        <v>174500</v>
      </c>
      <c r="N91" s="38" t="n">
        <f aca="false">IFERROR(M91/L91,0)</f>
        <v>1.09748427672956</v>
      </c>
      <c r="O91" s="37" t="n">
        <f aca="false">MIN(M91,L91)</f>
        <v>159000</v>
      </c>
      <c r="P91" s="37" t="n">
        <f aca="false">MAX(MIN(M91,L91*1.25)-L91,0)</f>
        <v>15500</v>
      </c>
      <c r="Q91" s="37" t="n">
        <f aca="false">MAX(M91-L91*1.25,0)</f>
        <v>0</v>
      </c>
      <c r="R91" s="36" t="n">
        <f aca="false">O91*'Commission Plan Rules'!$F$6+P91*'Commission Plan Rules'!$F$7+Q91*'Commission Plan Rules'!$F$8</f>
        <v>14270</v>
      </c>
      <c r="S91" s="39" t="n">
        <f aca="false">IF(H91="New Business",IFERROR((K91/M91)*R91,0),IF(H91="Upsell",K91*'Commission Plan Rules'!$F$9,IF(H91="Renewal",K91*'Commission Plan Rules'!$F$10,0)))</f>
        <v>2535.07163323782</v>
      </c>
    </row>
    <row r="92" customFormat="false" ht="15" hidden="false" customHeight="true" outlineLevel="0" collapsed="false">
      <c r="A92" s="27" t="s">
        <v>301</v>
      </c>
      <c r="B92" s="27" t="s">
        <v>97</v>
      </c>
      <c r="C92" s="40" t="str">
        <f aca="false">IFERROR(INDEX('Sales Roster &amp; Quotas'!$C$6:$C$20,MATCH($B92,'Sales Roster &amp; Quotas'!$B$6:$B$20,0)),"")</f>
        <v>Ryan Sullivan</v>
      </c>
      <c r="D92" s="40" t="str">
        <f aca="false">IFERROR(INDEX('Sales Roster &amp; Quotas'!$D$6:$D$20,MATCH($B92,'Sales Roster &amp; Quotas'!$B$6:$B$20,0)),"")</f>
        <v>Mid-Market</v>
      </c>
      <c r="E92" s="28" t="n">
        <v>46077</v>
      </c>
      <c r="F92" s="41" t="str">
        <f aca="false">TEXT(E92,"yyyy-mm")</f>
        <v>2026-02</v>
      </c>
      <c r="G92" s="41" t="str">
        <f aca="false">IF(MONTH(E92)&lt;=3,"Q1","Q2")</f>
        <v>Q1</v>
      </c>
      <c r="H92" s="27" t="s">
        <v>48</v>
      </c>
      <c r="I92" s="27" t="s">
        <v>302</v>
      </c>
      <c r="J92" s="27" t="s">
        <v>137</v>
      </c>
      <c r="K92" s="29" t="n">
        <v>33000</v>
      </c>
      <c r="L92" s="42" t="n">
        <f aca="false">IFERROR(INDEX('Sales Roster &amp; Quotas'!$G$6:$G$20,MATCH($B92,'Sales Roster &amp; Quotas'!$B$6:$B$20,0)),0)</f>
        <v>273000</v>
      </c>
      <c r="M92" s="43" t="n">
        <f aca="false">SUMIFS($K$5:$K$274,$B$5:$B$274,$B92,$G$5:$G$274,$G92,$H$5:$H$274,"New Business")</f>
        <v>271000</v>
      </c>
      <c r="N92" s="44" t="n">
        <f aca="false">IFERROR(M92/L92,0)</f>
        <v>0.992673992673993</v>
      </c>
      <c r="O92" s="43" t="n">
        <f aca="false">MIN(M92,L92)</f>
        <v>271000</v>
      </c>
      <c r="P92" s="43" t="n">
        <f aca="false">MAX(MIN(M92,L92*1.25)-L92,0)</f>
        <v>0</v>
      </c>
      <c r="Q92" s="43" t="n">
        <f aca="false">MAX(M92-L92*1.25,0)</f>
        <v>0</v>
      </c>
      <c r="R92" s="42" t="n">
        <f aca="false">O92*'Commission Plan Rules'!$F$6+P92*'Commission Plan Rules'!$F$7+Q92*'Commission Plan Rules'!$F$8</f>
        <v>21680</v>
      </c>
      <c r="S92" s="45" t="n">
        <f aca="false">IF(H92="New Business",IFERROR((K92/M92)*R92,0),IF(H92="Upsell",K92*'Commission Plan Rules'!$F$9,IF(H92="Renewal",K92*'Commission Plan Rules'!$F$10,0)))</f>
        <v>990</v>
      </c>
    </row>
    <row r="93" customFormat="false" ht="15" hidden="false" customHeight="true" outlineLevel="0" collapsed="false">
      <c r="A93" s="24" t="s">
        <v>303</v>
      </c>
      <c r="B93" s="24" t="s">
        <v>75</v>
      </c>
      <c r="C93" s="34" t="str">
        <f aca="false">IFERROR(INDEX('Sales Roster &amp; Quotas'!$C$6:$C$20,MATCH($B93,'Sales Roster &amp; Quotas'!$B$6:$B$20,0)),"")</f>
        <v>Priya Patel</v>
      </c>
      <c r="D93" s="34" t="str">
        <f aca="false">IFERROR(INDEX('Sales Roster &amp; Quotas'!$D$6:$D$20,MATCH($B93,'Sales Roster &amp; Quotas'!$B$6:$B$20,0)),"")</f>
        <v>SMB</v>
      </c>
      <c r="E93" s="25" t="n">
        <v>46077</v>
      </c>
      <c r="F93" s="35" t="str">
        <f aca="false">TEXT(E93,"yyyy-mm")</f>
        <v>2026-02</v>
      </c>
      <c r="G93" s="35" t="str">
        <f aca="false">IF(MONTH(E93)&lt;=3,"Q1","Q2")</f>
        <v>Q1</v>
      </c>
      <c r="H93" s="24" t="s">
        <v>48</v>
      </c>
      <c r="I93" s="24" t="s">
        <v>221</v>
      </c>
      <c r="J93" s="24" t="s">
        <v>152</v>
      </c>
      <c r="K93" s="26" t="n">
        <v>1500</v>
      </c>
      <c r="L93" s="36" t="n">
        <f aca="false">IFERROR(INDEX('Sales Roster &amp; Quotas'!$G$6:$G$20,MATCH($B93,'Sales Roster &amp; Quotas'!$B$6:$B$20,0)),0)</f>
        <v>137000</v>
      </c>
      <c r="M93" s="37" t="n">
        <f aca="false">SUMIFS($K$5:$K$274,$B$5:$B$274,$B93,$G$5:$G$274,$G93,$H$5:$H$274,"New Business")</f>
        <v>118500</v>
      </c>
      <c r="N93" s="38" t="n">
        <f aca="false">IFERROR(M93/L93,0)</f>
        <v>0.864963503649635</v>
      </c>
      <c r="O93" s="37" t="n">
        <f aca="false">MIN(M93,L93)</f>
        <v>118500</v>
      </c>
      <c r="P93" s="37" t="n">
        <f aca="false">MAX(MIN(M93,L93*1.25)-L93,0)</f>
        <v>0</v>
      </c>
      <c r="Q93" s="37" t="n">
        <f aca="false">MAX(M93-L93*1.25,0)</f>
        <v>0</v>
      </c>
      <c r="R93" s="36" t="n">
        <f aca="false">O93*'Commission Plan Rules'!$F$6+P93*'Commission Plan Rules'!$F$7+Q93*'Commission Plan Rules'!$F$8</f>
        <v>9480</v>
      </c>
      <c r="S93" s="39" t="n">
        <f aca="false">IF(H93="New Business",IFERROR((K93/M93)*R93,0),IF(H93="Upsell",K93*'Commission Plan Rules'!$F$9,IF(H93="Renewal",K93*'Commission Plan Rules'!$F$10,0)))</f>
        <v>45</v>
      </c>
    </row>
    <row r="94" customFormat="false" ht="15" hidden="false" customHeight="true" outlineLevel="0" collapsed="false">
      <c r="A94" s="27" t="s">
        <v>304</v>
      </c>
      <c r="B94" s="27" t="s">
        <v>97</v>
      </c>
      <c r="C94" s="40" t="str">
        <f aca="false">IFERROR(INDEX('Sales Roster &amp; Quotas'!$C$6:$C$20,MATCH($B94,'Sales Roster &amp; Quotas'!$B$6:$B$20,0)),"")</f>
        <v>Ryan Sullivan</v>
      </c>
      <c r="D94" s="40" t="str">
        <f aca="false">IFERROR(INDEX('Sales Roster &amp; Quotas'!$D$6:$D$20,MATCH($B94,'Sales Roster &amp; Quotas'!$B$6:$B$20,0)),"")</f>
        <v>Mid-Market</v>
      </c>
      <c r="E94" s="28" t="n">
        <v>46078</v>
      </c>
      <c r="F94" s="41" t="str">
        <f aca="false">TEXT(E94,"yyyy-mm")</f>
        <v>2026-02</v>
      </c>
      <c r="G94" s="41" t="str">
        <f aca="false">IF(MONTH(E94)&lt;=3,"Q1","Q2")</f>
        <v>Q1</v>
      </c>
      <c r="H94" s="27" t="s">
        <v>40</v>
      </c>
      <c r="I94" s="27" t="s">
        <v>235</v>
      </c>
      <c r="J94" s="27" t="s">
        <v>152</v>
      </c>
      <c r="K94" s="29" t="n">
        <v>142000</v>
      </c>
      <c r="L94" s="42" t="n">
        <f aca="false">IFERROR(INDEX('Sales Roster &amp; Quotas'!$G$6:$G$20,MATCH($B94,'Sales Roster &amp; Quotas'!$B$6:$B$20,0)),0)</f>
        <v>273000</v>
      </c>
      <c r="M94" s="43" t="n">
        <f aca="false">SUMIFS($K$5:$K$274,$B$5:$B$274,$B94,$G$5:$G$274,$G94,$H$5:$H$274,"New Business")</f>
        <v>271000</v>
      </c>
      <c r="N94" s="44" t="n">
        <f aca="false">IFERROR(M94/L94,0)</f>
        <v>0.992673992673993</v>
      </c>
      <c r="O94" s="43" t="n">
        <f aca="false">MIN(M94,L94)</f>
        <v>271000</v>
      </c>
      <c r="P94" s="43" t="n">
        <f aca="false">MAX(MIN(M94,L94*1.25)-L94,0)</f>
        <v>0</v>
      </c>
      <c r="Q94" s="43" t="n">
        <f aca="false">MAX(M94-L94*1.25,0)</f>
        <v>0</v>
      </c>
      <c r="R94" s="42" t="n">
        <f aca="false">O94*'Commission Plan Rules'!$F$6+P94*'Commission Plan Rules'!$F$7+Q94*'Commission Plan Rules'!$F$8</f>
        <v>21680</v>
      </c>
      <c r="S94" s="45" t="n">
        <f aca="false">IF(H94="New Business",IFERROR((K94/M94)*R94,0),IF(H94="Upsell",K94*'Commission Plan Rules'!$F$9,IF(H94="Renewal",K94*'Commission Plan Rules'!$F$10,0)))</f>
        <v>11360</v>
      </c>
    </row>
    <row r="95" customFormat="false" ht="15" hidden="false" customHeight="true" outlineLevel="0" collapsed="false">
      <c r="A95" s="24" t="s">
        <v>305</v>
      </c>
      <c r="B95" s="24" t="s">
        <v>82</v>
      </c>
      <c r="C95" s="34" t="str">
        <f aca="false">IFERROR(INDEX('Sales Roster &amp; Quotas'!$C$6:$C$20,MATCH($B95,'Sales Roster &amp; Quotas'!$B$6:$B$20,0)),"")</f>
        <v>Sofia Rossi</v>
      </c>
      <c r="D95" s="34" t="str">
        <f aca="false">IFERROR(INDEX('Sales Roster &amp; Quotas'!$D$6:$D$20,MATCH($B95,'Sales Roster &amp; Quotas'!$B$6:$B$20,0)),"")</f>
        <v>SMB</v>
      </c>
      <c r="E95" s="25" t="n">
        <v>46079</v>
      </c>
      <c r="F95" s="35" t="str">
        <f aca="false">TEXT(E95,"yyyy-mm")</f>
        <v>2026-02</v>
      </c>
      <c r="G95" s="35" t="str">
        <f aca="false">IF(MONTH(E95)&lt;=3,"Q1","Q2")</f>
        <v>Q1</v>
      </c>
      <c r="H95" s="24" t="s">
        <v>40</v>
      </c>
      <c r="I95" s="24" t="s">
        <v>306</v>
      </c>
      <c r="J95" s="24" t="s">
        <v>137</v>
      </c>
      <c r="K95" s="26" t="n">
        <v>9000</v>
      </c>
      <c r="L95" s="36" t="n">
        <f aca="false">IFERROR(INDEX('Sales Roster &amp; Quotas'!$G$6:$G$20,MATCH($B95,'Sales Roster &amp; Quotas'!$B$6:$B$20,0)),0)</f>
        <v>152000</v>
      </c>
      <c r="M95" s="37" t="n">
        <f aca="false">SUMIFS($K$5:$K$274,$B$5:$B$274,$B95,$G$5:$G$274,$G95,$H$5:$H$274,"New Business")</f>
        <v>153500</v>
      </c>
      <c r="N95" s="38" t="n">
        <f aca="false">IFERROR(M95/L95,0)</f>
        <v>1.00986842105263</v>
      </c>
      <c r="O95" s="37" t="n">
        <f aca="false">MIN(M95,L95)</f>
        <v>152000</v>
      </c>
      <c r="P95" s="37" t="n">
        <f aca="false">MAX(MIN(M95,L95*1.25)-L95,0)</f>
        <v>1500</v>
      </c>
      <c r="Q95" s="37" t="n">
        <f aca="false">MAX(M95-L95*1.25,0)</f>
        <v>0</v>
      </c>
      <c r="R95" s="36" t="n">
        <f aca="false">O95*'Commission Plan Rules'!$F$6+P95*'Commission Plan Rules'!$F$7+Q95*'Commission Plan Rules'!$F$8</f>
        <v>12310</v>
      </c>
      <c r="S95" s="39" t="n">
        <f aca="false">IF(H95="New Business",IFERROR((K95/M95)*R95,0),IF(H95="Upsell",K95*'Commission Plan Rules'!$F$9,IF(H95="Renewal",K95*'Commission Plan Rules'!$F$10,0)))</f>
        <v>721.758957654723</v>
      </c>
    </row>
    <row r="96" customFormat="false" ht="15" hidden="false" customHeight="true" outlineLevel="0" collapsed="false">
      <c r="A96" s="27" t="s">
        <v>307</v>
      </c>
      <c r="B96" s="27" t="s">
        <v>95</v>
      </c>
      <c r="C96" s="40" t="str">
        <f aca="false">IFERROR(INDEX('Sales Roster &amp; Quotas'!$C$6:$C$20,MATCH($B96,'Sales Roster &amp; Quotas'!$B$6:$B$20,0)),"")</f>
        <v>Aisha Kim</v>
      </c>
      <c r="D96" s="40" t="str">
        <f aca="false">IFERROR(INDEX('Sales Roster &amp; Quotas'!$D$6:$D$20,MATCH($B96,'Sales Roster &amp; Quotas'!$B$6:$B$20,0)),"")</f>
        <v>Mid-Market</v>
      </c>
      <c r="E96" s="28" t="n">
        <v>46080</v>
      </c>
      <c r="F96" s="41" t="str">
        <f aca="false">TEXT(E96,"yyyy-mm")</f>
        <v>2026-02</v>
      </c>
      <c r="G96" s="41" t="str">
        <f aca="false">IF(MONTH(E96)&lt;=3,"Q1","Q2")</f>
        <v>Q1</v>
      </c>
      <c r="H96" s="27" t="s">
        <v>48</v>
      </c>
      <c r="I96" s="27" t="s">
        <v>291</v>
      </c>
      <c r="J96" s="27" t="s">
        <v>142</v>
      </c>
      <c r="K96" s="29" t="n">
        <v>37000</v>
      </c>
      <c r="L96" s="42" t="n">
        <f aca="false">IFERROR(INDEX('Sales Roster &amp; Quotas'!$G$6:$G$20,MATCH($B96,'Sales Roster &amp; Quotas'!$B$6:$B$20,0)),0)</f>
        <v>287000</v>
      </c>
      <c r="M96" s="43" t="n">
        <f aca="false">SUMIFS($K$5:$K$274,$B$5:$B$274,$B96,$G$5:$G$274,$G96,$H$5:$H$274,"New Business")</f>
        <v>266000</v>
      </c>
      <c r="N96" s="44" t="n">
        <f aca="false">IFERROR(M96/L96,0)</f>
        <v>0.926829268292683</v>
      </c>
      <c r="O96" s="43" t="n">
        <f aca="false">MIN(M96,L96)</f>
        <v>266000</v>
      </c>
      <c r="P96" s="43" t="n">
        <f aca="false">MAX(MIN(M96,L96*1.25)-L96,0)</f>
        <v>0</v>
      </c>
      <c r="Q96" s="43" t="n">
        <f aca="false">MAX(M96-L96*1.25,0)</f>
        <v>0</v>
      </c>
      <c r="R96" s="42" t="n">
        <f aca="false">O96*'Commission Plan Rules'!$F$6+P96*'Commission Plan Rules'!$F$7+Q96*'Commission Plan Rules'!$F$8</f>
        <v>21280</v>
      </c>
      <c r="S96" s="45" t="n">
        <f aca="false">IF(H96="New Business",IFERROR((K96/M96)*R96,0),IF(H96="Upsell",K96*'Commission Plan Rules'!$F$9,IF(H96="Renewal",K96*'Commission Plan Rules'!$F$10,0)))</f>
        <v>1110</v>
      </c>
    </row>
    <row r="97" customFormat="false" ht="15" hidden="false" customHeight="true" outlineLevel="0" collapsed="false">
      <c r="A97" s="24" t="s">
        <v>308</v>
      </c>
      <c r="B97" s="24" t="s">
        <v>97</v>
      </c>
      <c r="C97" s="34" t="str">
        <f aca="false">IFERROR(INDEX('Sales Roster &amp; Quotas'!$C$6:$C$20,MATCH($B97,'Sales Roster &amp; Quotas'!$B$6:$B$20,0)),"")</f>
        <v>Ryan Sullivan</v>
      </c>
      <c r="D97" s="34" t="str">
        <f aca="false">IFERROR(INDEX('Sales Roster &amp; Quotas'!$D$6:$D$20,MATCH($B97,'Sales Roster &amp; Quotas'!$B$6:$B$20,0)),"")</f>
        <v>Mid-Market</v>
      </c>
      <c r="E97" s="25" t="n">
        <v>46080</v>
      </c>
      <c r="F97" s="35" t="str">
        <f aca="false">TEXT(E97,"yyyy-mm")</f>
        <v>2026-02</v>
      </c>
      <c r="G97" s="35" t="str">
        <f aca="false">IF(MONTH(E97)&lt;=3,"Q1","Q2")</f>
        <v>Q1</v>
      </c>
      <c r="H97" s="24" t="s">
        <v>48</v>
      </c>
      <c r="I97" s="24" t="s">
        <v>309</v>
      </c>
      <c r="J97" s="24" t="s">
        <v>137</v>
      </c>
      <c r="K97" s="26" t="n">
        <v>22000</v>
      </c>
      <c r="L97" s="36" t="n">
        <f aca="false">IFERROR(INDEX('Sales Roster &amp; Quotas'!$G$6:$G$20,MATCH($B97,'Sales Roster &amp; Quotas'!$B$6:$B$20,0)),0)</f>
        <v>273000</v>
      </c>
      <c r="M97" s="37" t="n">
        <f aca="false">SUMIFS($K$5:$K$274,$B$5:$B$274,$B97,$G$5:$G$274,$G97,$H$5:$H$274,"New Business")</f>
        <v>271000</v>
      </c>
      <c r="N97" s="38" t="n">
        <f aca="false">IFERROR(M97/L97,0)</f>
        <v>0.992673992673993</v>
      </c>
      <c r="O97" s="37" t="n">
        <f aca="false">MIN(M97,L97)</f>
        <v>271000</v>
      </c>
      <c r="P97" s="37" t="n">
        <f aca="false">MAX(MIN(M97,L97*1.25)-L97,0)</f>
        <v>0</v>
      </c>
      <c r="Q97" s="37" t="n">
        <f aca="false">MAX(M97-L97*1.25,0)</f>
        <v>0</v>
      </c>
      <c r="R97" s="36" t="n">
        <f aca="false">O97*'Commission Plan Rules'!$F$6+P97*'Commission Plan Rules'!$F$7+Q97*'Commission Plan Rules'!$F$8</f>
        <v>21680</v>
      </c>
      <c r="S97" s="39" t="n">
        <f aca="false">IF(H97="New Business",IFERROR((K97/M97)*R97,0),IF(H97="Upsell",K97*'Commission Plan Rules'!$F$9,IF(H97="Renewal",K97*'Commission Plan Rules'!$F$10,0)))</f>
        <v>660</v>
      </c>
    </row>
    <row r="98" customFormat="false" ht="15" hidden="false" customHeight="true" outlineLevel="0" collapsed="false">
      <c r="A98" s="27" t="s">
        <v>310</v>
      </c>
      <c r="B98" s="27" t="s">
        <v>97</v>
      </c>
      <c r="C98" s="40" t="str">
        <f aca="false">IFERROR(INDEX('Sales Roster &amp; Quotas'!$C$6:$C$20,MATCH($B98,'Sales Roster &amp; Quotas'!$B$6:$B$20,0)),"")</f>
        <v>Ryan Sullivan</v>
      </c>
      <c r="D98" s="40" t="str">
        <f aca="false">IFERROR(INDEX('Sales Roster &amp; Quotas'!$D$6:$D$20,MATCH($B98,'Sales Roster &amp; Quotas'!$B$6:$B$20,0)),"")</f>
        <v>Mid-Market</v>
      </c>
      <c r="E98" s="28" t="n">
        <v>46081</v>
      </c>
      <c r="F98" s="41" t="str">
        <f aca="false">TEXT(E98,"yyyy-mm")</f>
        <v>2026-02</v>
      </c>
      <c r="G98" s="41" t="str">
        <f aca="false">IF(MONTH(E98)&lt;=3,"Q1","Q2")</f>
        <v>Q1</v>
      </c>
      <c r="H98" s="27" t="s">
        <v>48</v>
      </c>
      <c r="I98" s="27" t="s">
        <v>311</v>
      </c>
      <c r="J98" s="27" t="s">
        <v>157</v>
      </c>
      <c r="K98" s="29" t="n">
        <v>114500</v>
      </c>
      <c r="L98" s="42" t="n">
        <f aca="false">IFERROR(INDEX('Sales Roster &amp; Quotas'!$G$6:$G$20,MATCH($B98,'Sales Roster &amp; Quotas'!$B$6:$B$20,0)),0)</f>
        <v>273000</v>
      </c>
      <c r="M98" s="43" t="n">
        <f aca="false">SUMIFS($K$5:$K$274,$B$5:$B$274,$B98,$G$5:$G$274,$G98,$H$5:$H$274,"New Business")</f>
        <v>271000</v>
      </c>
      <c r="N98" s="44" t="n">
        <f aca="false">IFERROR(M98/L98,0)</f>
        <v>0.992673992673993</v>
      </c>
      <c r="O98" s="43" t="n">
        <f aca="false">MIN(M98,L98)</f>
        <v>271000</v>
      </c>
      <c r="P98" s="43" t="n">
        <f aca="false">MAX(MIN(M98,L98*1.25)-L98,0)</f>
        <v>0</v>
      </c>
      <c r="Q98" s="43" t="n">
        <f aca="false">MAX(M98-L98*1.25,0)</f>
        <v>0</v>
      </c>
      <c r="R98" s="42" t="n">
        <f aca="false">O98*'Commission Plan Rules'!$F$6+P98*'Commission Plan Rules'!$F$7+Q98*'Commission Plan Rules'!$F$8</f>
        <v>21680</v>
      </c>
      <c r="S98" s="45" t="n">
        <f aca="false">IF(H98="New Business",IFERROR((K98/M98)*R98,0),IF(H98="Upsell",K98*'Commission Plan Rules'!$F$9,IF(H98="Renewal",K98*'Commission Plan Rules'!$F$10,0)))</f>
        <v>3435</v>
      </c>
    </row>
    <row r="99" customFormat="false" ht="15" hidden="false" customHeight="true" outlineLevel="0" collapsed="false">
      <c r="A99" s="24" t="s">
        <v>312</v>
      </c>
      <c r="B99" s="24" t="s">
        <v>104</v>
      </c>
      <c r="C99" s="34" t="str">
        <f aca="false">IFERROR(INDEX('Sales Roster &amp; Quotas'!$C$6:$C$20,MATCH($B99,'Sales Roster &amp; Quotas'!$B$6:$B$20,0)),"")</f>
        <v>Omar Fischer</v>
      </c>
      <c r="D99" s="34" t="str">
        <f aca="false">IFERROR(INDEX('Sales Roster &amp; Quotas'!$D$6:$D$20,MATCH($B99,'Sales Roster &amp; Quotas'!$B$6:$B$20,0)),"")</f>
        <v>Mid-Market</v>
      </c>
      <c r="E99" s="25" t="n">
        <v>46083</v>
      </c>
      <c r="F99" s="35" t="str">
        <f aca="false">TEXT(E99,"yyyy-mm")</f>
        <v>2026-03</v>
      </c>
      <c r="G99" s="35" t="str">
        <f aca="false">IF(MONTH(E99)&lt;=3,"Q1","Q2")</f>
        <v>Q1</v>
      </c>
      <c r="H99" s="24" t="s">
        <v>40</v>
      </c>
      <c r="I99" s="24" t="s">
        <v>249</v>
      </c>
      <c r="J99" s="24" t="s">
        <v>137</v>
      </c>
      <c r="K99" s="26" t="n">
        <v>223500</v>
      </c>
      <c r="L99" s="36" t="n">
        <f aca="false">IFERROR(INDEX('Sales Roster &amp; Quotas'!$G$6:$G$20,MATCH($B99,'Sales Roster &amp; Quotas'!$B$6:$B$20,0)),0)</f>
        <v>324000</v>
      </c>
      <c r="M99" s="37" t="n">
        <f aca="false">SUMIFS($K$5:$K$274,$B$5:$B$274,$B99,$G$5:$G$274,$G99,$H$5:$H$274,"New Business")</f>
        <v>457000</v>
      </c>
      <c r="N99" s="38" t="n">
        <f aca="false">IFERROR(M99/L99,0)</f>
        <v>1.41049382716049</v>
      </c>
      <c r="O99" s="37" t="n">
        <f aca="false">MIN(M99,L99)</f>
        <v>324000</v>
      </c>
      <c r="P99" s="37" t="n">
        <f aca="false">MAX(MIN(M99,L99*1.25)-L99,0)</f>
        <v>81000</v>
      </c>
      <c r="Q99" s="37" t="n">
        <f aca="false">MAX(M99-L99*1.25,0)</f>
        <v>52000</v>
      </c>
      <c r="R99" s="36" t="n">
        <f aca="false">O99*'Commission Plan Rules'!$F$6+P99*'Commission Plan Rules'!$F$7+Q99*'Commission Plan Rules'!$F$8</f>
        <v>40260</v>
      </c>
      <c r="S99" s="39" t="n">
        <f aca="false">IF(H99="New Business",IFERROR((K99/M99)*R99,0),IF(H99="Upsell",K99*'Commission Plan Rules'!$F$9,IF(H99="Renewal",K99*'Commission Plan Rules'!$F$10,0)))</f>
        <v>19689.5185995624</v>
      </c>
    </row>
    <row r="100" customFormat="false" ht="15" hidden="false" customHeight="true" outlineLevel="0" collapsed="false">
      <c r="A100" s="27" t="s">
        <v>313</v>
      </c>
      <c r="B100" s="27" t="s">
        <v>92</v>
      </c>
      <c r="C100" s="40" t="str">
        <f aca="false">IFERROR(INDEX('Sales Roster &amp; Quotas'!$C$6:$C$20,MATCH($B100,'Sales Roster &amp; Quotas'!$B$6:$B$20,0)),"")</f>
        <v>Tyler Alvarez</v>
      </c>
      <c r="D100" s="40" t="str">
        <f aca="false">IFERROR(INDEX('Sales Roster &amp; Quotas'!$D$6:$D$20,MATCH($B100,'Sales Roster &amp; Quotas'!$B$6:$B$20,0)),"")</f>
        <v>Mid-Market</v>
      </c>
      <c r="E100" s="28" t="n">
        <v>46083</v>
      </c>
      <c r="F100" s="41" t="str">
        <f aca="false">TEXT(E100,"yyyy-mm")</f>
        <v>2026-03</v>
      </c>
      <c r="G100" s="41" t="str">
        <f aca="false">IF(MONTH(E100)&lt;=3,"Q1","Q2")</f>
        <v>Q1</v>
      </c>
      <c r="H100" s="27" t="s">
        <v>45</v>
      </c>
      <c r="I100" s="27" t="s">
        <v>314</v>
      </c>
      <c r="J100" s="27" t="s">
        <v>137</v>
      </c>
      <c r="K100" s="29" t="n">
        <v>12000</v>
      </c>
      <c r="L100" s="42" t="n">
        <f aca="false">IFERROR(INDEX('Sales Roster &amp; Quotas'!$G$6:$G$20,MATCH($B100,'Sales Roster &amp; Quotas'!$B$6:$B$20,0)),0)</f>
        <v>275000</v>
      </c>
      <c r="M100" s="43" t="n">
        <f aca="false">SUMIFS($K$5:$K$274,$B$5:$B$274,$B100,$G$5:$G$274,$G100,$H$5:$H$274,"New Business")</f>
        <v>260500</v>
      </c>
      <c r="N100" s="44" t="n">
        <f aca="false">IFERROR(M100/L100,0)</f>
        <v>0.947272727272727</v>
      </c>
      <c r="O100" s="43" t="n">
        <f aca="false">MIN(M100,L100)</f>
        <v>260500</v>
      </c>
      <c r="P100" s="43" t="n">
        <f aca="false">MAX(MIN(M100,L100*1.25)-L100,0)</f>
        <v>0</v>
      </c>
      <c r="Q100" s="43" t="n">
        <f aca="false">MAX(M100-L100*1.25,0)</f>
        <v>0</v>
      </c>
      <c r="R100" s="42" t="n">
        <f aca="false">O100*'Commission Plan Rules'!$F$6+P100*'Commission Plan Rules'!$F$7+Q100*'Commission Plan Rules'!$F$8</f>
        <v>20840</v>
      </c>
      <c r="S100" s="45" t="n">
        <f aca="false">IF(H100="New Business",IFERROR((K100/M100)*R100,0),IF(H100="Upsell",K100*'Commission Plan Rules'!$F$9,IF(H100="Renewal",K100*'Commission Plan Rules'!$F$10,0)))</f>
        <v>720</v>
      </c>
    </row>
    <row r="101" customFormat="false" ht="15" hidden="false" customHeight="true" outlineLevel="0" collapsed="false">
      <c r="A101" s="24" t="s">
        <v>315</v>
      </c>
      <c r="B101" s="24" t="s">
        <v>72</v>
      </c>
      <c r="C101" s="34" t="str">
        <f aca="false">IFERROR(INDEX('Sales Roster &amp; Quotas'!$C$6:$C$20,MATCH($B101,'Sales Roster &amp; Quotas'!$B$6:$B$20,0)),"")</f>
        <v>James Okafor</v>
      </c>
      <c r="D101" s="34" t="str">
        <f aca="false">IFERROR(INDEX('Sales Roster &amp; Quotas'!$D$6:$D$20,MATCH($B101,'Sales Roster &amp; Quotas'!$B$6:$B$20,0)),"")</f>
        <v>SMB</v>
      </c>
      <c r="E101" s="25" t="n">
        <v>46083</v>
      </c>
      <c r="F101" s="35" t="str">
        <f aca="false">TEXT(E101,"yyyy-mm")</f>
        <v>2026-03</v>
      </c>
      <c r="G101" s="35" t="str">
        <f aca="false">IF(MONTH(E101)&lt;=3,"Q1","Q2")</f>
        <v>Q1</v>
      </c>
      <c r="H101" s="24" t="s">
        <v>40</v>
      </c>
      <c r="I101" s="24" t="s">
        <v>316</v>
      </c>
      <c r="J101" s="24" t="s">
        <v>137</v>
      </c>
      <c r="K101" s="26" t="n">
        <v>36500</v>
      </c>
      <c r="L101" s="36" t="n">
        <f aca="false">IFERROR(INDEX('Sales Roster &amp; Quotas'!$G$6:$G$20,MATCH($B101,'Sales Roster &amp; Quotas'!$B$6:$B$20,0)),0)</f>
        <v>135000</v>
      </c>
      <c r="M101" s="37" t="n">
        <f aca="false">SUMIFS($K$5:$K$274,$B$5:$B$274,$B101,$G$5:$G$274,$G101,$H$5:$H$274,"New Business")</f>
        <v>170500</v>
      </c>
      <c r="N101" s="38" t="n">
        <f aca="false">IFERROR(M101/L101,0)</f>
        <v>1.26296296296296</v>
      </c>
      <c r="O101" s="37" t="n">
        <f aca="false">MIN(M101,L101)</f>
        <v>135000</v>
      </c>
      <c r="P101" s="37" t="n">
        <f aca="false">MAX(MIN(M101,L101*1.25)-L101,0)</f>
        <v>33750</v>
      </c>
      <c r="Q101" s="37" t="n">
        <f aca="false">MAX(M101-L101*1.25,0)</f>
        <v>1750</v>
      </c>
      <c r="R101" s="36" t="n">
        <f aca="false">O101*'Commission Plan Rules'!$F$6+P101*'Commission Plan Rules'!$F$7+Q101*'Commission Plan Rules'!$F$8</f>
        <v>14385</v>
      </c>
      <c r="S101" s="39" t="n">
        <f aca="false">IF(H101="New Business",IFERROR((K101/M101)*R101,0),IF(H101="Upsell",K101*'Commission Plan Rules'!$F$9,IF(H101="Renewal",K101*'Commission Plan Rules'!$F$10,0)))</f>
        <v>3079.48680351906</v>
      </c>
    </row>
    <row r="102" customFormat="false" ht="15" hidden="false" customHeight="true" outlineLevel="0" collapsed="false">
      <c r="A102" s="27" t="s">
        <v>317</v>
      </c>
      <c r="B102" s="27" t="s">
        <v>82</v>
      </c>
      <c r="C102" s="40" t="str">
        <f aca="false">IFERROR(INDEX('Sales Roster &amp; Quotas'!$C$6:$C$20,MATCH($B102,'Sales Roster &amp; Quotas'!$B$6:$B$20,0)),"")</f>
        <v>Sofia Rossi</v>
      </c>
      <c r="D102" s="40" t="str">
        <f aca="false">IFERROR(INDEX('Sales Roster &amp; Quotas'!$D$6:$D$20,MATCH($B102,'Sales Roster &amp; Quotas'!$B$6:$B$20,0)),"")</f>
        <v>SMB</v>
      </c>
      <c r="E102" s="28" t="n">
        <v>46083</v>
      </c>
      <c r="F102" s="41" t="str">
        <f aca="false">TEXT(E102,"yyyy-mm")</f>
        <v>2026-03</v>
      </c>
      <c r="G102" s="41" t="str">
        <f aca="false">IF(MONTH(E102)&lt;=3,"Q1","Q2")</f>
        <v>Q1</v>
      </c>
      <c r="H102" s="27" t="s">
        <v>45</v>
      </c>
      <c r="I102" s="27" t="s">
        <v>318</v>
      </c>
      <c r="J102" s="27" t="s">
        <v>137</v>
      </c>
      <c r="K102" s="29" t="n">
        <v>21500</v>
      </c>
      <c r="L102" s="42" t="n">
        <f aca="false">IFERROR(INDEX('Sales Roster &amp; Quotas'!$G$6:$G$20,MATCH($B102,'Sales Roster &amp; Quotas'!$B$6:$B$20,0)),0)</f>
        <v>152000</v>
      </c>
      <c r="M102" s="43" t="n">
        <f aca="false">SUMIFS($K$5:$K$274,$B$5:$B$274,$B102,$G$5:$G$274,$G102,$H$5:$H$274,"New Business")</f>
        <v>153500</v>
      </c>
      <c r="N102" s="44" t="n">
        <f aca="false">IFERROR(M102/L102,0)</f>
        <v>1.00986842105263</v>
      </c>
      <c r="O102" s="43" t="n">
        <f aca="false">MIN(M102,L102)</f>
        <v>152000</v>
      </c>
      <c r="P102" s="43" t="n">
        <f aca="false">MAX(MIN(M102,L102*1.25)-L102,0)</f>
        <v>1500</v>
      </c>
      <c r="Q102" s="43" t="n">
        <f aca="false">MAX(M102-L102*1.25,0)</f>
        <v>0</v>
      </c>
      <c r="R102" s="42" t="n">
        <f aca="false">O102*'Commission Plan Rules'!$F$6+P102*'Commission Plan Rules'!$F$7+Q102*'Commission Plan Rules'!$F$8</f>
        <v>12310</v>
      </c>
      <c r="S102" s="45" t="n">
        <f aca="false">IF(H102="New Business",IFERROR((K102/M102)*R102,0),IF(H102="Upsell",K102*'Commission Plan Rules'!$F$9,IF(H102="Renewal",K102*'Commission Plan Rules'!$F$10,0)))</f>
        <v>1290</v>
      </c>
    </row>
    <row r="103" customFormat="false" ht="15" hidden="false" customHeight="true" outlineLevel="0" collapsed="false">
      <c r="A103" s="24" t="s">
        <v>319</v>
      </c>
      <c r="B103" s="24" t="s">
        <v>79</v>
      </c>
      <c r="C103" s="34" t="str">
        <f aca="false">IFERROR(INDEX('Sales Roster &amp; Quotas'!$C$6:$C$20,MATCH($B103,'Sales Roster &amp; Quotas'!$B$6:$B$20,0)),"")</f>
        <v>David Nguyen</v>
      </c>
      <c r="D103" s="34" t="str">
        <f aca="false">IFERROR(INDEX('Sales Roster &amp; Quotas'!$D$6:$D$20,MATCH($B103,'Sales Roster &amp; Quotas'!$B$6:$B$20,0)),"")</f>
        <v>SMB</v>
      </c>
      <c r="E103" s="25" t="n">
        <v>46084</v>
      </c>
      <c r="F103" s="35" t="str">
        <f aca="false">TEXT(E103,"yyyy-mm")</f>
        <v>2026-03</v>
      </c>
      <c r="G103" s="35" t="str">
        <f aca="false">IF(MONTH(E103)&lt;=3,"Q1","Q2")</f>
        <v>Q1</v>
      </c>
      <c r="H103" s="24" t="s">
        <v>48</v>
      </c>
      <c r="I103" s="24" t="s">
        <v>316</v>
      </c>
      <c r="J103" s="24" t="s">
        <v>142</v>
      </c>
      <c r="K103" s="26" t="n">
        <v>14000</v>
      </c>
      <c r="L103" s="36" t="n">
        <f aca="false">IFERROR(INDEX('Sales Roster &amp; Quotas'!$G$6:$G$20,MATCH($B103,'Sales Roster &amp; Quotas'!$B$6:$B$20,0)),0)</f>
        <v>155000</v>
      </c>
      <c r="M103" s="37" t="n">
        <f aca="false">SUMIFS($K$5:$K$274,$B$5:$B$274,$B103,$G$5:$G$274,$G103,$H$5:$H$274,"New Business")</f>
        <v>196500</v>
      </c>
      <c r="N103" s="38" t="n">
        <f aca="false">IFERROR(M103/L103,0)</f>
        <v>1.26774193548387</v>
      </c>
      <c r="O103" s="37" t="n">
        <f aca="false">MIN(M103,L103)</f>
        <v>155000</v>
      </c>
      <c r="P103" s="37" t="n">
        <f aca="false">MAX(MIN(M103,L103*1.25)-L103,0)</f>
        <v>38750</v>
      </c>
      <c r="Q103" s="37" t="n">
        <f aca="false">MAX(M103-L103*1.25,0)</f>
        <v>2750</v>
      </c>
      <c r="R103" s="36" t="n">
        <f aca="false">O103*'Commission Plan Rules'!$F$6+P103*'Commission Plan Rules'!$F$7+Q103*'Commission Plan Rules'!$F$8</f>
        <v>16605</v>
      </c>
      <c r="S103" s="39" t="n">
        <f aca="false">IF(H103="New Business",IFERROR((K103/M103)*R103,0),IF(H103="Upsell",K103*'Commission Plan Rules'!$F$9,IF(H103="Renewal",K103*'Commission Plan Rules'!$F$10,0)))</f>
        <v>420</v>
      </c>
    </row>
    <row r="104" customFormat="false" ht="15" hidden="false" customHeight="true" outlineLevel="0" collapsed="false">
      <c r="A104" s="27" t="s">
        <v>320</v>
      </c>
      <c r="B104" s="27" t="s">
        <v>79</v>
      </c>
      <c r="C104" s="40" t="str">
        <f aca="false">IFERROR(INDEX('Sales Roster &amp; Quotas'!$C$6:$C$20,MATCH($B104,'Sales Roster &amp; Quotas'!$B$6:$B$20,0)),"")</f>
        <v>David Nguyen</v>
      </c>
      <c r="D104" s="40" t="str">
        <f aca="false">IFERROR(INDEX('Sales Roster &amp; Quotas'!$D$6:$D$20,MATCH($B104,'Sales Roster &amp; Quotas'!$B$6:$B$20,0)),"")</f>
        <v>SMB</v>
      </c>
      <c r="E104" s="28" t="n">
        <v>46085</v>
      </c>
      <c r="F104" s="41" t="str">
        <f aca="false">TEXT(E104,"yyyy-mm")</f>
        <v>2026-03</v>
      </c>
      <c r="G104" s="41" t="str">
        <f aca="false">IF(MONTH(E104)&lt;=3,"Q1","Q2")</f>
        <v>Q1</v>
      </c>
      <c r="H104" s="27" t="s">
        <v>40</v>
      </c>
      <c r="I104" s="27" t="s">
        <v>173</v>
      </c>
      <c r="J104" s="27" t="s">
        <v>137</v>
      </c>
      <c r="K104" s="29" t="n">
        <v>49500</v>
      </c>
      <c r="L104" s="42" t="n">
        <f aca="false">IFERROR(INDEX('Sales Roster &amp; Quotas'!$G$6:$G$20,MATCH($B104,'Sales Roster &amp; Quotas'!$B$6:$B$20,0)),0)</f>
        <v>155000</v>
      </c>
      <c r="M104" s="43" t="n">
        <f aca="false">SUMIFS($K$5:$K$274,$B$5:$B$274,$B104,$G$5:$G$274,$G104,$H$5:$H$274,"New Business")</f>
        <v>196500</v>
      </c>
      <c r="N104" s="44" t="n">
        <f aca="false">IFERROR(M104/L104,0)</f>
        <v>1.26774193548387</v>
      </c>
      <c r="O104" s="43" t="n">
        <f aca="false">MIN(M104,L104)</f>
        <v>155000</v>
      </c>
      <c r="P104" s="43" t="n">
        <f aca="false">MAX(MIN(M104,L104*1.25)-L104,0)</f>
        <v>38750</v>
      </c>
      <c r="Q104" s="43" t="n">
        <f aca="false">MAX(M104-L104*1.25,0)</f>
        <v>2750</v>
      </c>
      <c r="R104" s="42" t="n">
        <f aca="false">O104*'Commission Plan Rules'!$F$6+P104*'Commission Plan Rules'!$F$7+Q104*'Commission Plan Rules'!$F$8</f>
        <v>16605</v>
      </c>
      <c r="S104" s="45" t="n">
        <f aca="false">IF(H104="New Business",IFERROR((K104/M104)*R104,0),IF(H104="Upsell",K104*'Commission Plan Rules'!$F$9,IF(H104="Renewal",K104*'Commission Plan Rules'!$F$10,0)))</f>
        <v>4182.93893129771</v>
      </c>
    </row>
    <row r="105" customFormat="false" ht="15" hidden="false" customHeight="true" outlineLevel="0" collapsed="false">
      <c r="A105" s="24" t="s">
        <v>321</v>
      </c>
      <c r="B105" s="24" t="s">
        <v>82</v>
      </c>
      <c r="C105" s="34" t="str">
        <f aca="false">IFERROR(INDEX('Sales Roster &amp; Quotas'!$C$6:$C$20,MATCH($B105,'Sales Roster &amp; Quotas'!$B$6:$B$20,0)),"")</f>
        <v>Sofia Rossi</v>
      </c>
      <c r="D105" s="34" t="str">
        <f aca="false">IFERROR(INDEX('Sales Roster &amp; Quotas'!$D$6:$D$20,MATCH($B105,'Sales Roster &amp; Quotas'!$B$6:$B$20,0)),"")</f>
        <v>SMB</v>
      </c>
      <c r="E105" s="25" t="n">
        <v>46087</v>
      </c>
      <c r="F105" s="35" t="str">
        <f aca="false">TEXT(E105,"yyyy-mm")</f>
        <v>2026-03</v>
      </c>
      <c r="G105" s="35" t="str">
        <f aca="false">IF(MONTH(E105)&lt;=3,"Q1","Q2")</f>
        <v>Q1</v>
      </c>
      <c r="H105" s="24" t="s">
        <v>40</v>
      </c>
      <c r="I105" s="24" t="s">
        <v>322</v>
      </c>
      <c r="J105" s="24" t="s">
        <v>137</v>
      </c>
      <c r="K105" s="26" t="n">
        <v>97000</v>
      </c>
      <c r="L105" s="36" t="n">
        <f aca="false">IFERROR(INDEX('Sales Roster &amp; Quotas'!$G$6:$G$20,MATCH($B105,'Sales Roster &amp; Quotas'!$B$6:$B$20,0)),0)</f>
        <v>152000</v>
      </c>
      <c r="M105" s="37" t="n">
        <f aca="false">SUMIFS($K$5:$K$274,$B$5:$B$274,$B105,$G$5:$G$274,$G105,$H$5:$H$274,"New Business")</f>
        <v>153500</v>
      </c>
      <c r="N105" s="38" t="n">
        <f aca="false">IFERROR(M105/L105,0)</f>
        <v>1.00986842105263</v>
      </c>
      <c r="O105" s="37" t="n">
        <f aca="false">MIN(M105,L105)</f>
        <v>152000</v>
      </c>
      <c r="P105" s="37" t="n">
        <f aca="false">MAX(MIN(M105,L105*1.25)-L105,0)</f>
        <v>1500</v>
      </c>
      <c r="Q105" s="37" t="n">
        <f aca="false">MAX(M105-L105*1.25,0)</f>
        <v>0</v>
      </c>
      <c r="R105" s="36" t="n">
        <f aca="false">O105*'Commission Plan Rules'!$F$6+P105*'Commission Plan Rules'!$F$7+Q105*'Commission Plan Rules'!$F$8</f>
        <v>12310</v>
      </c>
      <c r="S105" s="39" t="n">
        <f aca="false">IF(H105="New Business",IFERROR((K105/M105)*R105,0),IF(H105="Upsell",K105*'Commission Plan Rules'!$F$9,IF(H105="Renewal",K105*'Commission Plan Rules'!$F$10,0)))</f>
        <v>7778.95765472313</v>
      </c>
    </row>
    <row r="106" customFormat="false" ht="15" hidden="false" customHeight="true" outlineLevel="0" collapsed="false">
      <c r="A106" s="27" t="s">
        <v>323</v>
      </c>
      <c r="B106" s="27" t="s">
        <v>67</v>
      </c>
      <c r="C106" s="40" t="str">
        <f aca="false">IFERROR(INDEX('Sales Roster &amp; Quotas'!$C$6:$C$20,MATCH($B106,'Sales Roster &amp; Quotas'!$B$6:$B$20,0)),"")</f>
        <v>Maria Chen</v>
      </c>
      <c r="D106" s="40" t="str">
        <f aca="false">IFERROR(INDEX('Sales Roster &amp; Quotas'!$D$6:$D$20,MATCH($B106,'Sales Roster &amp; Quotas'!$B$6:$B$20,0)),"")</f>
        <v>SMB</v>
      </c>
      <c r="E106" s="28" t="n">
        <v>46087</v>
      </c>
      <c r="F106" s="41" t="str">
        <f aca="false">TEXT(E106,"yyyy-mm")</f>
        <v>2026-03</v>
      </c>
      <c r="G106" s="41" t="str">
        <f aca="false">IF(MONTH(E106)&lt;=3,"Q1","Q2")</f>
        <v>Q1</v>
      </c>
      <c r="H106" s="27" t="s">
        <v>45</v>
      </c>
      <c r="I106" s="27" t="s">
        <v>324</v>
      </c>
      <c r="J106" s="27" t="s">
        <v>152</v>
      </c>
      <c r="K106" s="29" t="n">
        <v>22500</v>
      </c>
      <c r="L106" s="42" t="n">
        <f aca="false">IFERROR(INDEX('Sales Roster &amp; Quotas'!$G$6:$G$20,MATCH($B106,'Sales Roster &amp; Quotas'!$B$6:$B$20,0)),0)</f>
        <v>160000</v>
      </c>
      <c r="M106" s="43" t="n">
        <f aca="false">SUMIFS($K$5:$K$274,$B$5:$B$274,$B106,$G$5:$G$274,$G106,$H$5:$H$274,"New Business")</f>
        <v>142000</v>
      </c>
      <c r="N106" s="44" t="n">
        <f aca="false">IFERROR(M106/L106,0)</f>
        <v>0.8875</v>
      </c>
      <c r="O106" s="43" t="n">
        <f aca="false">MIN(M106,L106)</f>
        <v>142000</v>
      </c>
      <c r="P106" s="43" t="n">
        <f aca="false">MAX(MIN(M106,L106*1.25)-L106,0)</f>
        <v>0</v>
      </c>
      <c r="Q106" s="43" t="n">
        <f aca="false">MAX(M106-L106*1.25,0)</f>
        <v>0</v>
      </c>
      <c r="R106" s="42" t="n">
        <f aca="false">O106*'Commission Plan Rules'!$F$6+P106*'Commission Plan Rules'!$F$7+Q106*'Commission Plan Rules'!$F$8</f>
        <v>11360</v>
      </c>
      <c r="S106" s="45" t="n">
        <f aca="false">IF(H106="New Business",IFERROR((K106/M106)*R106,0),IF(H106="Upsell",K106*'Commission Plan Rules'!$F$9,IF(H106="Renewal",K106*'Commission Plan Rules'!$F$10,0)))</f>
        <v>1350</v>
      </c>
    </row>
    <row r="107" customFormat="false" ht="15" hidden="false" customHeight="true" outlineLevel="0" collapsed="false">
      <c r="A107" s="24" t="s">
        <v>325</v>
      </c>
      <c r="B107" s="24" t="s">
        <v>95</v>
      </c>
      <c r="C107" s="34" t="str">
        <f aca="false">IFERROR(INDEX('Sales Roster &amp; Quotas'!$C$6:$C$20,MATCH($B107,'Sales Roster &amp; Quotas'!$B$6:$B$20,0)),"")</f>
        <v>Aisha Kim</v>
      </c>
      <c r="D107" s="34" t="str">
        <f aca="false">IFERROR(INDEX('Sales Roster &amp; Quotas'!$D$6:$D$20,MATCH($B107,'Sales Roster &amp; Quotas'!$B$6:$B$20,0)),"")</f>
        <v>Mid-Market</v>
      </c>
      <c r="E107" s="25" t="n">
        <v>46089</v>
      </c>
      <c r="F107" s="35" t="str">
        <f aca="false">TEXT(E107,"yyyy-mm")</f>
        <v>2026-03</v>
      </c>
      <c r="G107" s="35" t="str">
        <f aca="false">IF(MONTH(E107)&lt;=3,"Q1","Q2")</f>
        <v>Q1</v>
      </c>
      <c r="H107" s="24" t="s">
        <v>40</v>
      </c>
      <c r="I107" s="24" t="s">
        <v>326</v>
      </c>
      <c r="J107" s="24" t="s">
        <v>142</v>
      </c>
      <c r="K107" s="26" t="n">
        <v>67000</v>
      </c>
      <c r="L107" s="36" t="n">
        <f aca="false">IFERROR(INDEX('Sales Roster &amp; Quotas'!$G$6:$G$20,MATCH($B107,'Sales Roster &amp; Quotas'!$B$6:$B$20,0)),0)</f>
        <v>287000</v>
      </c>
      <c r="M107" s="37" t="n">
        <f aca="false">SUMIFS($K$5:$K$274,$B$5:$B$274,$B107,$G$5:$G$274,$G107,$H$5:$H$274,"New Business")</f>
        <v>266000</v>
      </c>
      <c r="N107" s="38" t="n">
        <f aca="false">IFERROR(M107/L107,0)</f>
        <v>0.926829268292683</v>
      </c>
      <c r="O107" s="37" t="n">
        <f aca="false">MIN(M107,L107)</f>
        <v>266000</v>
      </c>
      <c r="P107" s="37" t="n">
        <f aca="false">MAX(MIN(M107,L107*1.25)-L107,0)</f>
        <v>0</v>
      </c>
      <c r="Q107" s="37" t="n">
        <f aca="false">MAX(M107-L107*1.25,0)</f>
        <v>0</v>
      </c>
      <c r="R107" s="36" t="n">
        <f aca="false">O107*'Commission Plan Rules'!$F$6+P107*'Commission Plan Rules'!$F$7+Q107*'Commission Plan Rules'!$F$8</f>
        <v>21280</v>
      </c>
      <c r="S107" s="39" t="n">
        <f aca="false">IF(H107="New Business",IFERROR((K107/M107)*R107,0),IF(H107="Upsell",K107*'Commission Plan Rules'!$F$9,IF(H107="Renewal",K107*'Commission Plan Rules'!$F$10,0)))</f>
        <v>5360</v>
      </c>
    </row>
    <row r="108" customFormat="false" ht="15" hidden="false" customHeight="true" outlineLevel="0" collapsed="false">
      <c r="A108" s="27" t="s">
        <v>327</v>
      </c>
      <c r="B108" s="27" t="s">
        <v>104</v>
      </c>
      <c r="C108" s="40" t="str">
        <f aca="false">IFERROR(INDEX('Sales Roster &amp; Quotas'!$C$6:$C$20,MATCH($B108,'Sales Roster &amp; Quotas'!$B$6:$B$20,0)),"")</f>
        <v>Omar Fischer</v>
      </c>
      <c r="D108" s="40" t="str">
        <f aca="false">IFERROR(INDEX('Sales Roster &amp; Quotas'!$D$6:$D$20,MATCH($B108,'Sales Roster &amp; Quotas'!$B$6:$B$20,0)),"")</f>
        <v>Mid-Market</v>
      </c>
      <c r="E108" s="28" t="n">
        <v>46089</v>
      </c>
      <c r="F108" s="41" t="str">
        <f aca="false">TEXT(E108,"yyyy-mm")</f>
        <v>2026-03</v>
      </c>
      <c r="G108" s="41" t="str">
        <f aca="false">IF(MONTH(E108)&lt;=3,"Q1","Q2")</f>
        <v>Q1</v>
      </c>
      <c r="H108" s="27" t="s">
        <v>40</v>
      </c>
      <c r="I108" s="27" t="s">
        <v>328</v>
      </c>
      <c r="J108" s="27" t="s">
        <v>152</v>
      </c>
      <c r="K108" s="29" t="n">
        <v>50500</v>
      </c>
      <c r="L108" s="42" t="n">
        <f aca="false">IFERROR(INDEX('Sales Roster &amp; Quotas'!$G$6:$G$20,MATCH($B108,'Sales Roster &amp; Quotas'!$B$6:$B$20,0)),0)</f>
        <v>324000</v>
      </c>
      <c r="M108" s="43" t="n">
        <f aca="false">SUMIFS($K$5:$K$274,$B$5:$B$274,$B108,$G$5:$G$274,$G108,$H$5:$H$274,"New Business")</f>
        <v>457000</v>
      </c>
      <c r="N108" s="44" t="n">
        <f aca="false">IFERROR(M108/L108,0)</f>
        <v>1.41049382716049</v>
      </c>
      <c r="O108" s="43" t="n">
        <f aca="false">MIN(M108,L108)</f>
        <v>324000</v>
      </c>
      <c r="P108" s="43" t="n">
        <f aca="false">MAX(MIN(M108,L108*1.25)-L108,0)</f>
        <v>81000</v>
      </c>
      <c r="Q108" s="43" t="n">
        <f aca="false">MAX(M108-L108*1.25,0)</f>
        <v>52000</v>
      </c>
      <c r="R108" s="42" t="n">
        <f aca="false">O108*'Commission Plan Rules'!$F$6+P108*'Commission Plan Rules'!$F$7+Q108*'Commission Plan Rules'!$F$8</f>
        <v>40260</v>
      </c>
      <c r="S108" s="45" t="n">
        <f aca="false">IF(H108="New Business",IFERROR((K108/M108)*R108,0),IF(H108="Upsell",K108*'Commission Plan Rules'!$F$9,IF(H108="Renewal",K108*'Commission Plan Rules'!$F$10,0)))</f>
        <v>4448.86214442013</v>
      </c>
    </row>
    <row r="109" customFormat="false" ht="15" hidden="false" customHeight="true" outlineLevel="0" collapsed="false">
      <c r="A109" s="24" t="s">
        <v>329</v>
      </c>
      <c r="B109" s="24" t="s">
        <v>111</v>
      </c>
      <c r="C109" s="34" t="str">
        <f aca="false">IFERROR(INDEX('Sales Roster &amp; Quotas'!$C$6:$C$20,MATCH($B109,'Sales Roster &amp; Quotas'!$B$6:$B$20,0)),"")</f>
        <v>Kevin Novak</v>
      </c>
      <c r="D109" s="34" t="str">
        <f aca="false">IFERROR(INDEX('Sales Roster &amp; Quotas'!$D$6:$D$20,MATCH($B109,'Sales Roster &amp; Quotas'!$B$6:$B$20,0)),"")</f>
        <v>Enterprise</v>
      </c>
      <c r="E109" s="25" t="n">
        <v>46090</v>
      </c>
      <c r="F109" s="35" t="str">
        <f aca="false">TEXT(E109,"yyyy-mm")</f>
        <v>2026-03</v>
      </c>
      <c r="G109" s="35" t="str">
        <f aca="false">IF(MONTH(E109)&lt;=3,"Q1","Q2")</f>
        <v>Q1</v>
      </c>
      <c r="H109" s="24" t="s">
        <v>48</v>
      </c>
      <c r="I109" s="24" t="s">
        <v>330</v>
      </c>
      <c r="J109" s="24" t="s">
        <v>142</v>
      </c>
      <c r="K109" s="26" t="n">
        <v>129500</v>
      </c>
      <c r="L109" s="36" t="n">
        <f aca="false">IFERROR(INDEX('Sales Roster &amp; Quotas'!$G$6:$G$20,MATCH($B109,'Sales Roster &amp; Quotas'!$B$6:$B$20,0)),0)</f>
        <v>641000</v>
      </c>
      <c r="M109" s="37" t="n">
        <f aca="false">SUMIFS($K$5:$K$274,$B$5:$B$274,$B109,$G$5:$G$274,$G109,$H$5:$H$274,"New Business")</f>
        <v>504500</v>
      </c>
      <c r="N109" s="38" t="n">
        <f aca="false">IFERROR(M109/L109,0)</f>
        <v>0.787051482059282</v>
      </c>
      <c r="O109" s="37" t="n">
        <f aca="false">MIN(M109,L109)</f>
        <v>504500</v>
      </c>
      <c r="P109" s="37" t="n">
        <f aca="false">MAX(MIN(M109,L109*1.25)-L109,0)</f>
        <v>0</v>
      </c>
      <c r="Q109" s="37" t="n">
        <f aca="false">MAX(M109-L109*1.25,0)</f>
        <v>0</v>
      </c>
      <c r="R109" s="36" t="n">
        <f aca="false">O109*'Commission Plan Rules'!$F$6+P109*'Commission Plan Rules'!$F$7+Q109*'Commission Plan Rules'!$F$8</f>
        <v>40360</v>
      </c>
      <c r="S109" s="39" t="n">
        <f aca="false">IF(H109="New Business",IFERROR((K109/M109)*R109,0),IF(H109="Upsell",K109*'Commission Plan Rules'!$F$9,IF(H109="Renewal",K109*'Commission Plan Rules'!$F$10,0)))</f>
        <v>3885</v>
      </c>
    </row>
    <row r="110" customFormat="false" ht="15" hidden="false" customHeight="true" outlineLevel="0" collapsed="false">
      <c r="A110" s="27" t="s">
        <v>331</v>
      </c>
      <c r="B110" s="27" t="s">
        <v>85</v>
      </c>
      <c r="C110" s="40" t="str">
        <f aca="false">IFERROR(INDEX('Sales Roster &amp; Quotas'!$C$6:$C$20,MATCH($B110,'Sales Roster &amp; Quotas'!$B$6:$B$20,0)),"")</f>
        <v>Marcus Bennett</v>
      </c>
      <c r="D110" s="40" t="str">
        <f aca="false">IFERROR(INDEX('Sales Roster &amp; Quotas'!$D$6:$D$20,MATCH($B110,'Sales Roster &amp; Quotas'!$B$6:$B$20,0)),"")</f>
        <v>SMB</v>
      </c>
      <c r="E110" s="28" t="n">
        <v>46090</v>
      </c>
      <c r="F110" s="41" t="str">
        <f aca="false">TEXT(E110,"yyyy-mm")</f>
        <v>2026-03</v>
      </c>
      <c r="G110" s="41" t="str">
        <f aca="false">IF(MONTH(E110)&lt;=3,"Q1","Q2")</f>
        <v>Q1</v>
      </c>
      <c r="H110" s="27" t="s">
        <v>48</v>
      </c>
      <c r="I110" s="27" t="s">
        <v>167</v>
      </c>
      <c r="J110" s="27" t="s">
        <v>137</v>
      </c>
      <c r="K110" s="29" t="n">
        <v>2000</v>
      </c>
      <c r="L110" s="42" t="n">
        <f aca="false">IFERROR(INDEX('Sales Roster &amp; Quotas'!$G$6:$G$20,MATCH($B110,'Sales Roster &amp; Quotas'!$B$6:$B$20,0)),0)</f>
        <v>159000</v>
      </c>
      <c r="M110" s="43" t="n">
        <f aca="false">SUMIFS($K$5:$K$274,$B$5:$B$274,$B110,$G$5:$G$274,$G110,$H$5:$H$274,"New Business")</f>
        <v>174500</v>
      </c>
      <c r="N110" s="44" t="n">
        <f aca="false">IFERROR(M110/L110,0)</f>
        <v>1.09748427672956</v>
      </c>
      <c r="O110" s="43" t="n">
        <f aca="false">MIN(M110,L110)</f>
        <v>159000</v>
      </c>
      <c r="P110" s="43" t="n">
        <f aca="false">MAX(MIN(M110,L110*1.25)-L110,0)</f>
        <v>15500</v>
      </c>
      <c r="Q110" s="43" t="n">
        <f aca="false">MAX(M110-L110*1.25,0)</f>
        <v>0</v>
      </c>
      <c r="R110" s="42" t="n">
        <f aca="false">O110*'Commission Plan Rules'!$F$6+P110*'Commission Plan Rules'!$F$7+Q110*'Commission Plan Rules'!$F$8</f>
        <v>14270</v>
      </c>
      <c r="S110" s="45" t="n">
        <f aca="false">IF(H110="New Business",IFERROR((K110/M110)*R110,0),IF(H110="Upsell",K110*'Commission Plan Rules'!$F$9,IF(H110="Renewal",K110*'Commission Plan Rules'!$F$10,0)))</f>
        <v>60</v>
      </c>
    </row>
    <row r="111" customFormat="false" ht="15" hidden="false" customHeight="true" outlineLevel="0" collapsed="false">
      <c r="A111" s="24" t="s">
        <v>332</v>
      </c>
      <c r="B111" s="24" t="s">
        <v>101</v>
      </c>
      <c r="C111" s="34" t="str">
        <f aca="false">IFERROR(INDEX('Sales Roster &amp; Quotas'!$C$6:$C$20,MATCH($B111,'Sales Roster &amp; Quotas'!$B$6:$B$20,0)),"")</f>
        <v>Natalie Reyes</v>
      </c>
      <c r="D111" s="34" t="str">
        <f aca="false">IFERROR(INDEX('Sales Roster &amp; Quotas'!$D$6:$D$20,MATCH($B111,'Sales Roster &amp; Quotas'!$B$6:$B$20,0)),"")</f>
        <v>Mid-Market</v>
      </c>
      <c r="E111" s="25" t="n">
        <v>46090</v>
      </c>
      <c r="F111" s="35" t="str">
        <f aca="false">TEXT(E111,"yyyy-mm")</f>
        <v>2026-03</v>
      </c>
      <c r="G111" s="35" t="str">
        <f aca="false">IF(MONTH(E111)&lt;=3,"Q1","Q2")</f>
        <v>Q1</v>
      </c>
      <c r="H111" s="24" t="s">
        <v>48</v>
      </c>
      <c r="I111" s="24" t="s">
        <v>215</v>
      </c>
      <c r="J111" s="24" t="s">
        <v>137</v>
      </c>
      <c r="K111" s="26" t="n">
        <v>15000</v>
      </c>
      <c r="L111" s="36" t="n">
        <f aca="false">IFERROR(INDEX('Sales Roster &amp; Quotas'!$G$6:$G$20,MATCH($B111,'Sales Roster &amp; Quotas'!$B$6:$B$20,0)),0)</f>
        <v>295000</v>
      </c>
      <c r="M111" s="37" t="n">
        <f aca="false">SUMIFS($K$5:$K$274,$B$5:$B$274,$B111,$G$5:$G$274,$G111,$H$5:$H$274,"New Business")</f>
        <v>267000</v>
      </c>
      <c r="N111" s="38" t="n">
        <f aca="false">IFERROR(M111/L111,0)</f>
        <v>0.905084745762712</v>
      </c>
      <c r="O111" s="37" t="n">
        <f aca="false">MIN(M111,L111)</f>
        <v>267000</v>
      </c>
      <c r="P111" s="37" t="n">
        <f aca="false">MAX(MIN(M111,L111*1.25)-L111,0)</f>
        <v>0</v>
      </c>
      <c r="Q111" s="37" t="n">
        <f aca="false">MAX(M111-L111*1.25,0)</f>
        <v>0</v>
      </c>
      <c r="R111" s="36" t="n">
        <f aca="false">O111*'Commission Plan Rules'!$F$6+P111*'Commission Plan Rules'!$F$7+Q111*'Commission Plan Rules'!$F$8</f>
        <v>21360</v>
      </c>
      <c r="S111" s="39" t="n">
        <f aca="false">IF(H111="New Business",IFERROR((K111/M111)*R111,0),IF(H111="Upsell",K111*'Commission Plan Rules'!$F$9,IF(H111="Renewal",K111*'Commission Plan Rules'!$F$10,0)))</f>
        <v>450</v>
      </c>
    </row>
    <row r="112" customFormat="false" ht="15" hidden="false" customHeight="true" outlineLevel="0" collapsed="false">
      <c r="A112" s="27" t="s">
        <v>333</v>
      </c>
      <c r="B112" s="27" t="s">
        <v>67</v>
      </c>
      <c r="C112" s="40" t="str">
        <f aca="false">IFERROR(INDEX('Sales Roster &amp; Quotas'!$C$6:$C$20,MATCH($B112,'Sales Roster &amp; Quotas'!$B$6:$B$20,0)),"")</f>
        <v>Maria Chen</v>
      </c>
      <c r="D112" s="40" t="str">
        <f aca="false">IFERROR(INDEX('Sales Roster &amp; Quotas'!$D$6:$D$20,MATCH($B112,'Sales Roster &amp; Quotas'!$B$6:$B$20,0)),"")</f>
        <v>SMB</v>
      </c>
      <c r="E112" s="28" t="n">
        <v>46091</v>
      </c>
      <c r="F112" s="41" t="str">
        <f aca="false">TEXT(E112,"yyyy-mm")</f>
        <v>2026-03</v>
      </c>
      <c r="G112" s="41" t="str">
        <f aca="false">IF(MONTH(E112)&lt;=3,"Q1","Q2")</f>
        <v>Q1</v>
      </c>
      <c r="H112" s="27" t="s">
        <v>48</v>
      </c>
      <c r="I112" s="27" t="s">
        <v>334</v>
      </c>
      <c r="J112" s="27" t="s">
        <v>137</v>
      </c>
      <c r="K112" s="29" t="n">
        <v>17500</v>
      </c>
      <c r="L112" s="42" t="n">
        <f aca="false">IFERROR(INDEX('Sales Roster &amp; Quotas'!$G$6:$G$20,MATCH($B112,'Sales Roster &amp; Quotas'!$B$6:$B$20,0)),0)</f>
        <v>160000</v>
      </c>
      <c r="M112" s="43" t="n">
        <f aca="false">SUMIFS($K$5:$K$274,$B$5:$B$274,$B112,$G$5:$G$274,$G112,$H$5:$H$274,"New Business")</f>
        <v>142000</v>
      </c>
      <c r="N112" s="44" t="n">
        <f aca="false">IFERROR(M112/L112,0)</f>
        <v>0.8875</v>
      </c>
      <c r="O112" s="43" t="n">
        <f aca="false">MIN(M112,L112)</f>
        <v>142000</v>
      </c>
      <c r="P112" s="43" t="n">
        <f aca="false">MAX(MIN(M112,L112*1.25)-L112,0)</f>
        <v>0</v>
      </c>
      <c r="Q112" s="43" t="n">
        <f aca="false">MAX(M112-L112*1.25,0)</f>
        <v>0</v>
      </c>
      <c r="R112" s="42" t="n">
        <f aca="false">O112*'Commission Plan Rules'!$F$6+P112*'Commission Plan Rules'!$F$7+Q112*'Commission Plan Rules'!$F$8</f>
        <v>11360</v>
      </c>
      <c r="S112" s="45" t="n">
        <f aca="false">IF(H112="New Business",IFERROR((K112/M112)*R112,0),IF(H112="Upsell",K112*'Commission Plan Rules'!$F$9,IF(H112="Renewal",K112*'Commission Plan Rules'!$F$10,0)))</f>
        <v>525</v>
      </c>
    </row>
    <row r="113" customFormat="false" ht="15" hidden="false" customHeight="true" outlineLevel="0" collapsed="false">
      <c r="A113" s="24" t="s">
        <v>335</v>
      </c>
      <c r="B113" s="24" t="s">
        <v>104</v>
      </c>
      <c r="C113" s="34" t="str">
        <f aca="false">IFERROR(INDEX('Sales Roster &amp; Quotas'!$C$6:$C$20,MATCH($B113,'Sales Roster &amp; Quotas'!$B$6:$B$20,0)),"")</f>
        <v>Omar Fischer</v>
      </c>
      <c r="D113" s="34" t="str">
        <f aca="false">IFERROR(INDEX('Sales Roster &amp; Quotas'!$D$6:$D$20,MATCH($B113,'Sales Roster &amp; Quotas'!$B$6:$B$20,0)),"")</f>
        <v>Mid-Market</v>
      </c>
      <c r="E113" s="25" t="n">
        <v>46091</v>
      </c>
      <c r="F113" s="35" t="str">
        <f aca="false">TEXT(E113,"yyyy-mm")</f>
        <v>2026-03</v>
      </c>
      <c r="G113" s="35" t="str">
        <f aca="false">IF(MONTH(E113)&lt;=3,"Q1","Q2")</f>
        <v>Q1</v>
      </c>
      <c r="H113" s="24" t="s">
        <v>48</v>
      </c>
      <c r="I113" s="24" t="s">
        <v>266</v>
      </c>
      <c r="J113" s="24" t="s">
        <v>137</v>
      </c>
      <c r="K113" s="26" t="n">
        <v>42500</v>
      </c>
      <c r="L113" s="36" t="n">
        <f aca="false">IFERROR(INDEX('Sales Roster &amp; Quotas'!$G$6:$G$20,MATCH($B113,'Sales Roster &amp; Quotas'!$B$6:$B$20,0)),0)</f>
        <v>324000</v>
      </c>
      <c r="M113" s="37" t="n">
        <f aca="false">SUMIFS($K$5:$K$274,$B$5:$B$274,$B113,$G$5:$G$274,$G113,$H$5:$H$274,"New Business")</f>
        <v>457000</v>
      </c>
      <c r="N113" s="38" t="n">
        <f aca="false">IFERROR(M113/L113,0)</f>
        <v>1.41049382716049</v>
      </c>
      <c r="O113" s="37" t="n">
        <f aca="false">MIN(M113,L113)</f>
        <v>324000</v>
      </c>
      <c r="P113" s="37" t="n">
        <f aca="false">MAX(MIN(M113,L113*1.25)-L113,0)</f>
        <v>81000</v>
      </c>
      <c r="Q113" s="37" t="n">
        <f aca="false">MAX(M113-L113*1.25,0)</f>
        <v>52000</v>
      </c>
      <c r="R113" s="36" t="n">
        <f aca="false">O113*'Commission Plan Rules'!$F$6+P113*'Commission Plan Rules'!$F$7+Q113*'Commission Plan Rules'!$F$8</f>
        <v>40260</v>
      </c>
      <c r="S113" s="39" t="n">
        <f aca="false">IF(H113="New Business",IFERROR((K113/M113)*R113,0),IF(H113="Upsell",K113*'Commission Plan Rules'!$F$9,IF(H113="Renewal",K113*'Commission Plan Rules'!$F$10,0)))</f>
        <v>1275</v>
      </c>
    </row>
    <row r="114" customFormat="false" ht="15" hidden="false" customHeight="true" outlineLevel="0" collapsed="false">
      <c r="A114" s="27" t="s">
        <v>336</v>
      </c>
      <c r="B114" s="27" t="s">
        <v>107</v>
      </c>
      <c r="C114" s="40" t="str">
        <f aca="false">IFERROR(INDEX('Sales Roster &amp; Quotas'!$C$6:$C$20,MATCH($B114,'Sales Roster &amp; Quotas'!$B$6:$B$20,0)),"")</f>
        <v>Grace Adeyemi</v>
      </c>
      <c r="D114" s="40" t="str">
        <f aca="false">IFERROR(INDEX('Sales Roster &amp; Quotas'!$D$6:$D$20,MATCH($B114,'Sales Roster &amp; Quotas'!$B$6:$B$20,0)),"")</f>
        <v>Enterprise</v>
      </c>
      <c r="E114" s="28" t="n">
        <v>46092</v>
      </c>
      <c r="F114" s="41" t="str">
        <f aca="false">TEXT(E114,"yyyy-mm")</f>
        <v>2026-03</v>
      </c>
      <c r="G114" s="41" t="str">
        <f aca="false">IF(MONTH(E114)&lt;=3,"Q1","Q2")</f>
        <v>Q1</v>
      </c>
      <c r="H114" s="27" t="s">
        <v>48</v>
      </c>
      <c r="I114" s="27" t="s">
        <v>337</v>
      </c>
      <c r="J114" s="27" t="s">
        <v>142</v>
      </c>
      <c r="K114" s="29" t="n">
        <v>65500</v>
      </c>
      <c r="L114" s="42" t="n">
        <f aca="false">IFERROR(INDEX('Sales Roster &amp; Quotas'!$G$6:$G$20,MATCH($B114,'Sales Roster &amp; Quotas'!$B$6:$B$20,0)),0)</f>
        <v>626000</v>
      </c>
      <c r="M114" s="43" t="n">
        <f aca="false">SUMIFS($K$5:$K$274,$B$5:$B$274,$B114,$G$5:$G$274,$G114,$H$5:$H$274,"New Business")</f>
        <v>403500</v>
      </c>
      <c r="N114" s="44" t="n">
        <f aca="false">IFERROR(M114/L114,0)</f>
        <v>0.644568690095847</v>
      </c>
      <c r="O114" s="43" t="n">
        <f aca="false">MIN(M114,L114)</f>
        <v>403500</v>
      </c>
      <c r="P114" s="43" t="n">
        <f aca="false">MAX(MIN(M114,L114*1.25)-L114,0)</f>
        <v>0</v>
      </c>
      <c r="Q114" s="43" t="n">
        <f aca="false">MAX(M114-L114*1.25,0)</f>
        <v>0</v>
      </c>
      <c r="R114" s="42" t="n">
        <f aca="false">O114*'Commission Plan Rules'!$F$6+P114*'Commission Plan Rules'!$F$7+Q114*'Commission Plan Rules'!$F$8</f>
        <v>32280</v>
      </c>
      <c r="S114" s="45" t="n">
        <f aca="false">IF(H114="New Business",IFERROR((K114/M114)*R114,0),IF(H114="Upsell",K114*'Commission Plan Rules'!$F$9,IF(H114="Renewal",K114*'Commission Plan Rules'!$F$10,0)))</f>
        <v>1965</v>
      </c>
    </row>
    <row r="115" customFormat="false" ht="15" hidden="false" customHeight="true" outlineLevel="0" collapsed="false">
      <c r="A115" s="24" t="s">
        <v>338</v>
      </c>
      <c r="B115" s="24" t="s">
        <v>104</v>
      </c>
      <c r="C115" s="34" t="str">
        <f aca="false">IFERROR(INDEX('Sales Roster &amp; Quotas'!$C$6:$C$20,MATCH($B115,'Sales Roster &amp; Quotas'!$B$6:$B$20,0)),"")</f>
        <v>Omar Fischer</v>
      </c>
      <c r="D115" s="34" t="str">
        <f aca="false">IFERROR(INDEX('Sales Roster &amp; Quotas'!$D$6:$D$20,MATCH($B115,'Sales Roster &amp; Quotas'!$B$6:$B$20,0)),"")</f>
        <v>Mid-Market</v>
      </c>
      <c r="E115" s="25" t="n">
        <v>46092</v>
      </c>
      <c r="F115" s="35" t="str">
        <f aca="false">TEXT(E115,"yyyy-mm")</f>
        <v>2026-03</v>
      </c>
      <c r="G115" s="35" t="str">
        <f aca="false">IF(MONTH(E115)&lt;=3,"Q1","Q2")</f>
        <v>Q1</v>
      </c>
      <c r="H115" s="24" t="s">
        <v>45</v>
      </c>
      <c r="I115" s="24" t="s">
        <v>339</v>
      </c>
      <c r="J115" s="24" t="s">
        <v>152</v>
      </c>
      <c r="K115" s="26" t="n">
        <v>26500</v>
      </c>
      <c r="L115" s="36" t="n">
        <f aca="false">IFERROR(INDEX('Sales Roster &amp; Quotas'!$G$6:$G$20,MATCH($B115,'Sales Roster &amp; Quotas'!$B$6:$B$20,0)),0)</f>
        <v>324000</v>
      </c>
      <c r="M115" s="37" t="n">
        <f aca="false">SUMIFS($K$5:$K$274,$B$5:$B$274,$B115,$G$5:$G$274,$G115,$H$5:$H$274,"New Business")</f>
        <v>457000</v>
      </c>
      <c r="N115" s="38" t="n">
        <f aca="false">IFERROR(M115/L115,0)</f>
        <v>1.41049382716049</v>
      </c>
      <c r="O115" s="37" t="n">
        <f aca="false">MIN(M115,L115)</f>
        <v>324000</v>
      </c>
      <c r="P115" s="37" t="n">
        <f aca="false">MAX(MIN(M115,L115*1.25)-L115,0)</f>
        <v>81000</v>
      </c>
      <c r="Q115" s="37" t="n">
        <f aca="false">MAX(M115-L115*1.25,0)</f>
        <v>52000</v>
      </c>
      <c r="R115" s="36" t="n">
        <f aca="false">O115*'Commission Plan Rules'!$F$6+P115*'Commission Plan Rules'!$F$7+Q115*'Commission Plan Rules'!$F$8</f>
        <v>40260</v>
      </c>
      <c r="S115" s="39" t="n">
        <f aca="false">IF(H115="New Business",IFERROR((K115/M115)*R115,0),IF(H115="Upsell",K115*'Commission Plan Rules'!$F$9,IF(H115="Renewal",K115*'Commission Plan Rules'!$F$10,0)))</f>
        <v>1590</v>
      </c>
    </row>
    <row r="116" customFormat="false" ht="15" hidden="false" customHeight="true" outlineLevel="0" collapsed="false">
      <c r="A116" s="27" t="s">
        <v>340</v>
      </c>
      <c r="B116" s="27" t="s">
        <v>85</v>
      </c>
      <c r="C116" s="40" t="str">
        <f aca="false">IFERROR(INDEX('Sales Roster &amp; Quotas'!$C$6:$C$20,MATCH($B116,'Sales Roster &amp; Quotas'!$B$6:$B$20,0)),"")</f>
        <v>Marcus Bennett</v>
      </c>
      <c r="D116" s="40" t="str">
        <f aca="false">IFERROR(INDEX('Sales Roster &amp; Quotas'!$D$6:$D$20,MATCH($B116,'Sales Roster &amp; Quotas'!$B$6:$B$20,0)),"")</f>
        <v>SMB</v>
      </c>
      <c r="E116" s="28" t="n">
        <v>46092</v>
      </c>
      <c r="F116" s="41" t="str">
        <f aca="false">TEXT(E116,"yyyy-mm")</f>
        <v>2026-03</v>
      </c>
      <c r="G116" s="41" t="str">
        <f aca="false">IF(MONTH(E116)&lt;=3,"Q1","Q2")</f>
        <v>Q1</v>
      </c>
      <c r="H116" s="27" t="s">
        <v>40</v>
      </c>
      <c r="I116" s="27" t="s">
        <v>341</v>
      </c>
      <c r="J116" s="27" t="s">
        <v>142</v>
      </c>
      <c r="K116" s="29" t="n">
        <v>80500</v>
      </c>
      <c r="L116" s="42" t="n">
        <f aca="false">IFERROR(INDEX('Sales Roster &amp; Quotas'!$G$6:$G$20,MATCH($B116,'Sales Roster &amp; Quotas'!$B$6:$B$20,0)),0)</f>
        <v>159000</v>
      </c>
      <c r="M116" s="43" t="n">
        <f aca="false">SUMIFS($K$5:$K$274,$B$5:$B$274,$B116,$G$5:$G$274,$G116,$H$5:$H$274,"New Business")</f>
        <v>174500</v>
      </c>
      <c r="N116" s="44" t="n">
        <f aca="false">IFERROR(M116/L116,0)</f>
        <v>1.09748427672956</v>
      </c>
      <c r="O116" s="43" t="n">
        <f aca="false">MIN(M116,L116)</f>
        <v>159000</v>
      </c>
      <c r="P116" s="43" t="n">
        <f aca="false">MAX(MIN(M116,L116*1.25)-L116,0)</f>
        <v>15500</v>
      </c>
      <c r="Q116" s="43" t="n">
        <f aca="false">MAX(M116-L116*1.25,0)</f>
        <v>0</v>
      </c>
      <c r="R116" s="42" t="n">
        <f aca="false">O116*'Commission Plan Rules'!$F$6+P116*'Commission Plan Rules'!$F$7+Q116*'Commission Plan Rules'!$F$8</f>
        <v>14270</v>
      </c>
      <c r="S116" s="45" t="n">
        <f aca="false">IF(H116="New Business",IFERROR((K116/M116)*R116,0),IF(H116="Upsell",K116*'Commission Plan Rules'!$F$9,IF(H116="Renewal",K116*'Commission Plan Rules'!$F$10,0)))</f>
        <v>6583.00859598854</v>
      </c>
    </row>
    <row r="117" customFormat="false" ht="15" hidden="false" customHeight="true" outlineLevel="0" collapsed="false">
      <c r="A117" s="24" t="s">
        <v>342</v>
      </c>
      <c r="B117" s="24" t="s">
        <v>97</v>
      </c>
      <c r="C117" s="34" t="str">
        <f aca="false">IFERROR(INDEX('Sales Roster &amp; Quotas'!$C$6:$C$20,MATCH($B117,'Sales Roster &amp; Quotas'!$B$6:$B$20,0)),"")</f>
        <v>Ryan Sullivan</v>
      </c>
      <c r="D117" s="34" t="str">
        <f aca="false">IFERROR(INDEX('Sales Roster &amp; Quotas'!$D$6:$D$20,MATCH($B117,'Sales Roster &amp; Quotas'!$B$6:$B$20,0)),"")</f>
        <v>Mid-Market</v>
      </c>
      <c r="E117" s="25" t="n">
        <v>46093</v>
      </c>
      <c r="F117" s="35" t="str">
        <f aca="false">TEXT(E117,"yyyy-mm")</f>
        <v>2026-03</v>
      </c>
      <c r="G117" s="35" t="str">
        <f aca="false">IF(MONTH(E117)&lt;=3,"Q1","Q2")</f>
        <v>Q1</v>
      </c>
      <c r="H117" s="24" t="s">
        <v>40</v>
      </c>
      <c r="I117" s="24" t="s">
        <v>274</v>
      </c>
      <c r="J117" s="24" t="s">
        <v>137</v>
      </c>
      <c r="K117" s="26" t="n">
        <v>90500</v>
      </c>
      <c r="L117" s="36" t="n">
        <f aca="false">IFERROR(INDEX('Sales Roster &amp; Quotas'!$G$6:$G$20,MATCH($B117,'Sales Roster &amp; Quotas'!$B$6:$B$20,0)),0)</f>
        <v>273000</v>
      </c>
      <c r="M117" s="37" t="n">
        <f aca="false">SUMIFS($K$5:$K$274,$B$5:$B$274,$B117,$G$5:$G$274,$G117,$H$5:$H$274,"New Business")</f>
        <v>271000</v>
      </c>
      <c r="N117" s="38" t="n">
        <f aca="false">IFERROR(M117/L117,0)</f>
        <v>0.992673992673993</v>
      </c>
      <c r="O117" s="37" t="n">
        <f aca="false">MIN(M117,L117)</f>
        <v>271000</v>
      </c>
      <c r="P117" s="37" t="n">
        <f aca="false">MAX(MIN(M117,L117*1.25)-L117,0)</f>
        <v>0</v>
      </c>
      <c r="Q117" s="37" t="n">
        <f aca="false">MAX(M117-L117*1.25,0)</f>
        <v>0</v>
      </c>
      <c r="R117" s="36" t="n">
        <f aca="false">O117*'Commission Plan Rules'!$F$6+P117*'Commission Plan Rules'!$F$7+Q117*'Commission Plan Rules'!$F$8</f>
        <v>21680</v>
      </c>
      <c r="S117" s="39" t="n">
        <f aca="false">IF(H117="New Business",IFERROR((K117/M117)*R117,0),IF(H117="Upsell",K117*'Commission Plan Rules'!$F$9,IF(H117="Renewal",K117*'Commission Plan Rules'!$F$10,0)))</f>
        <v>7240</v>
      </c>
    </row>
    <row r="118" customFormat="false" ht="15" hidden="false" customHeight="true" outlineLevel="0" collapsed="false">
      <c r="A118" s="27" t="s">
        <v>343</v>
      </c>
      <c r="B118" s="27" t="s">
        <v>67</v>
      </c>
      <c r="C118" s="40" t="str">
        <f aca="false">IFERROR(INDEX('Sales Roster &amp; Quotas'!$C$6:$C$20,MATCH($B118,'Sales Roster &amp; Quotas'!$B$6:$B$20,0)),"")</f>
        <v>Maria Chen</v>
      </c>
      <c r="D118" s="40" t="str">
        <f aca="false">IFERROR(INDEX('Sales Roster &amp; Quotas'!$D$6:$D$20,MATCH($B118,'Sales Roster &amp; Quotas'!$B$6:$B$20,0)),"")</f>
        <v>SMB</v>
      </c>
      <c r="E118" s="28" t="n">
        <v>46094</v>
      </c>
      <c r="F118" s="41" t="str">
        <f aca="false">TEXT(E118,"yyyy-mm")</f>
        <v>2026-03</v>
      </c>
      <c r="G118" s="41" t="str">
        <f aca="false">IF(MONTH(E118)&lt;=3,"Q1","Q2")</f>
        <v>Q1</v>
      </c>
      <c r="H118" s="27" t="s">
        <v>40</v>
      </c>
      <c r="I118" s="27" t="s">
        <v>159</v>
      </c>
      <c r="J118" s="27" t="s">
        <v>137</v>
      </c>
      <c r="K118" s="29" t="n">
        <v>3000</v>
      </c>
      <c r="L118" s="42" t="n">
        <f aca="false">IFERROR(INDEX('Sales Roster &amp; Quotas'!$G$6:$G$20,MATCH($B118,'Sales Roster &amp; Quotas'!$B$6:$B$20,0)),0)</f>
        <v>160000</v>
      </c>
      <c r="M118" s="43" t="n">
        <f aca="false">SUMIFS($K$5:$K$274,$B$5:$B$274,$B118,$G$5:$G$274,$G118,$H$5:$H$274,"New Business")</f>
        <v>142000</v>
      </c>
      <c r="N118" s="44" t="n">
        <f aca="false">IFERROR(M118/L118,0)</f>
        <v>0.8875</v>
      </c>
      <c r="O118" s="43" t="n">
        <f aca="false">MIN(M118,L118)</f>
        <v>142000</v>
      </c>
      <c r="P118" s="43" t="n">
        <f aca="false">MAX(MIN(M118,L118*1.25)-L118,0)</f>
        <v>0</v>
      </c>
      <c r="Q118" s="43" t="n">
        <f aca="false">MAX(M118-L118*1.25,0)</f>
        <v>0</v>
      </c>
      <c r="R118" s="42" t="n">
        <f aca="false">O118*'Commission Plan Rules'!$F$6+P118*'Commission Plan Rules'!$F$7+Q118*'Commission Plan Rules'!$F$8</f>
        <v>11360</v>
      </c>
      <c r="S118" s="45" t="n">
        <f aca="false">IF(H118="New Business",IFERROR((K118/M118)*R118,0),IF(H118="Upsell",K118*'Commission Plan Rules'!$F$9,IF(H118="Renewal",K118*'Commission Plan Rules'!$F$10,0)))</f>
        <v>240</v>
      </c>
    </row>
    <row r="119" customFormat="false" ht="15" hidden="false" customHeight="true" outlineLevel="0" collapsed="false">
      <c r="A119" s="24" t="s">
        <v>344</v>
      </c>
      <c r="B119" s="24" t="s">
        <v>79</v>
      </c>
      <c r="C119" s="34" t="str">
        <f aca="false">IFERROR(INDEX('Sales Roster &amp; Quotas'!$C$6:$C$20,MATCH($B119,'Sales Roster &amp; Quotas'!$B$6:$B$20,0)),"")</f>
        <v>David Nguyen</v>
      </c>
      <c r="D119" s="34" t="str">
        <f aca="false">IFERROR(INDEX('Sales Roster &amp; Quotas'!$D$6:$D$20,MATCH($B119,'Sales Roster &amp; Quotas'!$B$6:$B$20,0)),"")</f>
        <v>SMB</v>
      </c>
      <c r="E119" s="25" t="n">
        <v>46094</v>
      </c>
      <c r="F119" s="35" t="str">
        <f aca="false">TEXT(E119,"yyyy-mm")</f>
        <v>2026-03</v>
      </c>
      <c r="G119" s="35" t="str">
        <f aca="false">IF(MONTH(E119)&lt;=3,"Q1","Q2")</f>
        <v>Q1</v>
      </c>
      <c r="H119" s="24" t="s">
        <v>40</v>
      </c>
      <c r="I119" s="24" t="s">
        <v>296</v>
      </c>
      <c r="J119" s="24" t="s">
        <v>142</v>
      </c>
      <c r="K119" s="26" t="n">
        <v>17000</v>
      </c>
      <c r="L119" s="36" t="n">
        <f aca="false">IFERROR(INDEX('Sales Roster &amp; Quotas'!$G$6:$G$20,MATCH($B119,'Sales Roster &amp; Quotas'!$B$6:$B$20,0)),0)</f>
        <v>155000</v>
      </c>
      <c r="M119" s="37" t="n">
        <f aca="false">SUMIFS($K$5:$K$274,$B$5:$B$274,$B119,$G$5:$G$274,$G119,$H$5:$H$274,"New Business")</f>
        <v>196500</v>
      </c>
      <c r="N119" s="38" t="n">
        <f aca="false">IFERROR(M119/L119,0)</f>
        <v>1.26774193548387</v>
      </c>
      <c r="O119" s="37" t="n">
        <f aca="false">MIN(M119,L119)</f>
        <v>155000</v>
      </c>
      <c r="P119" s="37" t="n">
        <f aca="false">MAX(MIN(M119,L119*1.25)-L119,0)</f>
        <v>38750</v>
      </c>
      <c r="Q119" s="37" t="n">
        <f aca="false">MAX(M119-L119*1.25,0)</f>
        <v>2750</v>
      </c>
      <c r="R119" s="36" t="n">
        <f aca="false">O119*'Commission Plan Rules'!$F$6+P119*'Commission Plan Rules'!$F$7+Q119*'Commission Plan Rules'!$F$8</f>
        <v>16605</v>
      </c>
      <c r="S119" s="39" t="n">
        <f aca="false">IF(H119="New Business",IFERROR((K119/M119)*R119,0),IF(H119="Upsell",K119*'Commission Plan Rules'!$F$9,IF(H119="Renewal",K119*'Commission Plan Rules'!$F$10,0)))</f>
        <v>1436.56488549618</v>
      </c>
    </row>
    <row r="120" customFormat="false" ht="15" hidden="false" customHeight="true" outlineLevel="0" collapsed="false">
      <c r="A120" s="27" t="s">
        <v>345</v>
      </c>
      <c r="B120" s="27" t="s">
        <v>72</v>
      </c>
      <c r="C120" s="40" t="str">
        <f aca="false">IFERROR(INDEX('Sales Roster &amp; Quotas'!$C$6:$C$20,MATCH($B120,'Sales Roster &amp; Quotas'!$B$6:$B$20,0)),"")</f>
        <v>James Okafor</v>
      </c>
      <c r="D120" s="40" t="str">
        <f aca="false">IFERROR(INDEX('Sales Roster &amp; Quotas'!$D$6:$D$20,MATCH($B120,'Sales Roster &amp; Quotas'!$B$6:$B$20,0)),"")</f>
        <v>SMB</v>
      </c>
      <c r="E120" s="28" t="n">
        <v>46094</v>
      </c>
      <c r="F120" s="41" t="str">
        <f aca="false">TEXT(E120,"yyyy-mm")</f>
        <v>2026-03</v>
      </c>
      <c r="G120" s="41" t="str">
        <f aca="false">IF(MONTH(E120)&lt;=3,"Q1","Q2")</f>
        <v>Q1</v>
      </c>
      <c r="H120" s="27" t="s">
        <v>40</v>
      </c>
      <c r="I120" s="27" t="s">
        <v>346</v>
      </c>
      <c r="J120" s="27" t="s">
        <v>142</v>
      </c>
      <c r="K120" s="29" t="n">
        <v>43500</v>
      </c>
      <c r="L120" s="42" t="n">
        <f aca="false">IFERROR(INDEX('Sales Roster &amp; Quotas'!$G$6:$G$20,MATCH($B120,'Sales Roster &amp; Quotas'!$B$6:$B$20,0)),0)</f>
        <v>135000</v>
      </c>
      <c r="M120" s="43" t="n">
        <f aca="false">SUMIFS($K$5:$K$274,$B$5:$B$274,$B120,$G$5:$G$274,$G120,$H$5:$H$274,"New Business")</f>
        <v>170500</v>
      </c>
      <c r="N120" s="44" t="n">
        <f aca="false">IFERROR(M120/L120,0)</f>
        <v>1.26296296296296</v>
      </c>
      <c r="O120" s="43" t="n">
        <f aca="false">MIN(M120,L120)</f>
        <v>135000</v>
      </c>
      <c r="P120" s="43" t="n">
        <f aca="false">MAX(MIN(M120,L120*1.25)-L120,0)</f>
        <v>33750</v>
      </c>
      <c r="Q120" s="43" t="n">
        <f aca="false">MAX(M120-L120*1.25,0)</f>
        <v>1750</v>
      </c>
      <c r="R120" s="42" t="n">
        <f aca="false">O120*'Commission Plan Rules'!$F$6+P120*'Commission Plan Rules'!$F$7+Q120*'Commission Plan Rules'!$F$8</f>
        <v>14385</v>
      </c>
      <c r="S120" s="45" t="n">
        <f aca="false">IF(H120="New Business",IFERROR((K120/M120)*R120,0),IF(H120="Upsell",K120*'Commission Plan Rules'!$F$9,IF(H120="Renewal",K120*'Commission Plan Rules'!$F$10,0)))</f>
        <v>3670.07331378299</v>
      </c>
    </row>
    <row r="121" customFormat="false" ht="15" hidden="false" customHeight="true" outlineLevel="0" collapsed="false">
      <c r="A121" s="24" t="s">
        <v>347</v>
      </c>
      <c r="B121" s="24" t="s">
        <v>101</v>
      </c>
      <c r="C121" s="34" t="str">
        <f aca="false">IFERROR(INDEX('Sales Roster &amp; Quotas'!$C$6:$C$20,MATCH($B121,'Sales Roster &amp; Quotas'!$B$6:$B$20,0)),"")</f>
        <v>Natalie Reyes</v>
      </c>
      <c r="D121" s="34" t="str">
        <f aca="false">IFERROR(INDEX('Sales Roster &amp; Quotas'!$D$6:$D$20,MATCH($B121,'Sales Roster &amp; Quotas'!$B$6:$B$20,0)),"")</f>
        <v>Mid-Market</v>
      </c>
      <c r="E121" s="25" t="n">
        <v>46095</v>
      </c>
      <c r="F121" s="35" t="str">
        <f aca="false">TEXT(E121,"yyyy-mm")</f>
        <v>2026-03</v>
      </c>
      <c r="G121" s="35" t="str">
        <f aca="false">IF(MONTH(E121)&lt;=3,"Q1","Q2")</f>
        <v>Q1</v>
      </c>
      <c r="H121" s="24" t="s">
        <v>40</v>
      </c>
      <c r="I121" s="24" t="s">
        <v>348</v>
      </c>
      <c r="J121" s="24" t="s">
        <v>137</v>
      </c>
      <c r="K121" s="26" t="n">
        <v>33000</v>
      </c>
      <c r="L121" s="36" t="n">
        <f aca="false">IFERROR(INDEX('Sales Roster &amp; Quotas'!$G$6:$G$20,MATCH($B121,'Sales Roster &amp; Quotas'!$B$6:$B$20,0)),0)</f>
        <v>295000</v>
      </c>
      <c r="M121" s="37" t="n">
        <f aca="false">SUMIFS($K$5:$K$274,$B$5:$B$274,$B121,$G$5:$G$274,$G121,$H$5:$H$274,"New Business")</f>
        <v>267000</v>
      </c>
      <c r="N121" s="38" t="n">
        <f aca="false">IFERROR(M121/L121,0)</f>
        <v>0.905084745762712</v>
      </c>
      <c r="O121" s="37" t="n">
        <f aca="false">MIN(M121,L121)</f>
        <v>267000</v>
      </c>
      <c r="P121" s="37" t="n">
        <f aca="false">MAX(MIN(M121,L121*1.25)-L121,0)</f>
        <v>0</v>
      </c>
      <c r="Q121" s="37" t="n">
        <f aca="false">MAX(M121-L121*1.25,0)</f>
        <v>0</v>
      </c>
      <c r="R121" s="36" t="n">
        <f aca="false">O121*'Commission Plan Rules'!$F$6+P121*'Commission Plan Rules'!$F$7+Q121*'Commission Plan Rules'!$F$8</f>
        <v>21360</v>
      </c>
      <c r="S121" s="39" t="n">
        <f aca="false">IF(H121="New Business",IFERROR((K121/M121)*R121,0),IF(H121="Upsell",K121*'Commission Plan Rules'!$F$9,IF(H121="Renewal",K121*'Commission Plan Rules'!$F$10,0)))</f>
        <v>2640</v>
      </c>
    </row>
    <row r="122" customFormat="false" ht="15" hidden="false" customHeight="true" outlineLevel="0" collapsed="false">
      <c r="A122" s="27" t="s">
        <v>349</v>
      </c>
      <c r="B122" s="27" t="s">
        <v>95</v>
      </c>
      <c r="C122" s="40" t="str">
        <f aca="false">IFERROR(INDEX('Sales Roster &amp; Quotas'!$C$6:$C$20,MATCH($B122,'Sales Roster &amp; Quotas'!$B$6:$B$20,0)),"")</f>
        <v>Aisha Kim</v>
      </c>
      <c r="D122" s="40" t="str">
        <f aca="false">IFERROR(INDEX('Sales Roster &amp; Quotas'!$D$6:$D$20,MATCH($B122,'Sales Roster &amp; Quotas'!$B$6:$B$20,0)),"")</f>
        <v>Mid-Market</v>
      </c>
      <c r="E122" s="28" t="n">
        <v>46095</v>
      </c>
      <c r="F122" s="41" t="str">
        <f aca="false">TEXT(E122,"yyyy-mm")</f>
        <v>2026-03</v>
      </c>
      <c r="G122" s="41" t="str">
        <f aca="false">IF(MONTH(E122)&lt;=3,"Q1","Q2")</f>
        <v>Q1</v>
      </c>
      <c r="H122" s="27" t="s">
        <v>48</v>
      </c>
      <c r="I122" s="27" t="s">
        <v>350</v>
      </c>
      <c r="J122" s="27" t="s">
        <v>142</v>
      </c>
      <c r="K122" s="29" t="n">
        <v>33500</v>
      </c>
      <c r="L122" s="42" t="n">
        <f aca="false">IFERROR(INDEX('Sales Roster &amp; Quotas'!$G$6:$G$20,MATCH($B122,'Sales Roster &amp; Quotas'!$B$6:$B$20,0)),0)</f>
        <v>287000</v>
      </c>
      <c r="M122" s="43" t="n">
        <f aca="false">SUMIFS($K$5:$K$274,$B$5:$B$274,$B122,$G$5:$G$274,$G122,$H$5:$H$274,"New Business")</f>
        <v>266000</v>
      </c>
      <c r="N122" s="44" t="n">
        <f aca="false">IFERROR(M122/L122,0)</f>
        <v>0.926829268292683</v>
      </c>
      <c r="O122" s="43" t="n">
        <f aca="false">MIN(M122,L122)</f>
        <v>266000</v>
      </c>
      <c r="P122" s="43" t="n">
        <f aca="false">MAX(MIN(M122,L122*1.25)-L122,0)</f>
        <v>0</v>
      </c>
      <c r="Q122" s="43" t="n">
        <f aca="false">MAX(M122-L122*1.25,0)</f>
        <v>0</v>
      </c>
      <c r="R122" s="42" t="n">
        <f aca="false">O122*'Commission Plan Rules'!$F$6+P122*'Commission Plan Rules'!$F$7+Q122*'Commission Plan Rules'!$F$8</f>
        <v>21280</v>
      </c>
      <c r="S122" s="45" t="n">
        <f aca="false">IF(H122="New Business",IFERROR((K122/M122)*R122,0),IF(H122="Upsell",K122*'Commission Plan Rules'!$F$9,IF(H122="Renewal",K122*'Commission Plan Rules'!$F$10,0)))</f>
        <v>1005</v>
      </c>
    </row>
    <row r="123" customFormat="false" ht="15" hidden="false" customHeight="true" outlineLevel="0" collapsed="false">
      <c r="A123" s="24" t="s">
        <v>351</v>
      </c>
      <c r="B123" s="24" t="s">
        <v>85</v>
      </c>
      <c r="C123" s="34" t="str">
        <f aca="false">IFERROR(INDEX('Sales Roster &amp; Quotas'!$C$6:$C$20,MATCH($B123,'Sales Roster &amp; Quotas'!$B$6:$B$20,0)),"")</f>
        <v>Marcus Bennett</v>
      </c>
      <c r="D123" s="34" t="str">
        <f aca="false">IFERROR(INDEX('Sales Roster &amp; Quotas'!$D$6:$D$20,MATCH($B123,'Sales Roster &amp; Quotas'!$B$6:$B$20,0)),"")</f>
        <v>SMB</v>
      </c>
      <c r="E123" s="25" t="n">
        <v>46096</v>
      </c>
      <c r="F123" s="35" t="str">
        <f aca="false">TEXT(E123,"yyyy-mm")</f>
        <v>2026-03</v>
      </c>
      <c r="G123" s="35" t="str">
        <f aca="false">IF(MONTH(E123)&lt;=3,"Q1","Q2")</f>
        <v>Q1</v>
      </c>
      <c r="H123" s="24" t="s">
        <v>48</v>
      </c>
      <c r="I123" s="24" t="s">
        <v>239</v>
      </c>
      <c r="J123" s="24" t="s">
        <v>142</v>
      </c>
      <c r="K123" s="26" t="n">
        <v>47000</v>
      </c>
      <c r="L123" s="36" t="n">
        <f aca="false">IFERROR(INDEX('Sales Roster &amp; Quotas'!$G$6:$G$20,MATCH($B123,'Sales Roster &amp; Quotas'!$B$6:$B$20,0)),0)</f>
        <v>159000</v>
      </c>
      <c r="M123" s="37" t="n">
        <f aca="false">SUMIFS($K$5:$K$274,$B$5:$B$274,$B123,$G$5:$G$274,$G123,$H$5:$H$274,"New Business")</f>
        <v>174500</v>
      </c>
      <c r="N123" s="38" t="n">
        <f aca="false">IFERROR(M123/L123,0)</f>
        <v>1.09748427672956</v>
      </c>
      <c r="O123" s="37" t="n">
        <f aca="false">MIN(M123,L123)</f>
        <v>159000</v>
      </c>
      <c r="P123" s="37" t="n">
        <f aca="false">MAX(MIN(M123,L123*1.25)-L123,0)</f>
        <v>15500</v>
      </c>
      <c r="Q123" s="37" t="n">
        <f aca="false">MAX(M123-L123*1.25,0)</f>
        <v>0</v>
      </c>
      <c r="R123" s="36" t="n">
        <f aca="false">O123*'Commission Plan Rules'!$F$6+P123*'Commission Plan Rules'!$F$7+Q123*'Commission Plan Rules'!$F$8</f>
        <v>14270</v>
      </c>
      <c r="S123" s="39" t="n">
        <f aca="false">IF(H123="New Business",IFERROR((K123/M123)*R123,0),IF(H123="Upsell",K123*'Commission Plan Rules'!$F$9,IF(H123="Renewal",K123*'Commission Plan Rules'!$F$10,0)))</f>
        <v>1410</v>
      </c>
    </row>
    <row r="124" customFormat="false" ht="15" hidden="false" customHeight="true" outlineLevel="0" collapsed="false">
      <c r="A124" s="27" t="s">
        <v>352</v>
      </c>
      <c r="B124" s="27" t="s">
        <v>111</v>
      </c>
      <c r="C124" s="40" t="str">
        <f aca="false">IFERROR(INDEX('Sales Roster &amp; Quotas'!$C$6:$C$20,MATCH($B124,'Sales Roster &amp; Quotas'!$B$6:$B$20,0)),"")</f>
        <v>Kevin Novak</v>
      </c>
      <c r="D124" s="40" t="str">
        <f aca="false">IFERROR(INDEX('Sales Roster &amp; Quotas'!$D$6:$D$20,MATCH($B124,'Sales Roster &amp; Quotas'!$B$6:$B$20,0)),"")</f>
        <v>Enterprise</v>
      </c>
      <c r="E124" s="28" t="n">
        <v>46097</v>
      </c>
      <c r="F124" s="41" t="str">
        <f aca="false">TEXT(E124,"yyyy-mm")</f>
        <v>2026-03</v>
      </c>
      <c r="G124" s="41" t="str">
        <f aca="false">IF(MONTH(E124)&lt;=3,"Q1","Q2")</f>
        <v>Q1</v>
      </c>
      <c r="H124" s="27" t="s">
        <v>40</v>
      </c>
      <c r="I124" s="27" t="s">
        <v>268</v>
      </c>
      <c r="J124" s="27" t="s">
        <v>137</v>
      </c>
      <c r="K124" s="29" t="n">
        <v>404000</v>
      </c>
      <c r="L124" s="42" t="n">
        <f aca="false">IFERROR(INDEX('Sales Roster &amp; Quotas'!$G$6:$G$20,MATCH($B124,'Sales Roster &amp; Quotas'!$B$6:$B$20,0)),0)</f>
        <v>641000</v>
      </c>
      <c r="M124" s="43" t="n">
        <f aca="false">SUMIFS($K$5:$K$274,$B$5:$B$274,$B124,$G$5:$G$274,$G124,$H$5:$H$274,"New Business")</f>
        <v>504500</v>
      </c>
      <c r="N124" s="44" t="n">
        <f aca="false">IFERROR(M124/L124,0)</f>
        <v>0.787051482059282</v>
      </c>
      <c r="O124" s="43" t="n">
        <f aca="false">MIN(M124,L124)</f>
        <v>504500</v>
      </c>
      <c r="P124" s="43" t="n">
        <f aca="false">MAX(MIN(M124,L124*1.25)-L124,0)</f>
        <v>0</v>
      </c>
      <c r="Q124" s="43" t="n">
        <f aca="false">MAX(M124-L124*1.25,0)</f>
        <v>0</v>
      </c>
      <c r="R124" s="42" t="n">
        <f aca="false">O124*'Commission Plan Rules'!$F$6+P124*'Commission Plan Rules'!$F$7+Q124*'Commission Plan Rules'!$F$8</f>
        <v>40360</v>
      </c>
      <c r="S124" s="45" t="n">
        <f aca="false">IF(H124="New Business",IFERROR((K124/M124)*R124,0),IF(H124="Upsell",K124*'Commission Plan Rules'!$F$9,IF(H124="Renewal",K124*'Commission Plan Rules'!$F$10,0)))</f>
        <v>32320</v>
      </c>
    </row>
    <row r="125" customFormat="false" ht="15" hidden="false" customHeight="true" outlineLevel="0" collapsed="false">
      <c r="A125" s="24" t="s">
        <v>353</v>
      </c>
      <c r="B125" s="24" t="s">
        <v>75</v>
      </c>
      <c r="C125" s="34" t="str">
        <f aca="false">IFERROR(INDEX('Sales Roster &amp; Quotas'!$C$6:$C$20,MATCH($B125,'Sales Roster &amp; Quotas'!$B$6:$B$20,0)),"")</f>
        <v>Priya Patel</v>
      </c>
      <c r="D125" s="34" t="str">
        <f aca="false">IFERROR(INDEX('Sales Roster &amp; Quotas'!$D$6:$D$20,MATCH($B125,'Sales Roster &amp; Quotas'!$B$6:$B$20,0)),"")</f>
        <v>SMB</v>
      </c>
      <c r="E125" s="25" t="n">
        <v>46098</v>
      </c>
      <c r="F125" s="35" t="str">
        <f aca="false">TEXT(E125,"yyyy-mm")</f>
        <v>2026-03</v>
      </c>
      <c r="G125" s="35" t="str">
        <f aca="false">IF(MONTH(E125)&lt;=3,"Q1","Q2")</f>
        <v>Q1</v>
      </c>
      <c r="H125" s="24" t="s">
        <v>40</v>
      </c>
      <c r="I125" s="24" t="s">
        <v>322</v>
      </c>
      <c r="J125" s="24" t="s">
        <v>137</v>
      </c>
      <c r="K125" s="26" t="n">
        <v>3000</v>
      </c>
      <c r="L125" s="36" t="n">
        <f aca="false">IFERROR(INDEX('Sales Roster &amp; Quotas'!$G$6:$G$20,MATCH($B125,'Sales Roster &amp; Quotas'!$B$6:$B$20,0)),0)</f>
        <v>137000</v>
      </c>
      <c r="M125" s="37" t="n">
        <f aca="false">SUMIFS($K$5:$K$274,$B$5:$B$274,$B125,$G$5:$G$274,$G125,$H$5:$H$274,"New Business")</f>
        <v>118500</v>
      </c>
      <c r="N125" s="38" t="n">
        <f aca="false">IFERROR(M125/L125,0)</f>
        <v>0.864963503649635</v>
      </c>
      <c r="O125" s="37" t="n">
        <f aca="false">MIN(M125,L125)</f>
        <v>118500</v>
      </c>
      <c r="P125" s="37" t="n">
        <f aca="false">MAX(MIN(M125,L125*1.25)-L125,0)</f>
        <v>0</v>
      </c>
      <c r="Q125" s="37" t="n">
        <f aca="false">MAX(M125-L125*1.25,0)</f>
        <v>0</v>
      </c>
      <c r="R125" s="36" t="n">
        <f aca="false">O125*'Commission Plan Rules'!$F$6+P125*'Commission Plan Rules'!$F$7+Q125*'Commission Plan Rules'!$F$8</f>
        <v>9480</v>
      </c>
      <c r="S125" s="39" t="n">
        <f aca="false">IF(H125="New Business",IFERROR((K125/M125)*R125,0),IF(H125="Upsell",K125*'Commission Plan Rules'!$F$9,IF(H125="Renewal",K125*'Commission Plan Rules'!$F$10,0)))</f>
        <v>240</v>
      </c>
    </row>
    <row r="126" customFormat="false" ht="15" hidden="false" customHeight="true" outlineLevel="0" collapsed="false">
      <c r="A126" s="27" t="s">
        <v>354</v>
      </c>
      <c r="B126" s="27" t="s">
        <v>75</v>
      </c>
      <c r="C126" s="40" t="str">
        <f aca="false">IFERROR(INDEX('Sales Roster &amp; Quotas'!$C$6:$C$20,MATCH($B126,'Sales Roster &amp; Quotas'!$B$6:$B$20,0)),"")</f>
        <v>Priya Patel</v>
      </c>
      <c r="D126" s="40" t="str">
        <f aca="false">IFERROR(INDEX('Sales Roster &amp; Quotas'!$D$6:$D$20,MATCH($B126,'Sales Roster &amp; Quotas'!$B$6:$B$20,0)),"")</f>
        <v>SMB</v>
      </c>
      <c r="E126" s="28" t="n">
        <v>46098</v>
      </c>
      <c r="F126" s="41" t="str">
        <f aca="false">TEXT(E126,"yyyy-mm")</f>
        <v>2026-03</v>
      </c>
      <c r="G126" s="41" t="str">
        <f aca="false">IF(MONTH(E126)&lt;=3,"Q1","Q2")</f>
        <v>Q1</v>
      </c>
      <c r="H126" s="27" t="s">
        <v>48</v>
      </c>
      <c r="I126" s="27" t="s">
        <v>252</v>
      </c>
      <c r="J126" s="27" t="s">
        <v>137</v>
      </c>
      <c r="K126" s="29" t="n">
        <v>19000</v>
      </c>
      <c r="L126" s="42" t="n">
        <f aca="false">IFERROR(INDEX('Sales Roster &amp; Quotas'!$G$6:$G$20,MATCH($B126,'Sales Roster &amp; Quotas'!$B$6:$B$20,0)),0)</f>
        <v>137000</v>
      </c>
      <c r="M126" s="43" t="n">
        <f aca="false">SUMIFS($K$5:$K$274,$B$5:$B$274,$B126,$G$5:$G$274,$G126,$H$5:$H$274,"New Business")</f>
        <v>118500</v>
      </c>
      <c r="N126" s="44" t="n">
        <f aca="false">IFERROR(M126/L126,0)</f>
        <v>0.864963503649635</v>
      </c>
      <c r="O126" s="43" t="n">
        <f aca="false">MIN(M126,L126)</f>
        <v>118500</v>
      </c>
      <c r="P126" s="43" t="n">
        <f aca="false">MAX(MIN(M126,L126*1.25)-L126,0)</f>
        <v>0</v>
      </c>
      <c r="Q126" s="43" t="n">
        <f aca="false">MAX(M126-L126*1.25,0)</f>
        <v>0</v>
      </c>
      <c r="R126" s="42" t="n">
        <f aca="false">O126*'Commission Plan Rules'!$F$6+P126*'Commission Plan Rules'!$F$7+Q126*'Commission Plan Rules'!$F$8</f>
        <v>9480</v>
      </c>
      <c r="S126" s="45" t="n">
        <f aca="false">IF(H126="New Business",IFERROR((K126/M126)*R126,0),IF(H126="Upsell",K126*'Commission Plan Rules'!$F$9,IF(H126="Renewal",K126*'Commission Plan Rules'!$F$10,0)))</f>
        <v>570</v>
      </c>
    </row>
    <row r="127" customFormat="false" ht="15" hidden="false" customHeight="true" outlineLevel="0" collapsed="false">
      <c r="A127" s="24" t="s">
        <v>355</v>
      </c>
      <c r="B127" s="24" t="s">
        <v>114</v>
      </c>
      <c r="C127" s="34" t="str">
        <f aca="false">IFERROR(INDEX('Sales Roster &amp; Quotas'!$C$6:$C$20,MATCH($B127,'Sales Roster &amp; Quotas'!$B$6:$B$20,0)),"")</f>
        <v>Lucia Larsen</v>
      </c>
      <c r="D127" s="34" t="str">
        <f aca="false">IFERROR(INDEX('Sales Roster &amp; Quotas'!$D$6:$D$20,MATCH($B127,'Sales Roster &amp; Quotas'!$B$6:$B$20,0)),"")</f>
        <v>Enterprise</v>
      </c>
      <c r="E127" s="25" t="n">
        <v>46099</v>
      </c>
      <c r="F127" s="35" t="str">
        <f aca="false">TEXT(E127,"yyyy-mm")</f>
        <v>2026-03</v>
      </c>
      <c r="G127" s="35" t="str">
        <f aca="false">IF(MONTH(E127)&lt;=3,"Q1","Q2")</f>
        <v>Q1</v>
      </c>
      <c r="H127" s="24" t="s">
        <v>45</v>
      </c>
      <c r="I127" s="24" t="s">
        <v>356</v>
      </c>
      <c r="J127" s="24" t="s">
        <v>137</v>
      </c>
      <c r="K127" s="26" t="n">
        <v>128000</v>
      </c>
      <c r="L127" s="36" t="n">
        <f aca="false">IFERROR(INDEX('Sales Roster &amp; Quotas'!$G$6:$G$20,MATCH($B127,'Sales Roster &amp; Quotas'!$B$6:$B$20,0)),0)</f>
        <v>594000</v>
      </c>
      <c r="M127" s="37" t="n">
        <f aca="false">SUMIFS($K$5:$K$274,$B$5:$B$274,$B127,$G$5:$G$274,$G127,$H$5:$H$274,"New Business")</f>
        <v>542500</v>
      </c>
      <c r="N127" s="38" t="n">
        <f aca="false">IFERROR(M127/L127,0)</f>
        <v>0.913299663299663</v>
      </c>
      <c r="O127" s="37" t="n">
        <f aca="false">MIN(M127,L127)</f>
        <v>542500</v>
      </c>
      <c r="P127" s="37" t="n">
        <f aca="false">MAX(MIN(M127,L127*1.25)-L127,0)</f>
        <v>0</v>
      </c>
      <c r="Q127" s="37" t="n">
        <f aca="false">MAX(M127-L127*1.25,0)</f>
        <v>0</v>
      </c>
      <c r="R127" s="36" t="n">
        <f aca="false">O127*'Commission Plan Rules'!$F$6+P127*'Commission Plan Rules'!$F$7+Q127*'Commission Plan Rules'!$F$8</f>
        <v>43400</v>
      </c>
      <c r="S127" s="39" t="n">
        <f aca="false">IF(H127="New Business",IFERROR((K127/M127)*R127,0),IF(H127="Upsell",K127*'Commission Plan Rules'!$F$9,IF(H127="Renewal",K127*'Commission Plan Rules'!$F$10,0)))</f>
        <v>7680</v>
      </c>
    </row>
    <row r="128" customFormat="false" ht="15" hidden="false" customHeight="true" outlineLevel="0" collapsed="false">
      <c r="A128" s="27" t="s">
        <v>357</v>
      </c>
      <c r="B128" s="27" t="s">
        <v>114</v>
      </c>
      <c r="C128" s="40" t="str">
        <f aca="false">IFERROR(INDEX('Sales Roster &amp; Quotas'!$C$6:$C$20,MATCH($B128,'Sales Roster &amp; Quotas'!$B$6:$B$20,0)),"")</f>
        <v>Lucia Larsen</v>
      </c>
      <c r="D128" s="40" t="str">
        <f aca="false">IFERROR(INDEX('Sales Roster &amp; Quotas'!$D$6:$D$20,MATCH($B128,'Sales Roster &amp; Quotas'!$B$6:$B$20,0)),"")</f>
        <v>Enterprise</v>
      </c>
      <c r="E128" s="28" t="n">
        <v>46099</v>
      </c>
      <c r="F128" s="41" t="str">
        <f aca="false">TEXT(E128,"yyyy-mm")</f>
        <v>2026-03</v>
      </c>
      <c r="G128" s="41" t="str">
        <f aca="false">IF(MONTH(E128)&lt;=3,"Q1","Q2")</f>
        <v>Q1</v>
      </c>
      <c r="H128" s="27" t="s">
        <v>48</v>
      </c>
      <c r="I128" s="27" t="s">
        <v>339</v>
      </c>
      <c r="J128" s="27" t="s">
        <v>137</v>
      </c>
      <c r="K128" s="29" t="n">
        <v>24000</v>
      </c>
      <c r="L128" s="42" t="n">
        <f aca="false">IFERROR(INDEX('Sales Roster &amp; Quotas'!$G$6:$G$20,MATCH($B128,'Sales Roster &amp; Quotas'!$B$6:$B$20,0)),0)</f>
        <v>594000</v>
      </c>
      <c r="M128" s="43" t="n">
        <f aca="false">SUMIFS($K$5:$K$274,$B$5:$B$274,$B128,$G$5:$G$274,$G128,$H$5:$H$274,"New Business")</f>
        <v>542500</v>
      </c>
      <c r="N128" s="44" t="n">
        <f aca="false">IFERROR(M128/L128,0)</f>
        <v>0.913299663299663</v>
      </c>
      <c r="O128" s="43" t="n">
        <f aca="false">MIN(M128,L128)</f>
        <v>542500</v>
      </c>
      <c r="P128" s="43" t="n">
        <f aca="false">MAX(MIN(M128,L128*1.25)-L128,0)</f>
        <v>0</v>
      </c>
      <c r="Q128" s="43" t="n">
        <f aca="false">MAX(M128-L128*1.25,0)</f>
        <v>0</v>
      </c>
      <c r="R128" s="42" t="n">
        <f aca="false">O128*'Commission Plan Rules'!$F$6+P128*'Commission Plan Rules'!$F$7+Q128*'Commission Plan Rules'!$F$8</f>
        <v>43400</v>
      </c>
      <c r="S128" s="45" t="n">
        <f aca="false">IF(H128="New Business",IFERROR((K128/M128)*R128,0),IF(H128="Upsell",K128*'Commission Plan Rules'!$F$9,IF(H128="Renewal",K128*'Commission Plan Rules'!$F$10,0)))</f>
        <v>720</v>
      </c>
    </row>
    <row r="129" customFormat="false" ht="15" hidden="false" customHeight="true" outlineLevel="0" collapsed="false">
      <c r="A129" s="24" t="s">
        <v>358</v>
      </c>
      <c r="B129" s="24" t="s">
        <v>114</v>
      </c>
      <c r="C129" s="34" t="str">
        <f aca="false">IFERROR(INDEX('Sales Roster &amp; Quotas'!$C$6:$C$20,MATCH($B129,'Sales Roster &amp; Quotas'!$B$6:$B$20,0)),"")</f>
        <v>Lucia Larsen</v>
      </c>
      <c r="D129" s="34" t="str">
        <f aca="false">IFERROR(INDEX('Sales Roster &amp; Quotas'!$D$6:$D$20,MATCH($B129,'Sales Roster &amp; Quotas'!$B$6:$B$20,0)),"")</f>
        <v>Enterprise</v>
      </c>
      <c r="E129" s="25" t="n">
        <v>46099</v>
      </c>
      <c r="F129" s="35" t="str">
        <f aca="false">TEXT(E129,"yyyy-mm")</f>
        <v>2026-03</v>
      </c>
      <c r="G129" s="35" t="str">
        <f aca="false">IF(MONTH(E129)&lt;=3,"Q1","Q2")</f>
        <v>Q1</v>
      </c>
      <c r="H129" s="24" t="s">
        <v>45</v>
      </c>
      <c r="I129" s="24" t="s">
        <v>359</v>
      </c>
      <c r="J129" s="24" t="s">
        <v>142</v>
      </c>
      <c r="K129" s="26" t="n">
        <v>80500</v>
      </c>
      <c r="L129" s="36" t="n">
        <f aca="false">IFERROR(INDEX('Sales Roster &amp; Quotas'!$G$6:$G$20,MATCH($B129,'Sales Roster &amp; Quotas'!$B$6:$B$20,0)),0)</f>
        <v>594000</v>
      </c>
      <c r="M129" s="37" t="n">
        <f aca="false">SUMIFS($K$5:$K$274,$B$5:$B$274,$B129,$G$5:$G$274,$G129,$H$5:$H$274,"New Business")</f>
        <v>542500</v>
      </c>
      <c r="N129" s="38" t="n">
        <f aca="false">IFERROR(M129/L129,0)</f>
        <v>0.913299663299663</v>
      </c>
      <c r="O129" s="37" t="n">
        <f aca="false">MIN(M129,L129)</f>
        <v>542500</v>
      </c>
      <c r="P129" s="37" t="n">
        <f aca="false">MAX(MIN(M129,L129*1.25)-L129,0)</f>
        <v>0</v>
      </c>
      <c r="Q129" s="37" t="n">
        <f aca="false">MAX(M129-L129*1.25,0)</f>
        <v>0</v>
      </c>
      <c r="R129" s="36" t="n">
        <f aca="false">O129*'Commission Plan Rules'!$F$6+P129*'Commission Plan Rules'!$F$7+Q129*'Commission Plan Rules'!$F$8</f>
        <v>43400</v>
      </c>
      <c r="S129" s="39" t="n">
        <f aca="false">IF(H129="New Business",IFERROR((K129/M129)*R129,0),IF(H129="Upsell",K129*'Commission Plan Rules'!$F$9,IF(H129="Renewal",K129*'Commission Plan Rules'!$F$10,0)))</f>
        <v>4830</v>
      </c>
    </row>
    <row r="130" customFormat="false" ht="15" hidden="false" customHeight="true" outlineLevel="0" collapsed="false">
      <c r="A130" s="27" t="s">
        <v>360</v>
      </c>
      <c r="B130" s="27" t="s">
        <v>97</v>
      </c>
      <c r="C130" s="40" t="str">
        <f aca="false">IFERROR(INDEX('Sales Roster &amp; Quotas'!$C$6:$C$20,MATCH($B130,'Sales Roster &amp; Quotas'!$B$6:$B$20,0)),"")</f>
        <v>Ryan Sullivan</v>
      </c>
      <c r="D130" s="40" t="str">
        <f aca="false">IFERROR(INDEX('Sales Roster &amp; Quotas'!$D$6:$D$20,MATCH($B130,'Sales Roster &amp; Quotas'!$B$6:$B$20,0)),"")</f>
        <v>Mid-Market</v>
      </c>
      <c r="E130" s="28" t="n">
        <v>46100</v>
      </c>
      <c r="F130" s="41" t="str">
        <f aca="false">TEXT(E130,"yyyy-mm")</f>
        <v>2026-03</v>
      </c>
      <c r="G130" s="41" t="str">
        <f aca="false">IF(MONTH(E130)&lt;=3,"Q1","Q2")</f>
        <v>Q1</v>
      </c>
      <c r="H130" s="27" t="s">
        <v>40</v>
      </c>
      <c r="I130" s="27" t="s">
        <v>361</v>
      </c>
      <c r="J130" s="27" t="s">
        <v>137</v>
      </c>
      <c r="K130" s="29" t="n">
        <v>28000</v>
      </c>
      <c r="L130" s="42" t="n">
        <f aca="false">IFERROR(INDEX('Sales Roster &amp; Quotas'!$G$6:$G$20,MATCH($B130,'Sales Roster &amp; Quotas'!$B$6:$B$20,0)),0)</f>
        <v>273000</v>
      </c>
      <c r="M130" s="43" t="n">
        <f aca="false">SUMIFS($K$5:$K$274,$B$5:$B$274,$B130,$G$5:$G$274,$G130,$H$5:$H$274,"New Business")</f>
        <v>271000</v>
      </c>
      <c r="N130" s="44" t="n">
        <f aca="false">IFERROR(M130/L130,0)</f>
        <v>0.992673992673993</v>
      </c>
      <c r="O130" s="43" t="n">
        <f aca="false">MIN(M130,L130)</f>
        <v>271000</v>
      </c>
      <c r="P130" s="43" t="n">
        <f aca="false">MAX(MIN(M130,L130*1.25)-L130,0)</f>
        <v>0</v>
      </c>
      <c r="Q130" s="43" t="n">
        <f aca="false">MAX(M130-L130*1.25,0)</f>
        <v>0</v>
      </c>
      <c r="R130" s="42" t="n">
        <f aca="false">O130*'Commission Plan Rules'!$F$6+P130*'Commission Plan Rules'!$F$7+Q130*'Commission Plan Rules'!$F$8</f>
        <v>21680</v>
      </c>
      <c r="S130" s="45" t="n">
        <f aca="false">IF(H130="New Business",IFERROR((K130/M130)*R130,0),IF(H130="Upsell",K130*'Commission Plan Rules'!$F$9,IF(H130="Renewal",K130*'Commission Plan Rules'!$F$10,0)))</f>
        <v>2240</v>
      </c>
    </row>
    <row r="131" customFormat="false" ht="15" hidden="false" customHeight="true" outlineLevel="0" collapsed="false">
      <c r="A131" s="24" t="s">
        <v>362</v>
      </c>
      <c r="B131" s="24" t="s">
        <v>101</v>
      </c>
      <c r="C131" s="34" t="str">
        <f aca="false">IFERROR(INDEX('Sales Roster &amp; Quotas'!$C$6:$C$20,MATCH($B131,'Sales Roster &amp; Quotas'!$B$6:$B$20,0)),"")</f>
        <v>Natalie Reyes</v>
      </c>
      <c r="D131" s="34" t="str">
        <f aca="false">IFERROR(INDEX('Sales Roster &amp; Quotas'!$D$6:$D$20,MATCH($B131,'Sales Roster &amp; Quotas'!$B$6:$B$20,0)),"")</f>
        <v>Mid-Market</v>
      </c>
      <c r="E131" s="25" t="n">
        <v>46100</v>
      </c>
      <c r="F131" s="35" t="str">
        <f aca="false">TEXT(E131,"yyyy-mm")</f>
        <v>2026-03</v>
      </c>
      <c r="G131" s="35" t="str">
        <f aca="false">IF(MONTH(E131)&lt;=3,"Q1","Q2")</f>
        <v>Q1</v>
      </c>
      <c r="H131" s="24" t="s">
        <v>45</v>
      </c>
      <c r="I131" s="24" t="s">
        <v>199</v>
      </c>
      <c r="J131" s="24" t="s">
        <v>137</v>
      </c>
      <c r="K131" s="26" t="n">
        <v>10000</v>
      </c>
      <c r="L131" s="36" t="n">
        <f aca="false">IFERROR(INDEX('Sales Roster &amp; Quotas'!$G$6:$G$20,MATCH($B131,'Sales Roster &amp; Quotas'!$B$6:$B$20,0)),0)</f>
        <v>295000</v>
      </c>
      <c r="M131" s="37" t="n">
        <f aca="false">SUMIFS($K$5:$K$274,$B$5:$B$274,$B131,$G$5:$G$274,$G131,$H$5:$H$274,"New Business")</f>
        <v>267000</v>
      </c>
      <c r="N131" s="38" t="n">
        <f aca="false">IFERROR(M131/L131,0)</f>
        <v>0.905084745762712</v>
      </c>
      <c r="O131" s="37" t="n">
        <f aca="false">MIN(M131,L131)</f>
        <v>267000</v>
      </c>
      <c r="P131" s="37" t="n">
        <f aca="false">MAX(MIN(M131,L131*1.25)-L131,0)</f>
        <v>0</v>
      </c>
      <c r="Q131" s="37" t="n">
        <f aca="false">MAX(M131-L131*1.25,0)</f>
        <v>0</v>
      </c>
      <c r="R131" s="36" t="n">
        <f aca="false">O131*'Commission Plan Rules'!$F$6+P131*'Commission Plan Rules'!$F$7+Q131*'Commission Plan Rules'!$F$8</f>
        <v>21360</v>
      </c>
      <c r="S131" s="39" t="n">
        <f aca="false">IF(H131="New Business",IFERROR((K131/M131)*R131,0),IF(H131="Upsell",K131*'Commission Plan Rules'!$F$9,IF(H131="Renewal",K131*'Commission Plan Rules'!$F$10,0)))</f>
        <v>600</v>
      </c>
    </row>
    <row r="132" customFormat="false" ht="15" hidden="false" customHeight="true" outlineLevel="0" collapsed="false">
      <c r="A132" s="27" t="s">
        <v>363</v>
      </c>
      <c r="B132" s="27" t="s">
        <v>95</v>
      </c>
      <c r="C132" s="40" t="str">
        <f aca="false">IFERROR(INDEX('Sales Roster &amp; Quotas'!$C$6:$C$20,MATCH($B132,'Sales Roster &amp; Quotas'!$B$6:$B$20,0)),"")</f>
        <v>Aisha Kim</v>
      </c>
      <c r="D132" s="40" t="str">
        <f aca="false">IFERROR(INDEX('Sales Roster &amp; Quotas'!$D$6:$D$20,MATCH($B132,'Sales Roster &amp; Quotas'!$B$6:$B$20,0)),"")</f>
        <v>Mid-Market</v>
      </c>
      <c r="E132" s="28" t="n">
        <v>46101</v>
      </c>
      <c r="F132" s="41" t="str">
        <f aca="false">TEXT(E132,"yyyy-mm")</f>
        <v>2026-03</v>
      </c>
      <c r="G132" s="41" t="str">
        <f aca="false">IF(MONTH(E132)&lt;=3,"Q1","Q2")</f>
        <v>Q1</v>
      </c>
      <c r="H132" s="27" t="s">
        <v>40</v>
      </c>
      <c r="I132" s="27" t="s">
        <v>364</v>
      </c>
      <c r="J132" s="27" t="s">
        <v>157</v>
      </c>
      <c r="K132" s="29" t="n">
        <v>117500</v>
      </c>
      <c r="L132" s="42" t="n">
        <f aca="false">IFERROR(INDEX('Sales Roster &amp; Quotas'!$G$6:$G$20,MATCH($B132,'Sales Roster &amp; Quotas'!$B$6:$B$20,0)),0)</f>
        <v>287000</v>
      </c>
      <c r="M132" s="43" t="n">
        <f aca="false">SUMIFS($K$5:$K$274,$B$5:$B$274,$B132,$G$5:$G$274,$G132,$H$5:$H$274,"New Business")</f>
        <v>266000</v>
      </c>
      <c r="N132" s="44" t="n">
        <f aca="false">IFERROR(M132/L132,0)</f>
        <v>0.926829268292683</v>
      </c>
      <c r="O132" s="43" t="n">
        <f aca="false">MIN(M132,L132)</f>
        <v>266000</v>
      </c>
      <c r="P132" s="43" t="n">
        <f aca="false">MAX(MIN(M132,L132*1.25)-L132,0)</f>
        <v>0</v>
      </c>
      <c r="Q132" s="43" t="n">
        <f aca="false">MAX(M132-L132*1.25,0)</f>
        <v>0</v>
      </c>
      <c r="R132" s="42" t="n">
        <f aca="false">O132*'Commission Plan Rules'!$F$6+P132*'Commission Plan Rules'!$F$7+Q132*'Commission Plan Rules'!$F$8</f>
        <v>21280</v>
      </c>
      <c r="S132" s="45" t="n">
        <f aca="false">IF(H132="New Business",IFERROR((K132/M132)*R132,0),IF(H132="Upsell",K132*'Commission Plan Rules'!$F$9,IF(H132="Renewal",K132*'Commission Plan Rules'!$F$10,0)))</f>
        <v>9400</v>
      </c>
    </row>
    <row r="133" customFormat="false" ht="15" hidden="false" customHeight="true" outlineLevel="0" collapsed="false">
      <c r="A133" s="24" t="s">
        <v>365</v>
      </c>
      <c r="B133" s="24" t="s">
        <v>67</v>
      </c>
      <c r="C133" s="34" t="str">
        <f aca="false">IFERROR(INDEX('Sales Roster &amp; Quotas'!$C$6:$C$20,MATCH($B133,'Sales Roster &amp; Quotas'!$B$6:$B$20,0)),"")</f>
        <v>Maria Chen</v>
      </c>
      <c r="D133" s="34" t="str">
        <f aca="false">IFERROR(INDEX('Sales Roster &amp; Quotas'!$D$6:$D$20,MATCH($B133,'Sales Roster &amp; Quotas'!$B$6:$B$20,0)),"")</f>
        <v>SMB</v>
      </c>
      <c r="E133" s="25" t="n">
        <v>46102</v>
      </c>
      <c r="F133" s="35" t="str">
        <f aca="false">TEXT(E133,"yyyy-mm")</f>
        <v>2026-03</v>
      </c>
      <c r="G133" s="35" t="str">
        <f aca="false">IF(MONTH(E133)&lt;=3,"Q1","Q2")</f>
        <v>Q1</v>
      </c>
      <c r="H133" s="24" t="s">
        <v>48</v>
      </c>
      <c r="I133" s="24" t="s">
        <v>272</v>
      </c>
      <c r="J133" s="24" t="s">
        <v>137</v>
      </c>
      <c r="K133" s="26" t="n">
        <v>17000</v>
      </c>
      <c r="L133" s="36" t="n">
        <f aca="false">IFERROR(INDEX('Sales Roster &amp; Quotas'!$G$6:$G$20,MATCH($B133,'Sales Roster &amp; Quotas'!$B$6:$B$20,0)),0)</f>
        <v>160000</v>
      </c>
      <c r="M133" s="37" t="n">
        <f aca="false">SUMIFS($K$5:$K$274,$B$5:$B$274,$B133,$G$5:$G$274,$G133,$H$5:$H$274,"New Business")</f>
        <v>142000</v>
      </c>
      <c r="N133" s="38" t="n">
        <f aca="false">IFERROR(M133/L133,0)</f>
        <v>0.8875</v>
      </c>
      <c r="O133" s="37" t="n">
        <f aca="false">MIN(M133,L133)</f>
        <v>142000</v>
      </c>
      <c r="P133" s="37" t="n">
        <f aca="false">MAX(MIN(M133,L133*1.25)-L133,0)</f>
        <v>0</v>
      </c>
      <c r="Q133" s="37" t="n">
        <f aca="false">MAX(M133-L133*1.25,0)</f>
        <v>0</v>
      </c>
      <c r="R133" s="36" t="n">
        <f aca="false">O133*'Commission Plan Rules'!$F$6+P133*'Commission Plan Rules'!$F$7+Q133*'Commission Plan Rules'!$F$8</f>
        <v>11360</v>
      </c>
      <c r="S133" s="39" t="n">
        <f aca="false">IF(H133="New Business",IFERROR((K133/M133)*R133,0),IF(H133="Upsell",K133*'Commission Plan Rules'!$F$9,IF(H133="Renewal",K133*'Commission Plan Rules'!$F$10,0)))</f>
        <v>510</v>
      </c>
    </row>
    <row r="134" customFormat="false" ht="15" hidden="false" customHeight="true" outlineLevel="0" collapsed="false">
      <c r="A134" s="27" t="s">
        <v>366</v>
      </c>
      <c r="B134" s="27" t="s">
        <v>67</v>
      </c>
      <c r="C134" s="40" t="str">
        <f aca="false">IFERROR(INDEX('Sales Roster &amp; Quotas'!$C$6:$C$20,MATCH($B134,'Sales Roster &amp; Quotas'!$B$6:$B$20,0)),"")</f>
        <v>Maria Chen</v>
      </c>
      <c r="D134" s="40" t="str">
        <f aca="false">IFERROR(INDEX('Sales Roster &amp; Quotas'!$D$6:$D$20,MATCH($B134,'Sales Roster &amp; Quotas'!$B$6:$B$20,0)),"")</f>
        <v>SMB</v>
      </c>
      <c r="E134" s="28" t="n">
        <v>46102</v>
      </c>
      <c r="F134" s="41" t="str">
        <f aca="false">TEXT(E134,"yyyy-mm")</f>
        <v>2026-03</v>
      </c>
      <c r="G134" s="41" t="str">
        <f aca="false">IF(MONTH(E134)&lt;=3,"Q1","Q2")</f>
        <v>Q1</v>
      </c>
      <c r="H134" s="27" t="s">
        <v>48</v>
      </c>
      <c r="I134" s="27" t="s">
        <v>309</v>
      </c>
      <c r="J134" s="27" t="s">
        <v>137</v>
      </c>
      <c r="K134" s="29" t="n">
        <v>8500</v>
      </c>
      <c r="L134" s="42" t="n">
        <f aca="false">IFERROR(INDEX('Sales Roster &amp; Quotas'!$G$6:$G$20,MATCH($B134,'Sales Roster &amp; Quotas'!$B$6:$B$20,0)),0)</f>
        <v>160000</v>
      </c>
      <c r="M134" s="43" t="n">
        <f aca="false">SUMIFS($K$5:$K$274,$B$5:$B$274,$B134,$G$5:$G$274,$G134,$H$5:$H$274,"New Business")</f>
        <v>142000</v>
      </c>
      <c r="N134" s="44" t="n">
        <f aca="false">IFERROR(M134/L134,0)</f>
        <v>0.8875</v>
      </c>
      <c r="O134" s="43" t="n">
        <f aca="false">MIN(M134,L134)</f>
        <v>142000</v>
      </c>
      <c r="P134" s="43" t="n">
        <f aca="false">MAX(MIN(M134,L134*1.25)-L134,0)</f>
        <v>0</v>
      </c>
      <c r="Q134" s="43" t="n">
        <f aca="false">MAX(M134-L134*1.25,0)</f>
        <v>0</v>
      </c>
      <c r="R134" s="42" t="n">
        <f aca="false">O134*'Commission Plan Rules'!$F$6+P134*'Commission Plan Rules'!$F$7+Q134*'Commission Plan Rules'!$F$8</f>
        <v>11360</v>
      </c>
      <c r="S134" s="45" t="n">
        <f aca="false">IF(H134="New Business",IFERROR((K134/M134)*R134,0),IF(H134="Upsell",K134*'Commission Plan Rules'!$F$9,IF(H134="Renewal",K134*'Commission Plan Rules'!$F$10,0)))</f>
        <v>255</v>
      </c>
    </row>
    <row r="135" customFormat="false" ht="15" hidden="false" customHeight="true" outlineLevel="0" collapsed="false">
      <c r="A135" s="24" t="s">
        <v>367</v>
      </c>
      <c r="B135" s="24" t="s">
        <v>92</v>
      </c>
      <c r="C135" s="34" t="str">
        <f aca="false">IFERROR(INDEX('Sales Roster &amp; Quotas'!$C$6:$C$20,MATCH($B135,'Sales Roster &amp; Quotas'!$B$6:$B$20,0)),"")</f>
        <v>Tyler Alvarez</v>
      </c>
      <c r="D135" s="34" t="str">
        <f aca="false">IFERROR(INDEX('Sales Roster &amp; Quotas'!$D$6:$D$20,MATCH($B135,'Sales Roster &amp; Quotas'!$B$6:$B$20,0)),"")</f>
        <v>Mid-Market</v>
      </c>
      <c r="E135" s="25" t="n">
        <v>46103</v>
      </c>
      <c r="F135" s="35" t="str">
        <f aca="false">TEXT(E135,"yyyy-mm")</f>
        <v>2026-03</v>
      </c>
      <c r="G135" s="35" t="str">
        <f aca="false">IF(MONTH(E135)&lt;=3,"Q1","Q2")</f>
        <v>Q1</v>
      </c>
      <c r="H135" s="24" t="s">
        <v>40</v>
      </c>
      <c r="I135" s="24" t="s">
        <v>237</v>
      </c>
      <c r="J135" s="24" t="s">
        <v>137</v>
      </c>
      <c r="K135" s="26" t="n">
        <v>50000</v>
      </c>
      <c r="L135" s="36" t="n">
        <f aca="false">IFERROR(INDEX('Sales Roster &amp; Quotas'!$G$6:$G$20,MATCH($B135,'Sales Roster &amp; Quotas'!$B$6:$B$20,0)),0)</f>
        <v>275000</v>
      </c>
      <c r="M135" s="37" t="n">
        <f aca="false">SUMIFS($K$5:$K$274,$B$5:$B$274,$B135,$G$5:$G$274,$G135,$H$5:$H$274,"New Business")</f>
        <v>260500</v>
      </c>
      <c r="N135" s="38" t="n">
        <f aca="false">IFERROR(M135/L135,0)</f>
        <v>0.947272727272727</v>
      </c>
      <c r="O135" s="37" t="n">
        <f aca="false">MIN(M135,L135)</f>
        <v>260500</v>
      </c>
      <c r="P135" s="37" t="n">
        <f aca="false">MAX(MIN(M135,L135*1.25)-L135,0)</f>
        <v>0</v>
      </c>
      <c r="Q135" s="37" t="n">
        <f aca="false">MAX(M135-L135*1.25,0)</f>
        <v>0</v>
      </c>
      <c r="R135" s="36" t="n">
        <f aca="false">O135*'Commission Plan Rules'!$F$6+P135*'Commission Plan Rules'!$F$7+Q135*'Commission Plan Rules'!$F$8</f>
        <v>20840</v>
      </c>
      <c r="S135" s="39" t="n">
        <f aca="false">IF(H135="New Business",IFERROR((K135/M135)*R135,0),IF(H135="Upsell",K135*'Commission Plan Rules'!$F$9,IF(H135="Renewal",K135*'Commission Plan Rules'!$F$10,0)))</f>
        <v>4000</v>
      </c>
    </row>
    <row r="136" customFormat="false" ht="15" hidden="false" customHeight="true" outlineLevel="0" collapsed="false">
      <c r="A136" s="27" t="s">
        <v>368</v>
      </c>
      <c r="B136" s="27" t="s">
        <v>101</v>
      </c>
      <c r="C136" s="40" t="str">
        <f aca="false">IFERROR(INDEX('Sales Roster &amp; Quotas'!$C$6:$C$20,MATCH($B136,'Sales Roster &amp; Quotas'!$B$6:$B$20,0)),"")</f>
        <v>Natalie Reyes</v>
      </c>
      <c r="D136" s="40" t="str">
        <f aca="false">IFERROR(INDEX('Sales Roster &amp; Quotas'!$D$6:$D$20,MATCH($B136,'Sales Roster &amp; Quotas'!$B$6:$B$20,0)),"")</f>
        <v>Mid-Market</v>
      </c>
      <c r="E136" s="28" t="n">
        <v>46103</v>
      </c>
      <c r="F136" s="41" t="str">
        <f aca="false">TEXT(E136,"yyyy-mm")</f>
        <v>2026-03</v>
      </c>
      <c r="G136" s="41" t="str">
        <f aca="false">IF(MONTH(E136)&lt;=3,"Q1","Q2")</f>
        <v>Q1</v>
      </c>
      <c r="H136" s="27" t="s">
        <v>48</v>
      </c>
      <c r="I136" s="27" t="s">
        <v>171</v>
      </c>
      <c r="J136" s="27" t="s">
        <v>157</v>
      </c>
      <c r="K136" s="29" t="n">
        <v>2000</v>
      </c>
      <c r="L136" s="42" t="n">
        <f aca="false">IFERROR(INDEX('Sales Roster &amp; Quotas'!$G$6:$G$20,MATCH($B136,'Sales Roster &amp; Quotas'!$B$6:$B$20,0)),0)</f>
        <v>295000</v>
      </c>
      <c r="M136" s="43" t="n">
        <f aca="false">SUMIFS($K$5:$K$274,$B$5:$B$274,$B136,$G$5:$G$274,$G136,$H$5:$H$274,"New Business")</f>
        <v>267000</v>
      </c>
      <c r="N136" s="44" t="n">
        <f aca="false">IFERROR(M136/L136,0)</f>
        <v>0.905084745762712</v>
      </c>
      <c r="O136" s="43" t="n">
        <f aca="false">MIN(M136,L136)</f>
        <v>267000</v>
      </c>
      <c r="P136" s="43" t="n">
        <f aca="false">MAX(MIN(M136,L136*1.25)-L136,0)</f>
        <v>0</v>
      </c>
      <c r="Q136" s="43" t="n">
        <f aca="false">MAX(M136-L136*1.25,0)</f>
        <v>0</v>
      </c>
      <c r="R136" s="42" t="n">
        <f aca="false">O136*'Commission Plan Rules'!$F$6+P136*'Commission Plan Rules'!$F$7+Q136*'Commission Plan Rules'!$F$8</f>
        <v>21360</v>
      </c>
      <c r="S136" s="45" t="n">
        <f aca="false">IF(H136="New Business",IFERROR((K136/M136)*R136,0),IF(H136="Upsell",K136*'Commission Plan Rules'!$F$9,IF(H136="Renewal",K136*'Commission Plan Rules'!$F$10,0)))</f>
        <v>60</v>
      </c>
    </row>
    <row r="137" customFormat="false" ht="15" hidden="false" customHeight="true" outlineLevel="0" collapsed="false">
      <c r="A137" s="24" t="s">
        <v>369</v>
      </c>
      <c r="B137" s="24" t="s">
        <v>72</v>
      </c>
      <c r="C137" s="34" t="str">
        <f aca="false">IFERROR(INDEX('Sales Roster &amp; Quotas'!$C$6:$C$20,MATCH($B137,'Sales Roster &amp; Quotas'!$B$6:$B$20,0)),"")</f>
        <v>James Okafor</v>
      </c>
      <c r="D137" s="34" t="str">
        <f aca="false">IFERROR(INDEX('Sales Roster &amp; Quotas'!$D$6:$D$20,MATCH($B137,'Sales Roster &amp; Quotas'!$B$6:$B$20,0)),"")</f>
        <v>SMB</v>
      </c>
      <c r="E137" s="25" t="n">
        <v>46103</v>
      </c>
      <c r="F137" s="35" t="str">
        <f aca="false">TEXT(E137,"yyyy-mm")</f>
        <v>2026-03</v>
      </c>
      <c r="G137" s="35" t="str">
        <f aca="false">IF(MONTH(E137)&lt;=3,"Q1","Q2")</f>
        <v>Q1</v>
      </c>
      <c r="H137" s="24" t="s">
        <v>40</v>
      </c>
      <c r="I137" s="24" t="s">
        <v>370</v>
      </c>
      <c r="J137" s="24" t="s">
        <v>152</v>
      </c>
      <c r="K137" s="26" t="n">
        <v>31500</v>
      </c>
      <c r="L137" s="36" t="n">
        <f aca="false">IFERROR(INDEX('Sales Roster &amp; Quotas'!$G$6:$G$20,MATCH($B137,'Sales Roster &amp; Quotas'!$B$6:$B$20,0)),0)</f>
        <v>135000</v>
      </c>
      <c r="M137" s="37" t="n">
        <f aca="false">SUMIFS($K$5:$K$274,$B$5:$B$274,$B137,$G$5:$G$274,$G137,$H$5:$H$274,"New Business")</f>
        <v>170500</v>
      </c>
      <c r="N137" s="38" t="n">
        <f aca="false">IFERROR(M137/L137,0)</f>
        <v>1.26296296296296</v>
      </c>
      <c r="O137" s="37" t="n">
        <f aca="false">MIN(M137,L137)</f>
        <v>135000</v>
      </c>
      <c r="P137" s="37" t="n">
        <f aca="false">MAX(MIN(M137,L137*1.25)-L137,0)</f>
        <v>33750</v>
      </c>
      <c r="Q137" s="37" t="n">
        <f aca="false">MAX(M137-L137*1.25,0)</f>
        <v>1750</v>
      </c>
      <c r="R137" s="36" t="n">
        <f aca="false">O137*'Commission Plan Rules'!$F$6+P137*'Commission Plan Rules'!$F$7+Q137*'Commission Plan Rules'!$F$8</f>
        <v>14385</v>
      </c>
      <c r="S137" s="39" t="n">
        <f aca="false">IF(H137="New Business",IFERROR((K137/M137)*R137,0),IF(H137="Upsell",K137*'Commission Plan Rules'!$F$9,IF(H137="Renewal",K137*'Commission Plan Rules'!$F$10,0)))</f>
        <v>2657.63929618768</v>
      </c>
    </row>
    <row r="138" customFormat="false" ht="15" hidden="false" customHeight="true" outlineLevel="0" collapsed="false">
      <c r="A138" s="27" t="s">
        <v>371</v>
      </c>
      <c r="B138" s="27" t="s">
        <v>97</v>
      </c>
      <c r="C138" s="40" t="str">
        <f aca="false">IFERROR(INDEX('Sales Roster &amp; Quotas'!$C$6:$C$20,MATCH($B138,'Sales Roster &amp; Quotas'!$B$6:$B$20,0)),"")</f>
        <v>Ryan Sullivan</v>
      </c>
      <c r="D138" s="40" t="str">
        <f aca="false">IFERROR(INDEX('Sales Roster &amp; Quotas'!$D$6:$D$20,MATCH($B138,'Sales Roster &amp; Quotas'!$B$6:$B$20,0)),"")</f>
        <v>Mid-Market</v>
      </c>
      <c r="E138" s="28" t="n">
        <v>46103</v>
      </c>
      <c r="F138" s="41" t="str">
        <f aca="false">TEXT(E138,"yyyy-mm")</f>
        <v>2026-03</v>
      </c>
      <c r="G138" s="41" t="str">
        <f aca="false">IF(MONTH(E138)&lt;=3,"Q1","Q2")</f>
        <v>Q1</v>
      </c>
      <c r="H138" s="27" t="s">
        <v>40</v>
      </c>
      <c r="I138" s="27" t="s">
        <v>372</v>
      </c>
      <c r="J138" s="27" t="s">
        <v>137</v>
      </c>
      <c r="K138" s="29" t="n">
        <v>10500</v>
      </c>
      <c r="L138" s="42" t="n">
        <f aca="false">IFERROR(INDEX('Sales Roster &amp; Quotas'!$G$6:$G$20,MATCH($B138,'Sales Roster &amp; Quotas'!$B$6:$B$20,0)),0)</f>
        <v>273000</v>
      </c>
      <c r="M138" s="43" t="n">
        <f aca="false">SUMIFS($K$5:$K$274,$B$5:$B$274,$B138,$G$5:$G$274,$G138,$H$5:$H$274,"New Business")</f>
        <v>271000</v>
      </c>
      <c r="N138" s="44" t="n">
        <f aca="false">IFERROR(M138/L138,0)</f>
        <v>0.992673992673993</v>
      </c>
      <c r="O138" s="43" t="n">
        <f aca="false">MIN(M138,L138)</f>
        <v>271000</v>
      </c>
      <c r="P138" s="43" t="n">
        <f aca="false">MAX(MIN(M138,L138*1.25)-L138,0)</f>
        <v>0</v>
      </c>
      <c r="Q138" s="43" t="n">
        <f aca="false">MAX(M138-L138*1.25,0)</f>
        <v>0</v>
      </c>
      <c r="R138" s="42" t="n">
        <f aca="false">O138*'Commission Plan Rules'!$F$6+P138*'Commission Plan Rules'!$F$7+Q138*'Commission Plan Rules'!$F$8</f>
        <v>21680</v>
      </c>
      <c r="S138" s="45" t="n">
        <f aca="false">IF(H138="New Business",IFERROR((K138/M138)*R138,0),IF(H138="Upsell",K138*'Commission Plan Rules'!$F$9,IF(H138="Renewal",K138*'Commission Plan Rules'!$F$10,0)))</f>
        <v>840</v>
      </c>
    </row>
    <row r="139" customFormat="false" ht="15" hidden="false" customHeight="true" outlineLevel="0" collapsed="false">
      <c r="A139" s="24" t="s">
        <v>373</v>
      </c>
      <c r="B139" s="24" t="s">
        <v>75</v>
      </c>
      <c r="C139" s="34" t="str">
        <f aca="false">IFERROR(INDEX('Sales Roster &amp; Quotas'!$C$6:$C$20,MATCH($B139,'Sales Roster &amp; Quotas'!$B$6:$B$20,0)),"")</f>
        <v>Priya Patel</v>
      </c>
      <c r="D139" s="34" t="str">
        <f aca="false">IFERROR(INDEX('Sales Roster &amp; Quotas'!$D$6:$D$20,MATCH($B139,'Sales Roster &amp; Quotas'!$B$6:$B$20,0)),"")</f>
        <v>SMB</v>
      </c>
      <c r="E139" s="25" t="n">
        <v>46104</v>
      </c>
      <c r="F139" s="35" t="str">
        <f aca="false">TEXT(E139,"yyyy-mm")</f>
        <v>2026-03</v>
      </c>
      <c r="G139" s="35" t="str">
        <f aca="false">IF(MONTH(E139)&lt;=3,"Q1","Q2")</f>
        <v>Q1</v>
      </c>
      <c r="H139" s="24" t="s">
        <v>48</v>
      </c>
      <c r="I139" s="24" t="s">
        <v>374</v>
      </c>
      <c r="J139" s="24" t="s">
        <v>137</v>
      </c>
      <c r="K139" s="26" t="n">
        <v>52500</v>
      </c>
      <c r="L139" s="36" t="n">
        <f aca="false">IFERROR(INDEX('Sales Roster &amp; Quotas'!$G$6:$G$20,MATCH($B139,'Sales Roster &amp; Quotas'!$B$6:$B$20,0)),0)</f>
        <v>137000</v>
      </c>
      <c r="M139" s="37" t="n">
        <f aca="false">SUMIFS($K$5:$K$274,$B$5:$B$274,$B139,$G$5:$G$274,$G139,$H$5:$H$274,"New Business")</f>
        <v>118500</v>
      </c>
      <c r="N139" s="38" t="n">
        <f aca="false">IFERROR(M139/L139,0)</f>
        <v>0.864963503649635</v>
      </c>
      <c r="O139" s="37" t="n">
        <f aca="false">MIN(M139,L139)</f>
        <v>118500</v>
      </c>
      <c r="P139" s="37" t="n">
        <f aca="false">MAX(MIN(M139,L139*1.25)-L139,0)</f>
        <v>0</v>
      </c>
      <c r="Q139" s="37" t="n">
        <f aca="false">MAX(M139-L139*1.25,0)</f>
        <v>0</v>
      </c>
      <c r="R139" s="36" t="n">
        <f aca="false">O139*'Commission Plan Rules'!$F$6+P139*'Commission Plan Rules'!$F$7+Q139*'Commission Plan Rules'!$F$8</f>
        <v>9480</v>
      </c>
      <c r="S139" s="39" t="n">
        <f aca="false">IF(H139="New Business",IFERROR((K139/M139)*R139,0),IF(H139="Upsell",K139*'Commission Plan Rules'!$F$9,IF(H139="Renewal",K139*'Commission Plan Rules'!$F$10,0)))</f>
        <v>1575</v>
      </c>
    </row>
    <row r="140" customFormat="false" ht="15" hidden="false" customHeight="true" outlineLevel="0" collapsed="false">
      <c r="A140" s="27" t="s">
        <v>375</v>
      </c>
      <c r="B140" s="27" t="s">
        <v>107</v>
      </c>
      <c r="C140" s="40" t="str">
        <f aca="false">IFERROR(INDEX('Sales Roster &amp; Quotas'!$C$6:$C$20,MATCH($B140,'Sales Roster &amp; Quotas'!$B$6:$B$20,0)),"")</f>
        <v>Grace Adeyemi</v>
      </c>
      <c r="D140" s="40" t="str">
        <f aca="false">IFERROR(INDEX('Sales Roster &amp; Quotas'!$D$6:$D$20,MATCH($B140,'Sales Roster &amp; Quotas'!$B$6:$B$20,0)),"")</f>
        <v>Enterprise</v>
      </c>
      <c r="E140" s="28" t="n">
        <v>46104</v>
      </c>
      <c r="F140" s="41" t="str">
        <f aca="false">TEXT(E140,"yyyy-mm")</f>
        <v>2026-03</v>
      </c>
      <c r="G140" s="41" t="str">
        <f aca="false">IF(MONTH(E140)&lt;=3,"Q1","Q2")</f>
        <v>Q1</v>
      </c>
      <c r="H140" s="27" t="s">
        <v>48</v>
      </c>
      <c r="I140" s="27" t="s">
        <v>376</v>
      </c>
      <c r="J140" s="27" t="s">
        <v>137</v>
      </c>
      <c r="K140" s="29" t="n">
        <v>151500</v>
      </c>
      <c r="L140" s="42" t="n">
        <f aca="false">IFERROR(INDEX('Sales Roster &amp; Quotas'!$G$6:$G$20,MATCH($B140,'Sales Roster &amp; Quotas'!$B$6:$B$20,0)),0)</f>
        <v>626000</v>
      </c>
      <c r="M140" s="43" t="n">
        <f aca="false">SUMIFS($K$5:$K$274,$B$5:$B$274,$B140,$G$5:$G$274,$G140,$H$5:$H$274,"New Business")</f>
        <v>403500</v>
      </c>
      <c r="N140" s="44" t="n">
        <f aca="false">IFERROR(M140/L140,0)</f>
        <v>0.644568690095847</v>
      </c>
      <c r="O140" s="43" t="n">
        <f aca="false">MIN(M140,L140)</f>
        <v>403500</v>
      </c>
      <c r="P140" s="43" t="n">
        <f aca="false">MAX(MIN(M140,L140*1.25)-L140,0)</f>
        <v>0</v>
      </c>
      <c r="Q140" s="43" t="n">
        <f aca="false">MAX(M140-L140*1.25,0)</f>
        <v>0</v>
      </c>
      <c r="R140" s="42" t="n">
        <f aca="false">O140*'Commission Plan Rules'!$F$6+P140*'Commission Plan Rules'!$F$7+Q140*'Commission Plan Rules'!$F$8</f>
        <v>32280</v>
      </c>
      <c r="S140" s="45" t="n">
        <f aca="false">IF(H140="New Business",IFERROR((K140/M140)*R140,0),IF(H140="Upsell",K140*'Commission Plan Rules'!$F$9,IF(H140="Renewal",K140*'Commission Plan Rules'!$F$10,0)))</f>
        <v>4545</v>
      </c>
    </row>
    <row r="141" customFormat="false" ht="15" hidden="false" customHeight="true" outlineLevel="0" collapsed="false">
      <c r="A141" s="24" t="s">
        <v>377</v>
      </c>
      <c r="B141" s="24" t="s">
        <v>111</v>
      </c>
      <c r="C141" s="34" t="str">
        <f aca="false">IFERROR(INDEX('Sales Roster &amp; Quotas'!$C$6:$C$20,MATCH($B141,'Sales Roster &amp; Quotas'!$B$6:$B$20,0)),"")</f>
        <v>Kevin Novak</v>
      </c>
      <c r="D141" s="34" t="str">
        <f aca="false">IFERROR(INDEX('Sales Roster &amp; Quotas'!$D$6:$D$20,MATCH($B141,'Sales Roster &amp; Quotas'!$B$6:$B$20,0)),"")</f>
        <v>Enterprise</v>
      </c>
      <c r="E141" s="25" t="n">
        <v>46104</v>
      </c>
      <c r="F141" s="35" t="str">
        <f aca="false">TEXT(E141,"yyyy-mm")</f>
        <v>2026-03</v>
      </c>
      <c r="G141" s="35" t="str">
        <f aca="false">IF(MONTH(E141)&lt;=3,"Q1","Q2")</f>
        <v>Q1</v>
      </c>
      <c r="H141" s="24" t="s">
        <v>40</v>
      </c>
      <c r="I141" s="24" t="s">
        <v>378</v>
      </c>
      <c r="J141" s="24" t="s">
        <v>137</v>
      </c>
      <c r="K141" s="26" t="n">
        <v>100500</v>
      </c>
      <c r="L141" s="36" t="n">
        <f aca="false">IFERROR(INDEX('Sales Roster &amp; Quotas'!$G$6:$G$20,MATCH($B141,'Sales Roster &amp; Quotas'!$B$6:$B$20,0)),0)</f>
        <v>641000</v>
      </c>
      <c r="M141" s="37" t="n">
        <f aca="false">SUMIFS($K$5:$K$274,$B$5:$B$274,$B141,$G$5:$G$274,$G141,$H$5:$H$274,"New Business")</f>
        <v>504500</v>
      </c>
      <c r="N141" s="38" t="n">
        <f aca="false">IFERROR(M141/L141,0)</f>
        <v>0.787051482059282</v>
      </c>
      <c r="O141" s="37" t="n">
        <f aca="false">MIN(M141,L141)</f>
        <v>504500</v>
      </c>
      <c r="P141" s="37" t="n">
        <f aca="false">MAX(MIN(M141,L141*1.25)-L141,0)</f>
        <v>0</v>
      </c>
      <c r="Q141" s="37" t="n">
        <f aca="false">MAX(M141-L141*1.25,0)</f>
        <v>0</v>
      </c>
      <c r="R141" s="36" t="n">
        <f aca="false">O141*'Commission Plan Rules'!$F$6+P141*'Commission Plan Rules'!$F$7+Q141*'Commission Plan Rules'!$F$8</f>
        <v>40360</v>
      </c>
      <c r="S141" s="39" t="n">
        <f aca="false">IF(H141="New Business",IFERROR((K141/M141)*R141,0),IF(H141="Upsell",K141*'Commission Plan Rules'!$F$9,IF(H141="Renewal",K141*'Commission Plan Rules'!$F$10,0)))</f>
        <v>8040</v>
      </c>
    </row>
    <row r="142" customFormat="false" ht="15" hidden="false" customHeight="true" outlineLevel="0" collapsed="false">
      <c r="A142" s="27" t="s">
        <v>379</v>
      </c>
      <c r="B142" s="27" t="s">
        <v>75</v>
      </c>
      <c r="C142" s="40" t="str">
        <f aca="false">IFERROR(INDEX('Sales Roster &amp; Quotas'!$C$6:$C$20,MATCH($B142,'Sales Roster &amp; Quotas'!$B$6:$B$20,0)),"")</f>
        <v>Priya Patel</v>
      </c>
      <c r="D142" s="40" t="str">
        <f aca="false">IFERROR(INDEX('Sales Roster &amp; Quotas'!$D$6:$D$20,MATCH($B142,'Sales Roster &amp; Quotas'!$B$6:$B$20,0)),"")</f>
        <v>SMB</v>
      </c>
      <c r="E142" s="28" t="n">
        <v>46105</v>
      </c>
      <c r="F142" s="41" t="str">
        <f aca="false">TEXT(E142,"yyyy-mm")</f>
        <v>2026-03</v>
      </c>
      <c r="G142" s="41" t="str">
        <f aca="false">IF(MONTH(E142)&lt;=3,"Q1","Q2")</f>
        <v>Q1</v>
      </c>
      <c r="H142" s="27" t="s">
        <v>40</v>
      </c>
      <c r="I142" s="27" t="s">
        <v>380</v>
      </c>
      <c r="J142" s="27" t="s">
        <v>152</v>
      </c>
      <c r="K142" s="29" t="n">
        <v>30000</v>
      </c>
      <c r="L142" s="42" t="n">
        <f aca="false">IFERROR(INDEX('Sales Roster &amp; Quotas'!$G$6:$G$20,MATCH($B142,'Sales Roster &amp; Quotas'!$B$6:$B$20,0)),0)</f>
        <v>137000</v>
      </c>
      <c r="M142" s="43" t="n">
        <f aca="false">SUMIFS($K$5:$K$274,$B$5:$B$274,$B142,$G$5:$G$274,$G142,$H$5:$H$274,"New Business")</f>
        <v>118500</v>
      </c>
      <c r="N142" s="44" t="n">
        <f aca="false">IFERROR(M142/L142,0)</f>
        <v>0.864963503649635</v>
      </c>
      <c r="O142" s="43" t="n">
        <f aca="false">MIN(M142,L142)</f>
        <v>118500</v>
      </c>
      <c r="P142" s="43" t="n">
        <f aca="false">MAX(MIN(M142,L142*1.25)-L142,0)</f>
        <v>0</v>
      </c>
      <c r="Q142" s="43" t="n">
        <f aca="false">MAX(M142-L142*1.25,0)</f>
        <v>0</v>
      </c>
      <c r="R142" s="42" t="n">
        <f aca="false">O142*'Commission Plan Rules'!$F$6+P142*'Commission Plan Rules'!$F$7+Q142*'Commission Plan Rules'!$F$8</f>
        <v>9480</v>
      </c>
      <c r="S142" s="45" t="n">
        <f aca="false">IF(H142="New Business",IFERROR((K142/M142)*R142,0),IF(H142="Upsell",K142*'Commission Plan Rules'!$F$9,IF(H142="Renewal",K142*'Commission Plan Rules'!$F$10,0)))</f>
        <v>2400</v>
      </c>
    </row>
    <row r="143" customFormat="false" ht="15" hidden="false" customHeight="true" outlineLevel="0" collapsed="false">
      <c r="A143" s="24" t="s">
        <v>381</v>
      </c>
      <c r="B143" s="24" t="s">
        <v>75</v>
      </c>
      <c r="C143" s="34" t="str">
        <f aca="false">IFERROR(INDEX('Sales Roster &amp; Quotas'!$C$6:$C$20,MATCH($B143,'Sales Roster &amp; Quotas'!$B$6:$B$20,0)),"")</f>
        <v>Priya Patel</v>
      </c>
      <c r="D143" s="34" t="str">
        <f aca="false">IFERROR(INDEX('Sales Roster &amp; Quotas'!$D$6:$D$20,MATCH($B143,'Sales Roster &amp; Quotas'!$B$6:$B$20,0)),"")</f>
        <v>SMB</v>
      </c>
      <c r="E143" s="25" t="n">
        <v>46105</v>
      </c>
      <c r="F143" s="35" t="str">
        <f aca="false">TEXT(E143,"yyyy-mm")</f>
        <v>2026-03</v>
      </c>
      <c r="G143" s="35" t="str">
        <f aca="false">IF(MONTH(E143)&lt;=3,"Q1","Q2")</f>
        <v>Q1</v>
      </c>
      <c r="H143" s="24" t="s">
        <v>45</v>
      </c>
      <c r="I143" s="24" t="s">
        <v>306</v>
      </c>
      <c r="J143" s="24" t="s">
        <v>137</v>
      </c>
      <c r="K143" s="26" t="n">
        <v>10500</v>
      </c>
      <c r="L143" s="36" t="n">
        <f aca="false">IFERROR(INDEX('Sales Roster &amp; Quotas'!$G$6:$G$20,MATCH($B143,'Sales Roster &amp; Quotas'!$B$6:$B$20,0)),0)</f>
        <v>137000</v>
      </c>
      <c r="M143" s="37" t="n">
        <f aca="false">SUMIFS($K$5:$K$274,$B$5:$B$274,$B143,$G$5:$G$274,$G143,$H$5:$H$274,"New Business")</f>
        <v>118500</v>
      </c>
      <c r="N143" s="38" t="n">
        <f aca="false">IFERROR(M143/L143,0)</f>
        <v>0.864963503649635</v>
      </c>
      <c r="O143" s="37" t="n">
        <f aca="false">MIN(M143,L143)</f>
        <v>118500</v>
      </c>
      <c r="P143" s="37" t="n">
        <f aca="false">MAX(MIN(M143,L143*1.25)-L143,0)</f>
        <v>0</v>
      </c>
      <c r="Q143" s="37" t="n">
        <f aca="false">MAX(M143-L143*1.25,0)</f>
        <v>0</v>
      </c>
      <c r="R143" s="36" t="n">
        <f aca="false">O143*'Commission Plan Rules'!$F$6+P143*'Commission Plan Rules'!$F$7+Q143*'Commission Plan Rules'!$F$8</f>
        <v>9480</v>
      </c>
      <c r="S143" s="39" t="n">
        <f aca="false">IF(H143="New Business",IFERROR((K143/M143)*R143,0),IF(H143="Upsell",K143*'Commission Plan Rules'!$F$9,IF(H143="Renewal",K143*'Commission Plan Rules'!$F$10,0)))</f>
        <v>630</v>
      </c>
    </row>
    <row r="144" customFormat="false" ht="15" hidden="false" customHeight="true" outlineLevel="0" collapsed="false">
      <c r="A144" s="27" t="s">
        <v>382</v>
      </c>
      <c r="B144" s="27" t="s">
        <v>75</v>
      </c>
      <c r="C144" s="40" t="str">
        <f aca="false">IFERROR(INDEX('Sales Roster &amp; Quotas'!$C$6:$C$20,MATCH($B144,'Sales Roster &amp; Quotas'!$B$6:$B$20,0)),"")</f>
        <v>Priya Patel</v>
      </c>
      <c r="D144" s="40" t="str">
        <f aca="false">IFERROR(INDEX('Sales Roster &amp; Quotas'!$D$6:$D$20,MATCH($B144,'Sales Roster &amp; Quotas'!$B$6:$B$20,0)),"")</f>
        <v>SMB</v>
      </c>
      <c r="E144" s="28" t="n">
        <v>46105</v>
      </c>
      <c r="F144" s="41" t="str">
        <f aca="false">TEXT(E144,"yyyy-mm")</f>
        <v>2026-03</v>
      </c>
      <c r="G144" s="41" t="str">
        <f aca="false">IF(MONTH(E144)&lt;=3,"Q1","Q2")</f>
        <v>Q1</v>
      </c>
      <c r="H144" s="27" t="s">
        <v>48</v>
      </c>
      <c r="I144" s="27" t="s">
        <v>205</v>
      </c>
      <c r="J144" s="27" t="s">
        <v>137</v>
      </c>
      <c r="K144" s="29" t="n">
        <v>1500</v>
      </c>
      <c r="L144" s="42" t="n">
        <f aca="false">IFERROR(INDEX('Sales Roster &amp; Quotas'!$G$6:$G$20,MATCH($B144,'Sales Roster &amp; Quotas'!$B$6:$B$20,0)),0)</f>
        <v>137000</v>
      </c>
      <c r="M144" s="43" t="n">
        <f aca="false">SUMIFS($K$5:$K$274,$B$5:$B$274,$B144,$G$5:$G$274,$G144,$H$5:$H$274,"New Business")</f>
        <v>118500</v>
      </c>
      <c r="N144" s="44" t="n">
        <f aca="false">IFERROR(M144/L144,0)</f>
        <v>0.864963503649635</v>
      </c>
      <c r="O144" s="43" t="n">
        <f aca="false">MIN(M144,L144)</f>
        <v>118500</v>
      </c>
      <c r="P144" s="43" t="n">
        <f aca="false">MAX(MIN(M144,L144*1.25)-L144,0)</f>
        <v>0</v>
      </c>
      <c r="Q144" s="43" t="n">
        <f aca="false">MAX(M144-L144*1.25,0)</f>
        <v>0</v>
      </c>
      <c r="R144" s="42" t="n">
        <f aca="false">O144*'Commission Plan Rules'!$F$6+P144*'Commission Plan Rules'!$F$7+Q144*'Commission Plan Rules'!$F$8</f>
        <v>9480</v>
      </c>
      <c r="S144" s="45" t="n">
        <f aca="false">IF(H144="New Business",IFERROR((K144/M144)*R144,0),IF(H144="Upsell",K144*'Commission Plan Rules'!$F$9,IF(H144="Renewal",K144*'Commission Plan Rules'!$F$10,0)))</f>
        <v>45</v>
      </c>
    </row>
    <row r="145" customFormat="false" ht="15" hidden="false" customHeight="true" outlineLevel="0" collapsed="false">
      <c r="A145" s="24" t="s">
        <v>383</v>
      </c>
      <c r="B145" s="24" t="s">
        <v>88</v>
      </c>
      <c r="C145" s="34" t="str">
        <f aca="false">IFERROR(INDEX('Sales Roster &amp; Quotas'!$C$6:$C$20,MATCH($B145,'Sales Roster &amp; Quotas'!$B$6:$B$20,0)),"")</f>
        <v>Elena Kowalski</v>
      </c>
      <c r="D145" s="34" t="str">
        <f aca="false">IFERROR(INDEX('Sales Roster &amp; Quotas'!$D$6:$D$20,MATCH($B145,'Sales Roster &amp; Quotas'!$B$6:$B$20,0)),"")</f>
        <v>Mid-Market</v>
      </c>
      <c r="E145" s="25" t="n">
        <v>46106</v>
      </c>
      <c r="F145" s="35" t="str">
        <f aca="false">TEXT(E145,"yyyy-mm")</f>
        <v>2026-03</v>
      </c>
      <c r="G145" s="35" t="str">
        <f aca="false">IF(MONTH(E145)&lt;=3,"Q1","Q2")</f>
        <v>Q1</v>
      </c>
      <c r="H145" s="24" t="s">
        <v>48</v>
      </c>
      <c r="I145" s="24" t="s">
        <v>177</v>
      </c>
      <c r="J145" s="24" t="s">
        <v>152</v>
      </c>
      <c r="K145" s="26" t="n">
        <v>14000</v>
      </c>
      <c r="L145" s="36" t="n">
        <f aca="false">IFERROR(INDEX('Sales Roster &amp; Quotas'!$G$6:$G$20,MATCH($B145,'Sales Roster &amp; Quotas'!$B$6:$B$20,0)),0)</f>
        <v>320000</v>
      </c>
      <c r="M145" s="37" t="n">
        <f aca="false">SUMIFS($K$5:$K$274,$B$5:$B$274,$B145,$G$5:$G$274,$G145,$H$5:$H$274,"New Business")</f>
        <v>259000</v>
      </c>
      <c r="N145" s="38" t="n">
        <f aca="false">IFERROR(M145/L145,0)</f>
        <v>0.809375</v>
      </c>
      <c r="O145" s="37" t="n">
        <f aca="false">MIN(M145,L145)</f>
        <v>259000</v>
      </c>
      <c r="P145" s="37" t="n">
        <f aca="false">MAX(MIN(M145,L145*1.25)-L145,0)</f>
        <v>0</v>
      </c>
      <c r="Q145" s="37" t="n">
        <f aca="false">MAX(M145-L145*1.25,0)</f>
        <v>0</v>
      </c>
      <c r="R145" s="36" t="n">
        <f aca="false">O145*'Commission Plan Rules'!$F$6+P145*'Commission Plan Rules'!$F$7+Q145*'Commission Plan Rules'!$F$8</f>
        <v>20720</v>
      </c>
      <c r="S145" s="39" t="n">
        <f aca="false">IF(H145="New Business",IFERROR((K145/M145)*R145,0),IF(H145="Upsell",K145*'Commission Plan Rules'!$F$9,IF(H145="Renewal",K145*'Commission Plan Rules'!$F$10,0)))</f>
        <v>420</v>
      </c>
    </row>
    <row r="146" customFormat="false" ht="15" hidden="false" customHeight="true" outlineLevel="0" collapsed="false">
      <c r="A146" s="27" t="s">
        <v>384</v>
      </c>
      <c r="B146" s="27" t="s">
        <v>85</v>
      </c>
      <c r="C146" s="40" t="str">
        <f aca="false">IFERROR(INDEX('Sales Roster &amp; Quotas'!$C$6:$C$20,MATCH($B146,'Sales Roster &amp; Quotas'!$B$6:$B$20,0)),"")</f>
        <v>Marcus Bennett</v>
      </c>
      <c r="D146" s="40" t="str">
        <f aca="false">IFERROR(INDEX('Sales Roster &amp; Quotas'!$D$6:$D$20,MATCH($B146,'Sales Roster &amp; Quotas'!$B$6:$B$20,0)),"")</f>
        <v>SMB</v>
      </c>
      <c r="E146" s="28" t="n">
        <v>46106</v>
      </c>
      <c r="F146" s="41" t="str">
        <f aca="false">TEXT(E146,"yyyy-mm")</f>
        <v>2026-03</v>
      </c>
      <c r="G146" s="41" t="str">
        <f aca="false">IF(MONTH(E146)&lt;=3,"Q1","Q2")</f>
        <v>Q1</v>
      </c>
      <c r="H146" s="27" t="s">
        <v>48</v>
      </c>
      <c r="I146" s="27" t="s">
        <v>385</v>
      </c>
      <c r="J146" s="27" t="s">
        <v>142</v>
      </c>
      <c r="K146" s="29" t="n">
        <v>30500</v>
      </c>
      <c r="L146" s="42" t="n">
        <f aca="false">IFERROR(INDEX('Sales Roster &amp; Quotas'!$G$6:$G$20,MATCH($B146,'Sales Roster &amp; Quotas'!$B$6:$B$20,0)),0)</f>
        <v>159000</v>
      </c>
      <c r="M146" s="43" t="n">
        <f aca="false">SUMIFS($K$5:$K$274,$B$5:$B$274,$B146,$G$5:$G$274,$G146,$H$5:$H$274,"New Business")</f>
        <v>174500</v>
      </c>
      <c r="N146" s="44" t="n">
        <f aca="false">IFERROR(M146/L146,0)</f>
        <v>1.09748427672956</v>
      </c>
      <c r="O146" s="43" t="n">
        <f aca="false">MIN(M146,L146)</f>
        <v>159000</v>
      </c>
      <c r="P146" s="43" t="n">
        <f aca="false">MAX(MIN(M146,L146*1.25)-L146,0)</f>
        <v>15500</v>
      </c>
      <c r="Q146" s="43" t="n">
        <f aca="false">MAX(M146-L146*1.25,0)</f>
        <v>0</v>
      </c>
      <c r="R146" s="42" t="n">
        <f aca="false">O146*'Commission Plan Rules'!$F$6+P146*'Commission Plan Rules'!$F$7+Q146*'Commission Plan Rules'!$F$8</f>
        <v>14270</v>
      </c>
      <c r="S146" s="45" t="n">
        <f aca="false">IF(H146="New Business",IFERROR((K146/M146)*R146,0),IF(H146="Upsell",K146*'Commission Plan Rules'!$F$9,IF(H146="Renewal",K146*'Commission Plan Rules'!$F$10,0)))</f>
        <v>915</v>
      </c>
    </row>
    <row r="147" customFormat="false" ht="15" hidden="false" customHeight="true" outlineLevel="0" collapsed="false">
      <c r="A147" s="24" t="s">
        <v>386</v>
      </c>
      <c r="B147" s="24" t="s">
        <v>101</v>
      </c>
      <c r="C147" s="34" t="str">
        <f aca="false">IFERROR(INDEX('Sales Roster &amp; Quotas'!$C$6:$C$20,MATCH($B147,'Sales Roster &amp; Quotas'!$B$6:$B$20,0)),"")</f>
        <v>Natalie Reyes</v>
      </c>
      <c r="D147" s="34" t="str">
        <f aca="false">IFERROR(INDEX('Sales Roster &amp; Quotas'!$D$6:$D$20,MATCH($B147,'Sales Roster &amp; Quotas'!$B$6:$B$20,0)),"")</f>
        <v>Mid-Market</v>
      </c>
      <c r="E147" s="25" t="n">
        <v>46108</v>
      </c>
      <c r="F147" s="35" t="str">
        <f aca="false">TEXT(E147,"yyyy-mm")</f>
        <v>2026-03</v>
      </c>
      <c r="G147" s="35" t="str">
        <f aca="false">IF(MONTH(E147)&lt;=3,"Q1","Q2")</f>
        <v>Q1</v>
      </c>
      <c r="H147" s="24" t="s">
        <v>48</v>
      </c>
      <c r="I147" s="24" t="s">
        <v>207</v>
      </c>
      <c r="J147" s="24" t="s">
        <v>142</v>
      </c>
      <c r="K147" s="26" t="n">
        <v>28000</v>
      </c>
      <c r="L147" s="36" t="n">
        <f aca="false">IFERROR(INDEX('Sales Roster &amp; Quotas'!$G$6:$G$20,MATCH($B147,'Sales Roster &amp; Quotas'!$B$6:$B$20,0)),0)</f>
        <v>295000</v>
      </c>
      <c r="M147" s="37" t="n">
        <f aca="false">SUMIFS($K$5:$K$274,$B$5:$B$274,$B147,$G$5:$G$274,$G147,$H$5:$H$274,"New Business")</f>
        <v>267000</v>
      </c>
      <c r="N147" s="38" t="n">
        <f aca="false">IFERROR(M147/L147,0)</f>
        <v>0.905084745762712</v>
      </c>
      <c r="O147" s="37" t="n">
        <f aca="false">MIN(M147,L147)</f>
        <v>267000</v>
      </c>
      <c r="P147" s="37" t="n">
        <f aca="false">MAX(MIN(M147,L147*1.25)-L147,0)</f>
        <v>0</v>
      </c>
      <c r="Q147" s="37" t="n">
        <f aca="false">MAX(M147-L147*1.25,0)</f>
        <v>0</v>
      </c>
      <c r="R147" s="36" t="n">
        <f aca="false">O147*'Commission Plan Rules'!$F$6+P147*'Commission Plan Rules'!$F$7+Q147*'Commission Plan Rules'!$F$8</f>
        <v>21360</v>
      </c>
      <c r="S147" s="39" t="n">
        <f aca="false">IF(H147="New Business",IFERROR((K147/M147)*R147,0),IF(H147="Upsell",K147*'Commission Plan Rules'!$F$9,IF(H147="Renewal",K147*'Commission Plan Rules'!$F$10,0)))</f>
        <v>840</v>
      </c>
    </row>
    <row r="148" customFormat="false" ht="15" hidden="false" customHeight="true" outlineLevel="0" collapsed="false">
      <c r="A148" s="27" t="s">
        <v>387</v>
      </c>
      <c r="B148" s="27" t="s">
        <v>72</v>
      </c>
      <c r="C148" s="40" t="str">
        <f aca="false">IFERROR(INDEX('Sales Roster &amp; Quotas'!$C$6:$C$20,MATCH($B148,'Sales Roster &amp; Quotas'!$B$6:$B$20,0)),"")</f>
        <v>James Okafor</v>
      </c>
      <c r="D148" s="40" t="str">
        <f aca="false">IFERROR(INDEX('Sales Roster &amp; Quotas'!$D$6:$D$20,MATCH($B148,'Sales Roster &amp; Quotas'!$B$6:$B$20,0)),"")</f>
        <v>SMB</v>
      </c>
      <c r="E148" s="28" t="n">
        <v>46108</v>
      </c>
      <c r="F148" s="41" t="str">
        <f aca="false">TEXT(E148,"yyyy-mm")</f>
        <v>2026-03</v>
      </c>
      <c r="G148" s="41" t="str">
        <f aca="false">IF(MONTH(E148)&lt;=3,"Q1","Q2")</f>
        <v>Q1</v>
      </c>
      <c r="H148" s="27" t="s">
        <v>48</v>
      </c>
      <c r="I148" s="27" t="s">
        <v>191</v>
      </c>
      <c r="J148" s="27" t="s">
        <v>152</v>
      </c>
      <c r="K148" s="29" t="n">
        <v>1500</v>
      </c>
      <c r="L148" s="42" t="n">
        <f aca="false">IFERROR(INDEX('Sales Roster &amp; Quotas'!$G$6:$G$20,MATCH($B148,'Sales Roster &amp; Quotas'!$B$6:$B$20,0)),0)</f>
        <v>135000</v>
      </c>
      <c r="M148" s="43" t="n">
        <f aca="false">SUMIFS($K$5:$K$274,$B$5:$B$274,$B148,$G$5:$G$274,$G148,$H$5:$H$274,"New Business")</f>
        <v>170500</v>
      </c>
      <c r="N148" s="44" t="n">
        <f aca="false">IFERROR(M148/L148,0)</f>
        <v>1.26296296296296</v>
      </c>
      <c r="O148" s="43" t="n">
        <f aca="false">MIN(M148,L148)</f>
        <v>135000</v>
      </c>
      <c r="P148" s="43" t="n">
        <f aca="false">MAX(MIN(M148,L148*1.25)-L148,0)</f>
        <v>33750</v>
      </c>
      <c r="Q148" s="43" t="n">
        <f aca="false">MAX(M148-L148*1.25,0)</f>
        <v>1750</v>
      </c>
      <c r="R148" s="42" t="n">
        <f aca="false">O148*'Commission Plan Rules'!$F$6+P148*'Commission Plan Rules'!$F$7+Q148*'Commission Plan Rules'!$F$8</f>
        <v>14385</v>
      </c>
      <c r="S148" s="45" t="n">
        <f aca="false">IF(H148="New Business",IFERROR((K148/M148)*R148,0),IF(H148="Upsell",K148*'Commission Plan Rules'!$F$9,IF(H148="Renewal",K148*'Commission Plan Rules'!$F$10,0)))</f>
        <v>45</v>
      </c>
    </row>
    <row r="149" customFormat="false" ht="15" hidden="false" customHeight="true" outlineLevel="0" collapsed="false">
      <c r="A149" s="24" t="s">
        <v>388</v>
      </c>
      <c r="B149" s="24" t="s">
        <v>114</v>
      </c>
      <c r="C149" s="34" t="str">
        <f aca="false">IFERROR(INDEX('Sales Roster &amp; Quotas'!$C$6:$C$20,MATCH($B149,'Sales Roster &amp; Quotas'!$B$6:$B$20,0)),"")</f>
        <v>Lucia Larsen</v>
      </c>
      <c r="D149" s="34" t="str">
        <f aca="false">IFERROR(INDEX('Sales Roster &amp; Quotas'!$D$6:$D$20,MATCH($B149,'Sales Roster &amp; Quotas'!$B$6:$B$20,0)),"")</f>
        <v>Enterprise</v>
      </c>
      <c r="E149" s="25" t="n">
        <v>46108</v>
      </c>
      <c r="F149" s="35" t="str">
        <f aca="false">TEXT(E149,"yyyy-mm")</f>
        <v>2026-03</v>
      </c>
      <c r="G149" s="35" t="str">
        <f aca="false">IF(MONTH(E149)&lt;=3,"Q1","Q2")</f>
        <v>Q1</v>
      </c>
      <c r="H149" s="24" t="s">
        <v>48</v>
      </c>
      <c r="I149" s="24" t="s">
        <v>341</v>
      </c>
      <c r="J149" s="24" t="s">
        <v>137</v>
      </c>
      <c r="K149" s="26" t="n">
        <v>141000</v>
      </c>
      <c r="L149" s="36" t="n">
        <f aca="false">IFERROR(INDEX('Sales Roster &amp; Quotas'!$G$6:$G$20,MATCH($B149,'Sales Roster &amp; Quotas'!$B$6:$B$20,0)),0)</f>
        <v>594000</v>
      </c>
      <c r="M149" s="37" t="n">
        <f aca="false">SUMIFS($K$5:$K$274,$B$5:$B$274,$B149,$G$5:$G$274,$G149,$H$5:$H$274,"New Business")</f>
        <v>542500</v>
      </c>
      <c r="N149" s="38" t="n">
        <f aca="false">IFERROR(M149/L149,0)</f>
        <v>0.913299663299663</v>
      </c>
      <c r="O149" s="37" t="n">
        <f aca="false">MIN(M149,L149)</f>
        <v>542500</v>
      </c>
      <c r="P149" s="37" t="n">
        <f aca="false">MAX(MIN(M149,L149*1.25)-L149,0)</f>
        <v>0</v>
      </c>
      <c r="Q149" s="37" t="n">
        <f aca="false">MAX(M149-L149*1.25,0)</f>
        <v>0</v>
      </c>
      <c r="R149" s="36" t="n">
        <f aca="false">O149*'Commission Plan Rules'!$F$6+P149*'Commission Plan Rules'!$F$7+Q149*'Commission Plan Rules'!$F$8</f>
        <v>43400</v>
      </c>
      <c r="S149" s="39" t="n">
        <f aca="false">IF(H149="New Business",IFERROR((K149/M149)*R149,0),IF(H149="Upsell",K149*'Commission Plan Rules'!$F$9,IF(H149="Renewal",K149*'Commission Plan Rules'!$F$10,0)))</f>
        <v>4230</v>
      </c>
    </row>
    <row r="150" customFormat="false" ht="15" hidden="false" customHeight="true" outlineLevel="0" collapsed="false">
      <c r="A150" s="27" t="s">
        <v>389</v>
      </c>
      <c r="B150" s="27" t="s">
        <v>111</v>
      </c>
      <c r="C150" s="40" t="str">
        <f aca="false">IFERROR(INDEX('Sales Roster &amp; Quotas'!$C$6:$C$20,MATCH($B150,'Sales Roster &amp; Quotas'!$B$6:$B$20,0)),"")</f>
        <v>Kevin Novak</v>
      </c>
      <c r="D150" s="40" t="str">
        <f aca="false">IFERROR(INDEX('Sales Roster &amp; Quotas'!$D$6:$D$20,MATCH($B150,'Sales Roster &amp; Quotas'!$B$6:$B$20,0)),"")</f>
        <v>Enterprise</v>
      </c>
      <c r="E150" s="28" t="n">
        <v>46114</v>
      </c>
      <c r="F150" s="41" t="str">
        <f aca="false">TEXT(E150,"yyyy-mm")</f>
        <v>2026-04</v>
      </c>
      <c r="G150" s="41" t="str">
        <f aca="false">IF(MONTH(E150)&lt;=3,"Q1","Q2")</f>
        <v>Q2</v>
      </c>
      <c r="H150" s="27" t="s">
        <v>48</v>
      </c>
      <c r="I150" s="27" t="s">
        <v>181</v>
      </c>
      <c r="J150" s="27" t="s">
        <v>137</v>
      </c>
      <c r="K150" s="29" t="n">
        <v>147500</v>
      </c>
      <c r="L150" s="42" t="n">
        <f aca="false">IFERROR(INDEX('Sales Roster &amp; Quotas'!$G$6:$G$20,MATCH($B150,'Sales Roster &amp; Quotas'!$B$6:$B$20,0)),0)</f>
        <v>641000</v>
      </c>
      <c r="M150" s="43" t="n">
        <f aca="false">SUMIFS($K$5:$K$274,$B$5:$B$274,$B150,$G$5:$G$274,$G150,$H$5:$H$274,"New Business")</f>
        <v>570000</v>
      </c>
      <c r="N150" s="44" t="n">
        <f aca="false">IFERROR(M150/L150,0)</f>
        <v>0.889235569422777</v>
      </c>
      <c r="O150" s="43" t="n">
        <f aca="false">MIN(M150,L150)</f>
        <v>570000</v>
      </c>
      <c r="P150" s="43" t="n">
        <f aca="false">MAX(MIN(M150,L150*1.25)-L150,0)</f>
        <v>0</v>
      </c>
      <c r="Q150" s="43" t="n">
        <f aca="false">MAX(M150-L150*1.25,0)</f>
        <v>0</v>
      </c>
      <c r="R150" s="42" t="n">
        <f aca="false">O150*'Commission Plan Rules'!$F$6+P150*'Commission Plan Rules'!$F$7+Q150*'Commission Plan Rules'!$F$8</f>
        <v>45600</v>
      </c>
      <c r="S150" s="45" t="n">
        <f aca="false">IF(H150="New Business",IFERROR((K150/M150)*R150,0),IF(H150="Upsell",K150*'Commission Plan Rules'!$F$9,IF(H150="Renewal",K150*'Commission Plan Rules'!$F$10,0)))</f>
        <v>4425</v>
      </c>
    </row>
    <row r="151" customFormat="false" ht="15" hidden="false" customHeight="true" outlineLevel="0" collapsed="false">
      <c r="A151" s="24" t="s">
        <v>390</v>
      </c>
      <c r="B151" s="24" t="s">
        <v>88</v>
      </c>
      <c r="C151" s="34" t="str">
        <f aca="false">IFERROR(INDEX('Sales Roster &amp; Quotas'!$C$6:$C$20,MATCH($B151,'Sales Roster &amp; Quotas'!$B$6:$B$20,0)),"")</f>
        <v>Elena Kowalski</v>
      </c>
      <c r="D151" s="34" t="str">
        <f aca="false">IFERROR(INDEX('Sales Roster &amp; Quotas'!$D$6:$D$20,MATCH($B151,'Sales Roster &amp; Quotas'!$B$6:$B$20,0)),"")</f>
        <v>Mid-Market</v>
      </c>
      <c r="E151" s="25" t="n">
        <v>46114</v>
      </c>
      <c r="F151" s="35" t="str">
        <f aca="false">TEXT(E151,"yyyy-mm")</f>
        <v>2026-04</v>
      </c>
      <c r="G151" s="35" t="str">
        <f aca="false">IF(MONTH(E151)&lt;=3,"Q1","Q2")</f>
        <v>Q2</v>
      </c>
      <c r="H151" s="24" t="s">
        <v>40</v>
      </c>
      <c r="I151" s="24" t="s">
        <v>391</v>
      </c>
      <c r="J151" s="24" t="s">
        <v>137</v>
      </c>
      <c r="K151" s="26" t="n">
        <v>51000</v>
      </c>
      <c r="L151" s="36" t="n">
        <f aca="false">IFERROR(INDEX('Sales Roster &amp; Quotas'!$G$6:$G$20,MATCH($B151,'Sales Roster &amp; Quotas'!$B$6:$B$20,0)),0)</f>
        <v>320000</v>
      </c>
      <c r="M151" s="37" t="n">
        <f aca="false">SUMIFS($K$5:$K$274,$B$5:$B$274,$B151,$G$5:$G$274,$G151,$H$5:$H$274,"New Business")</f>
        <v>250500</v>
      </c>
      <c r="N151" s="38" t="n">
        <f aca="false">IFERROR(M151/L151,0)</f>
        <v>0.7828125</v>
      </c>
      <c r="O151" s="37" t="n">
        <f aca="false">MIN(M151,L151)</f>
        <v>250500</v>
      </c>
      <c r="P151" s="37" t="n">
        <f aca="false">MAX(MIN(M151,L151*1.25)-L151,0)</f>
        <v>0</v>
      </c>
      <c r="Q151" s="37" t="n">
        <f aca="false">MAX(M151-L151*1.25,0)</f>
        <v>0</v>
      </c>
      <c r="R151" s="36" t="n">
        <f aca="false">O151*'Commission Plan Rules'!$F$6+P151*'Commission Plan Rules'!$F$7+Q151*'Commission Plan Rules'!$F$8</f>
        <v>20040</v>
      </c>
      <c r="S151" s="39" t="n">
        <f aca="false">IF(H151="New Business",IFERROR((K151/M151)*R151,0),IF(H151="Upsell",K151*'Commission Plan Rules'!$F$9,IF(H151="Renewal",K151*'Commission Plan Rules'!$F$10,0)))</f>
        <v>4080</v>
      </c>
    </row>
    <row r="152" customFormat="false" ht="15" hidden="false" customHeight="true" outlineLevel="0" collapsed="false">
      <c r="A152" s="27" t="s">
        <v>392</v>
      </c>
      <c r="B152" s="27" t="s">
        <v>79</v>
      </c>
      <c r="C152" s="40" t="str">
        <f aca="false">IFERROR(INDEX('Sales Roster &amp; Quotas'!$C$6:$C$20,MATCH($B152,'Sales Roster &amp; Quotas'!$B$6:$B$20,0)),"")</f>
        <v>David Nguyen</v>
      </c>
      <c r="D152" s="40" t="str">
        <f aca="false">IFERROR(INDEX('Sales Roster &amp; Quotas'!$D$6:$D$20,MATCH($B152,'Sales Roster &amp; Quotas'!$B$6:$B$20,0)),"")</f>
        <v>SMB</v>
      </c>
      <c r="E152" s="28" t="n">
        <v>46115</v>
      </c>
      <c r="F152" s="41" t="str">
        <f aca="false">TEXT(E152,"yyyy-mm")</f>
        <v>2026-04</v>
      </c>
      <c r="G152" s="41" t="str">
        <f aca="false">IF(MONTH(E152)&lt;=3,"Q1","Q2")</f>
        <v>Q2</v>
      </c>
      <c r="H152" s="27" t="s">
        <v>40</v>
      </c>
      <c r="I152" s="27" t="s">
        <v>339</v>
      </c>
      <c r="J152" s="27" t="s">
        <v>157</v>
      </c>
      <c r="K152" s="29" t="n">
        <v>23000</v>
      </c>
      <c r="L152" s="42" t="n">
        <f aca="false">IFERROR(INDEX('Sales Roster &amp; Quotas'!$G$6:$G$20,MATCH($B152,'Sales Roster &amp; Quotas'!$B$6:$B$20,0)),0)</f>
        <v>155000</v>
      </c>
      <c r="M152" s="43" t="n">
        <f aca="false">SUMIFS($K$5:$K$274,$B$5:$B$274,$B152,$G$5:$G$274,$G152,$H$5:$H$274,"New Business")</f>
        <v>26000</v>
      </c>
      <c r="N152" s="44" t="n">
        <f aca="false">IFERROR(M152/L152,0)</f>
        <v>0.167741935483871</v>
      </c>
      <c r="O152" s="43" t="n">
        <f aca="false">MIN(M152,L152)</f>
        <v>26000</v>
      </c>
      <c r="P152" s="43" t="n">
        <f aca="false">MAX(MIN(M152,L152*1.25)-L152,0)</f>
        <v>0</v>
      </c>
      <c r="Q152" s="43" t="n">
        <f aca="false">MAX(M152-L152*1.25,0)</f>
        <v>0</v>
      </c>
      <c r="R152" s="42" t="n">
        <f aca="false">O152*'Commission Plan Rules'!$F$6+P152*'Commission Plan Rules'!$F$7+Q152*'Commission Plan Rules'!$F$8</f>
        <v>2080</v>
      </c>
      <c r="S152" s="45" t="n">
        <f aca="false">IF(H152="New Business",IFERROR((K152/M152)*R152,0),IF(H152="Upsell",K152*'Commission Plan Rules'!$F$9,IF(H152="Renewal",K152*'Commission Plan Rules'!$F$10,0)))</f>
        <v>1840</v>
      </c>
    </row>
    <row r="153" customFormat="false" ht="15" hidden="false" customHeight="true" outlineLevel="0" collapsed="false">
      <c r="A153" s="24" t="s">
        <v>393</v>
      </c>
      <c r="B153" s="24" t="s">
        <v>85</v>
      </c>
      <c r="C153" s="34" t="str">
        <f aca="false">IFERROR(INDEX('Sales Roster &amp; Quotas'!$C$6:$C$20,MATCH($B153,'Sales Roster &amp; Quotas'!$B$6:$B$20,0)),"")</f>
        <v>Marcus Bennett</v>
      </c>
      <c r="D153" s="34" t="str">
        <f aca="false">IFERROR(INDEX('Sales Roster &amp; Quotas'!$D$6:$D$20,MATCH($B153,'Sales Roster &amp; Quotas'!$B$6:$B$20,0)),"")</f>
        <v>SMB</v>
      </c>
      <c r="E153" s="25" t="n">
        <v>46115</v>
      </c>
      <c r="F153" s="35" t="str">
        <f aca="false">TEXT(E153,"yyyy-mm")</f>
        <v>2026-04</v>
      </c>
      <c r="G153" s="35" t="str">
        <f aca="false">IF(MONTH(E153)&lt;=3,"Q1","Q2")</f>
        <v>Q2</v>
      </c>
      <c r="H153" s="24" t="s">
        <v>40</v>
      </c>
      <c r="I153" s="24" t="s">
        <v>348</v>
      </c>
      <c r="J153" s="24" t="s">
        <v>137</v>
      </c>
      <c r="K153" s="26" t="n">
        <v>35500</v>
      </c>
      <c r="L153" s="36" t="n">
        <f aca="false">IFERROR(INDEX('Sales Roster &amp; Quotas'!$G$6:$G$20,MATCH($B153,'Sales Roster &amp; Quotas'!$B$6:$B$20,0)),0)</f>
        <v>159000</v>
      </c>
      <c r="M153" s="37" t="n">
        <f aca="false">SUMIFS($K$5:$K$274,$B$5:$B$274,$B153,$G$5:$G$274,$G153,$H$5:$H$274,"New Business")</f>
        <v>200000</v>
      </c>
      <c r="N153" s="38" t="n">
        <f aca="false">IFERROR(M153/L153,0)</f>
        <v>1.25786163522013</v>
      </c>
      <c r="O153" s="37" t="n">
        <f aca="false">MIN(M153,L153)</f>
        <v>159000</v>
      </c>
      <c r="P153" s="37" t="n">
        <f aca="false">MAX(MIN(M153,L153*1.25)-L153,0)</f>
        <v>39750</v>
      </c>
      <c r="Q153" s="37" t="n">
        <f aca="false">MAX(M153-L153*1.25,0)</f>
        <v>1250</v>
      </c>
      <c r="R153" s="36" t="n">
        <f aca="false">O153*'Commission Plan Rules'!$F$6+P153*'Commission Plan Rules'!$F$7+Q153*'Commission Plan Rules'!$F$8</f>
        <v>16845</v>
      </c>
      <c r="S153" s="39" t="n">
        <f aca="false">IF(H153="New Business",IFERROR((K153/M153)*R153,0),IF(H153="Upsell",K153*'Commission Plan Rules'!$F$9,IF(H153="Renewal",K153*'Commission Plan Rules'!$F$10,0)))</f>
        <v>2989.9875</v>
      </c>
    </row>
    <row r="154" customFormat="false" ht="15" hidden="false" customHeight="true" outlineLevel="0" collapsed="false">
      <c r="A154" s="27" t="s">
        <v>394</v>
      </c>
      <c r="B154" s="27" t="s">
        <v>88</v>
      </c>
      <c r="C154" s="40" t="str">
        <f aca="false">IFERROR(INDEX('Sales Roster &amp; Quotas'!$C$6:$C$20,MATCH($B154,'Sales Roster &amp; Quotas'!$B$6:$B$20,0)),"")</f>
        <v>Elena Kowalski</v>
      </c>
      <c r="D154" s="40" t="str">
        <f aca="false">IFERROR(INDEX('Sales Roster &amp; Quotas'!$D$6:$D$20,MATCH($B154,'Sales Roster &amp; Quotas'!$B$6:$B$20,0)),"")</f>
        <v>Mid-Market</v>
      </c>
      <c r="E154" s="28" t="n">
        <v>46115</v>
      </c>
      <c r="F154" s="41" t="str">
        <f aca="false">TEXT(E154,"yyyy-mm")</f>
        <v>2026-04</v>
      </c>
      <c r="G154" s="41" t="str">
        <f aca="false">IF(MONTH(E154)&lt;=3,"Q1","Q2")</f>
        <v>Q2</v>
      </c>
      <c r="H154" s="27" t="s">
        <v>40</v>
      </c>
      <c r="I154" s="27" t="s">
        <v>201</v>
      </c>
      <c r="J154" s="27" t="s">
        <v>137</v>
      </c>
      <c r="K154" s="29" t="n">
        <v>9500</v>
      </c>
      <c r="L154" s="42" t="n">
        <f aca="false">IFERROR(INDEX('Sales Roster &amp; Quotas'!$G$6:$G$20,MATCH($B154,'Sales Roster &amp; Quotas'!$B$6:$B$20,0)),0)</f>
        <v>320000</v>
      </c>
      <c r="M154" s="43" t="n">
        <f aca="false">SUMIFS($K$5:$K$274,$B$5:$B$274,$B154,$G$5:$G$274,$G154,$H$5:$H$274,"New Business")</f>
        <v>250500</v>
      </c>
      <c r="N154" s="44" t="n">
        <f aca="false">IFERROR(M154/L154,0)</f>
        <v>0.7828125</v>
      </c>
      <c r="O154" s="43" t="n">
        <f aca="false">MIN(M154,L154)</f>
        <v>250500</v>
      </c>
      <c r="P154" s="43" t="n">
        <f aca="false">MAX(MIN(M154,L154*1.25)-L154,0)</f>
        <v>0</v>
      </c>
      <c r="Q154" s="43" t="n">
        <f aca="false">MAX(M154-L154*1.25,0)</f>
        <v>0</v>
      </c>
      <c r="R154" s="42" t="n">
        <f aca="false">O154*'Commission Plan Rules'!$F$6+P154*'Commission Plan Rules'!$F$7+Q154*'Commission Plan Rules'!$F$8</f>
        <v>20040</v>
      </c>
      <c r="S154" s="45" t="n">
        <f aca="false">IF(H154="New Business",IFERROR((K154/M154)*R154,0),IF(H154="Upsell",K154*'Commission Plan Rules'!$F$9,IF(H154="Renewal",K154*'Commission Plan Rules'!$F$10,0)))</f>
        <v>760</v>
      </c>
    </row>
    <row r="155" customFormat="false" ht="15" hidden="false" customHeight="true" outlineLevel="0" collapsed="false">
      <c r="A155" s="24" t="s">
        <v>395</v>
      </c>
      <c r="B155" s="24" t="s">
        <v>107</v>
      </c>
      <c r="C155" s="34" t="str">
        <f aca="false">IFERROR(INDEX('Sales Roster &amp; Quotas'!$C$6:$C$20,MATCH($B155,'Sales Roster &amp; Quotas'!$B$6:$B$20,0)),"")</f>
        <v>Grace Adeyemi</v>
      </c>
      <c r="D155" s="34" t="str">
        <f aca="false">IFERROR(INDEX('Sales Roster &amp; Quotas'!$D$6:$D$20,MATCH($B155,'Sales Roster &amp; Quotas'!$B$6:$B$20,0)),"")</f>
        <v>Enterprise</v>
      </c>
      <c r="E155" s="25" t="n">
        <v>46116</v>
      </c>
      <c r="F155" s="35" t="str">
        <f aca="false">TEXT(E155,"yyyy-mm")</f>
        <v>2026-04</v>
      </c>
      <c r="G155" s="35" t="str">
        <f aca="false">IF(MONTH(E155)&lt;=3,"Q1","Q2")</f>
        <v>Q2</v>
      </c>
      <c r="H155" s="24" t="s">
        <v>45</v>
      </c>
      <c r="I155" s="24" t="s">
        <v>396</v>
      </c>
      <c r="J155" s="24" t="s">
        <v>142</v>
      </c>
      <c r="K155" s="26" t="n">
        <v>121500</v>
      </c>
      <c r="L155" s="36" t="n">
        <f aca="false">IFERROR(INDEX('Sales Roster &amp; Quotas'!$G$6:$G$20,MATCH($B155,'Sales Roster &amp; Quotas'!$B$6:$B$20,0)),0)</f>
        <v>626000</v>
      </c>
      <c r="M155" s="37" t="n">
        <f aca="false">SUMIFS($K$5:$K$274,$B$5:$B$274,$B155,$G$5:$G$274,$G155,$H$5:$H$274,"New Business")</f>
        <v>374000</v>
      </c>
      <c r="N155" s="38" t="n">
        <f aca="false">IFERROR(M155/L155,0)</f>
        <v>0.597444089456869</v>
      </c>
      <c r="O155" s="37" t="n">
        <f aca="false">MIN(M155,L155)</f>
        <v>374000</v>
      </c>
      <c r="P155" s="37" t="n">
        <f aca="false">MAX(MIN(M155,L155*1.25)-L155,0)</f>
        <v>0</v>
      </c>
      <c r="Q155" s="37" t="n">
        <f aca="false">MAX(M155-L155*1.25,0)</f>
        <v>0</v>
      </c>
      <c r="R155" s="36" t="n">
        <f aca="false">O155*'Commission Plan Rules'!$F$6+P155*'Commission Plan Rules'!$F$7+Q155*'Commission Plan Rules'!$F$8</f>
        <v>29920</v>
      </c>
      <c r="S155" s="39" t="n">
        <f aca="false">IF(H155="New Business",IFERROR((K155/M155)*R155,0),IF(H155="Upsell",K155*'Commission Plan Rules'!$F$9,IF(H155="Renewal",K155*'Commission Plan Rules'!$F$10,0)))</f>
        <v>7290</v>
      </c>
    </row>
    <row r="156" customFormat="false" ht="15" hidden="false" customHeight="true" outlineLevel="0" collapsed="false">
      <c r="A156" s="27" t="s">
        <v>397</v>
      </c>
      <c r="B156" s="27" t="s">
        <v>67</v>
      </c>
      <c r="C156" s="40" t="str">
        <f aca="false">IFERROR(INDEX('Sales Roster &amp; Quotas'!$C$6:$C$20,MATCH($B156,'Sales Roster &amp; Quotas'!$B$6:$B$20,0)),"")</f>
        <v>Maria Chen</v>
      </c>
      <c r="D156" s="40" t="str">
        <f aca="false">IFERROR(INDEX('Sales Roster &amp; Quotas'!$D$6:$D$20,MATCH($B156,'Sales Roster &amp; Quotas'!$B$6:$B$20,0)),"")</f>
        <v>SMB</v>
      </c>
      <c r="E156" s="28" t="n">
        <v>46116</v>
      </c>
      <c r="F156" s="41" t="str">
        <f aca="false">TEXT(E156,"yyyy-mm")</f>
        <v>2026-04</v>
      </c>
      <c r="G156" s="41" t="str">
        <f aca="false">IF(MONTH(E156)&lt;=3,"Q1","Q2")</f>
        <v>Q2</v>
      </c>
      <c r="H156" s="27" t="s">
        <v>40</v>
      </c>
      <c r="I156" s="27" t="s">
        <v>272</v>
      </c>
      <c r="J156" s="27" t="s">
        <v>137</v>
      </c>
      <c r="K156" s="29" t="n">
        <v>3000</v>
      </c>
      <c r="L156" s="42" t="n">
        <f aca="false">IFERROR(INDEX('Sales Roster &amp; Quotas'!$G$6:$G$20,MATCH($B156,'Sales Roster &amp; Quotas'!$B$6:$B$20,0)),0)</f>
        <v>160000</v>
      </c>
      <c r="M156" s="43" t="n">
        <f aca="false">SUMIFS($K$5:$K$274,$B$5:$B$274,$B156,$G$5:$G$274,$G156,$H$5:$H$274,"New Business")</f>
        <v>113500</v>
      </c>
      <c r="N156" s="44" t="n">
        <f aca="false">IFERROR(M156/L156,0)</f>
        <v>0.709375</v>
      </c>
      <c r="O156" s="43" t="n">
        <f aca="false">MIN(M156,L156)</f>
        <v>113500</v>
      </c>
      <c r="P156" s="43" t="n">
        <f aca="false">MAX(MIN(M156,L156*1.25)-L156,0)</f>
        <v>0</v>
      </c>
      <c r="Q156" s="43" t="n">
        <f aca="false">MAX(M156-L156*1.25,0)</f>
        <v>0</v>
      </c>
      <c r="R156" s="42" t="n">
        <f aca="false">O156*'Commission Plan Rules'!$F$6+P156*'Commission Plan Rules'!$F$7+Q156*'Commission Plan Rules'!$F$8</f>
        <v>9080</v>
      </c>
      <c r="S156" s="45" t="n">
        <f aca="false">IF(H156="New Business",IFERROR((K156/M156)*R156,0),IF(H156="Upsell",K156*'Commission Plan Rules'!$F$9,IF(H156="Renewal",K156*'Commission Plan Rules'!$F$10,0)))</f>
        <v>240</v>
      </c>
    </row>
    <row r="157" customFormat="false" ht="15" hidden="false" customHeight="true" outlineLevel="0" collapsed="false">
      <c r="A157" s="24" t="s">
        <v>398</v>
      </c>
      <c r="B157" s="24" t="s">
        <v>104</v>
      </c>
      <c r="C157" s="34" t="str">
        <f aca="false">IFERROR(INDEX('Sales Roster &amp; Quotas'!$C$6:$C$20,MATCH($B157,'Sales Roster &amp; Quotas'!$B$6:$B$20,0)),"")</f>
        <v>Omar Fischer</v>
      </c>
      <c r="D157" s="34" t="str">
        <f aca="false">IFERROR(INDEX('Sales Roster &amp; Quotas'!$D$6:$D$20,MATCH($B157,'Sales Roster &amp; Quotas'!$B$6:$B$20,0)),"")</f>
        <v>Mid-Market</v>
      </c>
      <c r="E157" s="25" t="n">
        <v>46116</v>
      </c>
      <c r="F157" s="35" t="str">
        <f aca="false">TEXT(E157,"yyyy-mm")</f>
        <v>2026-04</v>
      </c>
      <c r="G157" s="35" t="str">
        <f aca="false">IF(MONTH(E157)&lt;=3,"Q1","Q2")</f>
        <v>Q2</v>
      </c>
      <c r="H157" s="24" t="s">
        <v>40</v>
      </c>
      <c r="I157" s="24" t="s">
        <v>159</v>
      </c>
      <c r="J157" s="24" t="s">
        <v>142</v>
      </c>
      <c r="K157" s="26" t="n">
        <v>35000</v>
      </c>
      <c r="L157" s="36" t="n">
        <f aca="false">IFERROR(INDEX('Sales Roster &amp; Quotas'!$G$6:$G$20,MATCH($B157,'Sales Roster &amp; Quotas'!$B$6:$B$20,0)),0)</f>
        <v>324000</v>
      </c>
      <c r="M157" s="37" t="n">
        <f aca="false">SUMIFS($K$5:$K$274,$B$5:$B$274,$B157,$G$5:$G$274,$G157,$H$5:$H$274,"New Business")</f>
        <v>575500</v>
      </c>
      <c r="N157" s="38" t="n">
        <f aca="false">IFERROR(M157/L157,0)</f>
        <v>1.77623456790123</v>
      </c>
      <c r="O157" s="37" t="n">
        <f aca="false">MIN(M157,L157)</f>
        <v>324000</v>
      </c>
      <c r="P157" s="37" t="n">
        <f aca="false">MAX(MIN(M157,L157*1.25)-L157,0)</f>
        <v>81000</v>
      </c>
      <c r="Q157" s="37" t="n">
        <f aca="false">MAX(M157-L157*1.25,0)</f>
        <v>170500</v>
      </c>
      <c r="R157" s="36" t="n">
        <f aca="false">O157*'Commission Plan Rules'!$F$6+P157*'Commission Plan Rules'!$F$7+Q157*'Commission Plan Rules'!$F$8</f>
        <v>54480</v>
      </c>
      <c r="S157" s="39" t="n">
        <f aca="false">IF(H157="New Business",IFERROR((K157/M157)*R157,0),IF(H157="Upsell",K157*'Commission Plan Rules'!$F$9,IF(H157="Renewal",K157*'Commission Plan Rules'!$F$10,0)))</f>
        <v>3313.29278887924</v>
      </c>
    </row>
    <row r="158" customFormat="false" ht="15" hidden="false" customHeight="true" outlineLevel="0" collapsed="false">
      <c r="A158" s="27" t="s">
        <v>399</v>
      </c>
      <c r="B158" s="27" t="s">
        <v>101</v>
      </c>
      <c r="C158" s="40" t="str">
        <f aca="false">IFERROR(INDEX('Sales Roster &amp; Quotas'!$C$6:$C$20,MATCH($B158,'Sales Roster &amp; Quotas'!$B$6:$B$20,0)),"")</f>
        <v>Natalie Reyes</v>
      </c>
      <c r="D158" s="40" t="str">
        <f aca="false">IFERROR(INDEX('Sales Roster &amp; Quotas'!$D$6:$D$20,MATCH($B158,'Sales Roster &amp; Quotas'!$B$6:$B$20,0)),"")</f>
        <v>Mid-Market</v>
      </c>
      <c r="E158" s="28" t="n">
        <v>46117</v>
      </c>
      <c r="F158" s="41" t="str">
        <f aca="false">TEXT(E158,"yyyy-mm")</f>
        <v>2026-04</v>
      </c>
      <c r="G158" s="41" t="str">
        <f aca="false">IF(MONTH(E158)&lt;=3,"Q1","Q2")</f>
        <v>Q2</v>
      </c>
      <c r="H158" s="27" t="s">
        <v>48</v>
      </c>
      <c r="I158" s="27" t="s">
        <v>334</v>
      </c>
      <c r="J158" s="27" t="s">
        <v>137</v>
      </c>
      <c r="K158" s="29" t="n">
        <v>49000</v>
      </c>
      <c r="L158" s="42" t="n">
        <f aca="false">IFERROR(INDEX('Sales Roster &amp; Quotas'!$G$6:$G$20,MATCH($B158,'Sales Roster &amp; Quotas'!$B$6:$B$20,0)),0)</f>
        <v>295000</v>
      </c>
      <c r="M158" s="43" t="n">
        <f aca="false">SUMIFS($K$5:$K$274,$B$5:$B$274,$B158,$G$5:$G$274,$G158,$H$5:$H$274,"New Business")</f>
        <v>293500</v>
      </c>
      <c r="N158" s="44" t="n">
        <f aca="false">IFERROR(M158/L158,0)</f>
        <v>0.994915254237288</v>
      </c>
      <c r="O158" s="43" t="n">
        <f aca="false">MIN(M158,L158)</f>
        <v>293500</v>
      </c>
      <c r="P158" s="43" t="n">
        <f aca="false">MAX(MIN(M158,L158*1.25)-L158,0)</f>
        <v>0</v>
      </c>
      <c r="Q158" s="43" t="n">
        <f aca="false">MAX(M158-L158*1.25,0)</f>
        <v>0</v>
      </c>
      <c r="R158" s="42" t="n">
        <f aca="false">O158*'Commission Plan Rules'!$F$6+P158*'Commission Plan Rules'!$F$7+Q158*'Commission Plan Rules'!$F$8</f>
        <v>23480</v>
      </c>
      <c r="S158" s="45" t="n">
        <f aca="false">IF(H158="New Business",IFERROR((K158/M158)*R158,0),IF(H158="Upsell",K158*'Commission Plan Rules'!$F$9,IF(H158="Renewal",K158*'Commission Plan Rules'!$F$10,0)))</f>
        <v>1470</v>
      </c>
    </row>
    <row r="159" customFormat="false" ht="15" hidden="false" customHeight="true" outlineLevel="0" collapsed="false">
      <c r="A159" s="24" t="s">
        <v>400</v>
      </c>
      <c r="B159" s="24" t="s">
        <v>92</v>
      </c>
      <c r="C159" s="34" t="str">
        <f aca="false">IFERROR(INDEX('Sales Roster &amp; Quotas'!$C$6:$C$20,MATCH($B159,'Sales Roster &amp; Quotas'!$B$6:$B$20,0)),"")</f>
        <v>Tyler Alvarez</v>
      </c>
      <c r="D159" s="34" t="str">
        <f aca="false">IFERROR(INDEX('Sales Roster &amp; Quotas'!$D$6:$D$20,MATCH($B159,'Sales Roster &amp; Quotas'!$B$6:$B$20,0)),"")</f>
        <v>Mid-Market</v>
      </c>
      <c r="E159" s="25" t="n">
        <v>46117</v>
      </c>
      <c r="F159" s="35" t="str">
        <f aca="false">TEXT(E159,"yyyy-mm")</f>
        <v>2026-04</v>
      </c>
      <c r="G159" s="35" t="str">
        <f aca="false">IF(MONTH(E159)&lt;=3,"Q1","Q2")</f>
        <v>Q2</v>
      </c>
      <c r="H159" s="24" t="s">
        <v>45</v>
      </c>
      <c r="I159" s="24" t="s">
        <v>401</v>
      </c>
      <c r="J159" s="24" t="s">
        <v>137</v>
      </c>
      <c r="K159" s="26" t="n">
        <v>25000</v>
      </c>
      <c r="L159" s="36" t="n">
        <f aca="false">IFERROR(INDEX('Sales Roster &amp; Quotas'!$G$6:$G$20,MATCH($B159,'Sales Roster &amp; Quotas'!$B$6:$B$20,0)),0)</f>
        <v>275000</v>
      </c>
      <c r="M159" s="37" t="n">
        <f aca="false">SUMIFS($K$5:$K$274,$B$5:$B$274,$B159,$G$5:$G$274,$G159,$H$5:$H$274,"New Business")</f>
        <v>314500</v>
      </c>
      <c r="N159" s="38" t="n">
        <f aca="false">IFERROR(M159/L159,0)</f>
        <v>1.14363636363636</v>
      </c>
      <c r="O159" s="37" t="n">
        <f aca="false">MIN(M159,L159)</f>
        <v>275000</v>
      </c>
      <c r="P159" s="37" t="n">
        <f aca="false">MAX(MIN(M159,L159*1.25)-L159,0)</f>
        <v>39500</v>
      </c>
      <c r="Q159" s="37" t="n">
        <f aca="false">MAX(M159-L159*1.25,0)</f>
        <v>0</v>
      </c>
      <c r="R159" s="36" t="n">
        <f aca="false">O159*'Commission Plan Rules'!$F$6+P159*'Commission Plan Rules'!$F$7+Q159*'Commission Plan Rules'!$F$8</f>
        <v>25950</v>
      </c>
      <c r="S159" s="39" t="n">
        <f aca="false">IF(H159="New Business",IFERROR((K159/M159)*R159,0),IF(H159="Upsell",K159*'Commission Plan Rules'!$F$9,IF(H159="Renewal",K159*'Commission Plan Rules'!$F$10,0)))</f>
        <v>1500</v>
      </c>
    </row>
    <row r="160" customFormat="false" ht="15" hidden="false" customHeight="true" outlineLevel="0" collapsed="false">
      <c r="A160" s="27" t="s">
        <v>402</v>
      </c>
      <c r="B160" s="27" t="s">
        <v>95</v>
      </c>
      <c r="C160" s="40" t="str">
        <f aca="false">IFERROR(INDEX('Sales Roster &amp; Quotas'!$C$6:$C$20,MATCH($B160,'Sales Roster &amp; Quotas'!$B$6:$B$20,0)),"")</f>
        <v>Aisha Kim</v>
      </c>
      <c r="D160" s="40" t="str">
        <f aca="false">IFERROR(INDEX('Sales Roster &amp; Quotas'!$D$6:$D$20,MATCH($B160,'Sales Roster &amp; Quotas'!$B$6:$B$20,0)),"")</f>
        <v>Mid-Market</v>
      </c>
      <c r="E160" s="28" t="n">
        <v>46117</v>
      </c>
      <c r="F160" s="41" t="str">
        <f aca="false">TEXT(E160,"yyyy-mm")</f>
        <v>2026-04</v>
      </c>
      <c r="G160" s="41" t="str">
        <f aca="false">IF(MONTH(E160)&lt;=3,"Q1","Q2")</f>
        <v>Q2</v>
      </c>
      <c r="H160" s="27" t="s">
        <v>45</v>
      </c>
      <c r="I160" s="27" t="s">
        <v>403</v>
      </c>
      <c r="J160" s="27" t="s">
        <v>152</v>
      </c>
      <c r="K160" s="29" t="n">
        <v>44500</v>
      </c>
      <c r="L160" s="42" t="n">
        <f aca="false">IFERROR(INDEX('Sales Roster &amp; Quotas'!$G$6:$G$20,MATCH($B160,'Sales Roster &amp; Quotas'!$B$6:$B$20,0)),0)</f>
        <v>287000</v>
      </c>
      <c r="M160" s="43" t="n">
        <f aca="false">SUMIFS($K$5:$K$274,$B$5:$B$274,$B160,$G$5:$G$274,$G160,$H$5:$H$274,"New Business")</f>
        <v>253000</v>
      </c>
      <c r="N160" s="44" t="n">
        <f aca="false">IFERROR(M160/L160,0)</f>
        <v>0.881533101045296</v>
      </c>
      <c r="O160" s="43" t="n">
        <f aca="false">MIN(M160,L160)</f>
        <v>253000</v>
      </c>
      <c r="P160" s="43" t="n">
        <f aca="false">MAX(MIN(M160,L160*1.25)-L160,0)</f>
        <v>0</v>
      </c>
      <c r="Q160" s="43" t="n">
        <f aca="false">MAX(M160-L160*1.25,0)</f>
        <v>0</v>
      </c>
      <c r="R160" s="42" t="n">
        <f aca="false">O160*'Commission Plan Rules'!$F$6+P160*'Commission Plan Rules'!$F$7+Q160*'Commission Plan Rules'!$F$8</f>
        <v>20240</v>
      </c>
      <c r="S160" s="45" t="n">
        <f aca="false">IF(H160="New Business",IFERROR((K160/M160)*R160,0),IF(H160="Upsell",K160*'Commission Plan Rules'!$F$9,IF(H160="Renewal",K160*'Commission Plan Rules'!$F$10,0)))</f>
        <v>2670</v>
      </c>
    </row>
    <row r="161" customFormat="false" ht="15" hidden="false" customHeight="true" outlineLevel="0" collapsed="false">
      <c r="A161" s="24" t="s">
        <v>404</v>
      </c>
      <c r="B161" s="24" t="s">
        <v>75</v>
      </c>
      <c r="C161" s="34" t="str">
        <f aca="false">IFERROR(INDEX('Sales Roster &amp; Quotas'!$C$6:$C$20,MATCH($B161,'Sales Roster &amp; Quotas'!$B$6:$B$20,0)),"")</f>
        <v>Priya Patel</v>
      </c>
      <c r="D161" s="34" t="str">
        <f aca="false">IFERROR(INDEX('Sales Roster &amp; Quotas'!$D$6:$D$20,MATCH($B161,'Sales Roster &amp; Quotas'!$B$6:$B$20,0)),"")</f>
        <v>SMB</v>
      </c>
      <c r="E161" s="25" t="n">
        <v>46118</v>
      </c>
      <c r="F161" s="35" t="str">
        <f aca="false">TEXT(E161,"yyyy-mm")</f>
        <v>2026-04</v>
      </c>
      <c r="G161" s="35" t="str">
        <f aca="false">IF(MONTH(E161)&lt;=3,"Q1","Q2")</f>
        <v>Q2</v>
      </c>
      <c r="H161" s="24" t="s">
        <v>48</v>
      </c>
      <c r="I161" s="24" t="s">
        <v>337</v>
      </c>
      <c r="J161" s="24" t="s">
        <v>137</v>
      </c>
      <c r="K161" s="26" t="n">
        <v>22000</v>
      </c>
      <c r="L161" s="36" t="n">
        <f aca="false">IFERROR(INDEX('Sales Roster &amp; Quotas'!$G$6:$G$20,MATCH($B161,'Sales Roster &amp; Quotas'!$B$6:$B$20,0)),0)</f>
        <v>137000</v>
      </c>
      <c r="M161" s="37" t="n">
        <f aca="false">SUMIFS($K$5:$K$274,$B$5:$B$274,$B161,$G$5:$G$274,$G161,$H$5:$H$274,"New Business")</f>
        <v>119000</v>
      </c>
      <c r="N161" s="38" t="n">
        <f aca="false">IFERROR(M161/L161,0)</f>
        <v>0.868613138686131</v>
      </c>
      <c r="O161" s="37" t="n">
        <f aca="false">MIN(M161,L161)</f>
        <v>119000</v>
      </c>
      <c r="P161" s="37" t="n">
        <f aca="false">MAX(MIN(M161,L161*1.25)-L161,0)</f>
        <v>0</v>
      </c>
      <c r="Q161" s="37" t="n">
        <f aca="false">MAX(M161-L161*1.25,0)</f>
        <v>0</v>
      </c>
      <c r="R161" s="36" t="n">
        <f aca="false">O161*'Commission Plan Rules'!$F$6+P161*'Commission Plan Rules'!$F$7+Q161*'Commission Plan Rules'!$F$8</f>
        <v>9520</v>
      </c>
      <c r="S161" s="39" t="n">
        <f aca="false">IF(H161="New Business",IFERROR((K161/M161)*R161,0),IF(H161="Upsell",K161*'Commission Plan Rules'!$F$9,IF(H161="Renewal",K161*'Commission Plan Rules'!$F$10,0)))</f>
        <v>660</v>
      </c>
    </row>
    <row r="162" customFormat="false" ht="15" hidden="false" customHeight="true" outlineLevel="0" collapsed="false">
      <c r="A162" s="27" t="s">
        <v>405</v>
      </c>
      <c r="B162" s="27" t="s">
        <v>107</v>
      </c>
      <c r="C162" s="40" t="str">
        <f aca="false">IFERROR(INDEX('Sales Roster &amp; Quotas'!$C$6:$C$20,MATCH($B162,'Sales Roster &amp; Quotas'!$B$6:$B$20,0)),"")</f>
        <v>Grace Adeyemi</v>
      </c>
      <c r="D162" s="40" t="str">
        <f aca="false">IFERROR(INDEX('Sales Roster &amp; Quotas'!$D$6:$D$20,MATCH($B162,'Sales Roster &amp; Quotas'!$B$6:$B$20,0)),"")</f>
        <v>Enterprise</v>
      </c>
      <c r="E162" s="28" t="n">
        <v>46120</v>
      </c>
      <c r="F162" s="41" t="str">
        <f aca="false">TEXT(E162,"yyyy-mm")</f>
        <v>2026-04</v>
      </c>
      <c r="G162" s="41" t="str">
        <f aca="false">IF(MONTH(E162)&lt;=3,"Q1","Q2")</f>
        <v>Q2</v>
      </c>
      <c r="H162" s="27" t="s">
        <v>45</v>
      </c>
      <c r="I162" s="27" t="s">
        <v>406</v>
      </c>
      <c r="J162" s="27" t="s">
        <v>152</v>
      </c>
      <c r="K162" s="29" t="n">
        <v>70500</v>
      </c>
      <c r="L162" s="42" t="n">
        <f aca="false">IFERROR(INDEX('Sales Roster &amp; Quotas'!$G$6:$G$20,MATCH($B162,'Sales Roster &amp; Quotas'!$B$6:$B$20,0)),0)</f>
        <v>626000</v>
      </c>
      <c r="M162" s="43" t="n">
        <f aca="false">SUMIFS($K$5:$K$274,$B$5:$B$274,$B162,$G$5:$G$274,$G162,$H$5:$H$274,"New Business")</f>
        <v>374000</v>
      </c>
      <c r="N162" s="44" t="n">
        <f aca="false">IFERROR(M162/L162,0)</f>
        <v>0.597444089456869</v>
      </c>
      <c r="O162" s="43" t="n">
        <f aca="false">MIN(M162,L162)</f>
        <v>374000</v>
      </c>
      <c r="P162" s="43" t="n">
        <f aca="false">MAX(MIN(M162,L162*1.25)-L162,0)</f>
        <v>0</v>
      </c>
      <c r="Q162" s="43" t="n">
        <f aca="false">MAX(M162-L162*1.25,0)</f>
        <v>0</v>
      </c>
      <c r="R162" s="42" t="n">
        <f aca="false">O162*'Commission Plan Rules'!$F$6+P162*'Commission Plan Rules'!$F$7+Q162*'Commission Plan Rules'!$F$8</f>
        <v>29920</v>
      </c>
      <c r="S162" s="45" t="n">
        <f aca="false">IF(H162="New Business",IFERROR((K162/M162)*R162,0),IF(H162="Upsell",K162*'Commission Plan Rules'!$F$9,IF(H162="Renewal",K162*'Commission Plan Rules'!$F$10,0)))</f>
        <v>4230</v>
      </c>
    </row>
    <row r="163" customFormat="false" ht="15" hidden="false" customHeight="true" outlineLevel="0" collapsed="false">
      <c r="A163" s="24" t="s">
        <v>407</v>
      </c>
      <c r="B163" s="24" t="s">
        <v>75</v>
      </c>
      <c r="C163" s="34" t="str">
        <f aca="false">IFERROR(INDEX('Sales Roster &amp; Quotas'!$C$6:$C$20,MATCH($B163,'Sales Roster &amp; Quotas'!$B$6:$B$20,0)),"")</f>
        <v>Priya Patel</v>
      </c>
      <c r="D163" s="34" t="str">
        <f aca="false">IFERROR(INDEX('Sales Roster &amp; Quotas'!$D$6:$D$20,MATCH($B163,'Sales Roster &amp; Quotas'!$B$6:$B$20,0)),"")</f>
        <v>SMB</v>
      </c>
      <c r="E163" s="25" t="n">
        <v>46120</v>
      </c>
      <c r="F163" s="35" t="str">
        <f aca="false">TEXT(E163,"yyyy-mm")</f>
        <v>2026-04</v>
      </c>
      <c r="G163" s="35" t="str">
        <f aca="false">IF(MONTH(E163)&lt;=3,"Q1","Q2")</f>
        <v>Q2</v>
      </c>
      <c r="H163" s="24" t="s">
        <v>48</v>
      </c>
      <c r="I163" s="24" t="s">
        <v>403</v>
      </c>
      <c r="J163" s="24" t="s">
        <v>142</v>
      </c>
      <c r="K163" s="26" t="n">
        <v>11000</v>
      </c>
      <c r="L163" s="36" t="n">
        <f aca="false">IFERROR(INDEX('Sales Roster &amp; Quotas'!$G$6:$G$20,MATCH($B163,'Sales Roster &amp; Quotas'!$B$6:$B$20,0)),0)</f>
        <v>137000</v>
      </c>
      <c r="M163" s="37" t="n">
        <f aca="false">SUMIFS($K$5:$K$274,$B$5:$B$274,$B163,$G$5:$G$274,$G163,$H$5:$H$274,"New Business")</f>
        <v>119000</v>
      </c>
      <c r="N163" s="38" t="n">
        <f aca="false">IFERROR(M163/L163,0)</f>
        <v>0.868613138686131</v>
      </c>
      <c r="O163" s="37" t="n">
        <f aca="false">MIN(M163,L163)</f>
        <v>119000</v>
      </c>
      <c r="P163" s="37" t="n">
        <f aca="false">MAX(MIN(M163,L163*1.25)-L163,0)</f>
        <v>0</v>
      </c>
      <c r="Q163" s="37" t="n">
        <f aca="false">MAX(M163-L163*1.25,0)</f>
        <v>0</v>
      </c>
      <c r="R163" s="36" t="n">
        <f aca="false">O163*'Commission Plan Rules'!$F$6+P163*'Commission Plan Rules'!$F$7+Q163*'Commission Plan Rules'!$F$8</f>
        <v>9520</v>
      </c>
      <c r="S163" s="39" t="n">
        <f aca="false">IF(H163="New Business",IFERROR((K163/M163)*R163,0),IF(H163="Upsell",K163*'Commission Plan Rules'!$F$9,IF(H163="Renewal",K163*'Commission Plan Rules'!$F$10,0)))</f>
        <v>330</v>
      </c>
    </row>
    <row r="164" customFormat="false" ht="15" hidden="false" customHeight="true" outlineLevel="0" collapsed="false">
      <c r="A164" s="27" t="s">
        <v>408</v>
      </c>
      <c r="B164" s="27" t="s">
        <v>85</v>
      </c>
      <c r="C164" s="40" t="str">
        <f aca="false">IFERROR(INDEX('Sales Roster &amp; Quotas'!$C$6:$C$20,MATCH($B164,'Sales Roster &amp; Quotas'!$B$6:$B$20,0)),"")</f>
        <v>Marcus Bennett</v>
      </c>
      <c r="D164" s="40" t="str">
        <f aca="false">IFERROR(INDEX('Sales Roster &amp; Quotas'!$D$6:$D$20,MATCH($B164,'Sales Roster &amp; Quotas'!$B$6:$B$20,0)),"")</f>
        <v>SMB</v>
      </c>
      <c r="E164" s="28" t="n">
        <v>46120</v>
      </c>
      <c r="F164" s="41" t="str">
        <f aca="false">TEXT(E164,"yyyy-mm")</f>
        <v>2026-04</v>
      </c>
      <c r="G164" s="41" t="str">
        <f aca="false">IF(MONTH(E164)&lt;=3,"Q1","Q2")</f>
        <v>Q2</v>
      </c>
      <c r="H164" s="27" t="s">
        <v>48</v>
      </c>
      <c r="I164" s="27" t="s">
        <v>242</v>
      </c>
      <c r="J164" s="27" t="s">
        <v>152</v>
      </c>
      <c r="K164" s="29" t="n">
        <v>12500</v>
      </c>
      <c r="L164" s="42" t="n">
        <f aca="false">IFERROR(INDEX('Sales Roster &amp; Quotas'!$G$6:$G$20,MATCH($B164,'Sales Roster &amp; Quotas'!$B$6:$B$20,0)),0)</f>
        <v>159000</v>
      </c>
      <c r="M164" s="43" t="n">
        <f aca="false">SUMIFS($K$5:$K$274,$B$5:$B$274,$B164,$G$5:$G$274,$G164,$H$5:$H$274,"New Business")</f>
        <v>200000</v>
      </c>
      <c r="N164" s="44" t="n">
        <f aca="false">IFERROR(M164/L164,0)</f>
        <v>1.25786163522013</v>
      </c>
      <c r="O164" s="43" t="n">
        <f aca="false">MIN(M164,L164)</f>
        <v>159000</v>
      </c>
      <c r="P164" s="43" t="n">
        <f aca="false">MAX(MIN(M164,L164*1.25)-L164,0)</f>
        <v>39750</v>
      </c>
      <c r="Q164" s="43" t="n">
        <f aca="false">MAX(M164-L164*1.25,0)</f>
        <v>1250</v>
      </c>
      <c r="R164" s="42" t="n">
        <f aca="false">O164*'Commission Plan Rules'!$F$6+P164*'Commission Plan Rules'!$F$7+Q164*'Commission Plan Rules'!$F$8</f>
        <v>16845</v>
      </c>
      <c r="S164" s="45" t="n">
        <f aca="false">IF(H164="New Business",IFERROR((K164/M164)*R164,0),IF(H164="Upsell",K164*'Commission Plan Rules'!$F$9,IF(H164="Renewal",K164*'Commission Plan Rules'!$F$10,0)))</f>
        <v>375</v>
      </c>
    </row>
    <row r="165" customFormat="false" ht="15" hidden="false" customHeight="true" outlineLevel="0" collapsed="false">
      <c r="A165" s="24" t="s">
        <v>409</v>
      </c>
      <c r="B165" s="24" t="s">
        <v>79</v>
      </c>
      <c r="C165" s="34" t="str">
        <f aca="false">IFERROR(INDEX('Sales Roster &amp; Quotas'!$C$6:$C$20,MATCH($B165,'Sales Roster &amp; Quotas'!$B$6:$B$20,0)),"")</f>
        <v>David Nguyen</v>
      </c>
      <c r="D165" s="34" t="str">
        <f aca="false">IFERROR(INDEX('Sales Roster &amp; Quotas'!$D$6:$D$20,MATCH($B165,'Sales Roster &amp; Quotas'!$B$6:$B$20,0)),"")</f>
        <v>SMB</v>
      </c>
      <c r="E165" s="25" t="n">
        <v>46121</v>
      </c>
      <c r="F165" s="35" t="str">
        <f aca="false">TEXT(E165,"yyyy-mm")</f>
        <v>2026-04</v>
      </c>
      <c r="G165" s="35" t="str">
        <f aca="false">IF(MONTH(E165)&lt;=3,"Q1","Q2")</f>
        <v>Q2</v>
      </c>
      <c r="H165" s="24" t="s">
        <v>48</v>
      </c>
      <c r="I165" s="24" t="s">
        <v>175</v>
      </c>
      <c r="J165" s="24" t="s">
        <v>142</v>
      </c>
      <c r="K165" s="26" t="n">
        <v>17000</v>
      </c>
      <c r="L165" s="36" t="n">
        <f aca="false">IFERROR(INDEX('Sales Roster &amp; Quotas'!$G$6:$G$20,MATCH($B165,'Sales Roster &amp; Quotas'!$B$6:$B$20,0)),0)</f>
        <v>155000</v>
      </c>
      <c r="M165" s="37" t="n">
        <f aca="false">SUMIFS($K$5:$K$274,$B$5:$B$274,$B165,$G$5:$G$274,$G165,$H$5:$H$274,"New Business")</f>
        <v>26000</v>
      </c>
      <c r="N165" s="38" t="n">
        <f aca="false">IFERROR(M165/L165,0)</f>
        <v>0.167741935483871</v>
      </c>
      <c r="O165" s="37" t="n">
        <f aca="false">MIN(M165,L165)</f>
        <v>26000</v>
      </c>
      <c r="P165" s="37" t="n">
        <f aca="false">MAX(MIN(M165,L165*1.25)-L165,0)</f>
        <v>0</v>
      </c>
      <c r="Q165" s="37" t="n">
        <f aca="false">MAX(M165-L165*1.25,0)</f>
        <v>0</v>
      </c>
      <c r="R165" s="36" t="n">
        <f aca="false">O165*'Commission Plan Rules'!$F$6+P165*'Commission Plan Rules'!$F$7+Q165*'Commission Plan Rules'!$F$8</f>
        <v>2080</v>
      </c>
      <c r="S165" s="39" t="n">
        <f aca="false">IF(H165="New Business",IFERROR((K165/M165)*R165,0),IF(H165="Upsell",K165*'Commission Plan Rules'!$F$9,IF(H165="Renewal",K165*'Commission Plan Rules'!$F$10,0)))</f>
        <v>510</v>
      </c>
    </row>
    <row r="166" customFormat="false" ht="15" hidden="false" customHeight="true" outlineLevel="0" collapsed="false">
      <c r="A166" s="27" t="s">
        <v>410</v>
      </c>
      <c r="B166" s="27" t="s">
        <v>101</v>
      </c>
      <c r="C166" s="40" t="str">
        <f aca="false">IFERROR(INDEX('Sales Roster &amp; Quotas'!$C$6:$C$20,MATCH($B166,'Sales Roster &amp; Quotas'!$B$6:$B$20,0)),"")</f>
        <v>Natalie Reyes</v>
      </c>
      <c r="D166" s="40" t="str">
        <f aca="false">IFERROR(INDEX('Sales Roster &amp; Quotas'!$D$6:$D$20,MATCH($B166,'Sales Roster &amp; Quotas'!$B$6:$B$20,0)),"")</f>
        <v>Mid-Market</v>
      </c>
      <c r="E166" s="28" t="n">
        <v>46122</v>
      </c>
      <c r="F166" s="41" t="str">
        <f aca="false">TEXT(E166,"yyyy-mm")</f>
        <v>2026-04</v>
      </c>
      <c r="G166" s="41" t="str">
        <f aca="false">IF(MONTH(E166)&lt;=3,"Q1","Q2")</f>
        <v>Q2</v>
      </c>
      <c r="H166" s="27" t="s">
        <v>45</v>
      </c>
      <c r="I166" s="27" t="s">
        <v>263</v>
      </c>
      <c r="J166" s="27" t="s">
        <v>137</v>
      </c>
      <c r="K166" s="29" t="n">
        <v>26500</v>
      </c>
      <c r="L166" s="42" t="n">
        <f aca="false">IFERROR(INDEX('Sales Roster &amp; Quotas'!$G$6:$G$20,MATCH($B166,'Sales Roster &amp; Quotas'!$B$6:$B$20,0)),0)</f>
        <v>295000</v>
      </c>
      <c r="M166" s="43" t="n">
        <f aca="false">SUMIFS($K$5:$K$274,$B$5:$B$274,$B166,$G$5:$G$274,$G166,$H$5:$H$274,"New Business")</f>
        <v>293500</v>
      </c>
      <c r="N166" s="44" t="n">
        <f aca="false">IFERROR(M166/L166,0)</f>
        <v>0.994915254237288</v>
      </c>
      <c r="O166" s="43" t="n">
        <f aca="false">MIN(M166,L166)</f>
        <v>293500</v>
      </c>
      <c r="P166" s="43" t="n">
        <f aca="false">MAX(MIN(M166,L166*1.25)-L166,0)</f>
        <v>0</v>
      </c>
      <c r="Q166" s="43" t="n">
        <f aca="false">MAX(M166-L166*1.25,0)</f>
        <v>0</v>
      </c>
      <c r="R166" s="42" t="n">
        <f aca="false">O166*'Commission Plan Rules'!$F$6+P166*'Commission Plan Rules'!$F$7+Q166*'Commission Plan Rules'!$F$8</f>
        <v>23480</v>
      </c>
      <c r="S166" s="45" t="n">
        <f aca="false">IF(H166="New Business",IFERROR((K166/M166)*R166,0),IF(H166="Upsell",K166*'Commission Plan Rules'!$F$9,IF(H166="Renewal",K166*'Commission Plan Rules'!$F$10,0)))</f>
        <v>1590</v>
      </c>
    </row>
    <row r="167" customFormat="false" ht="15" hidden="false" customHeight="true" outlineLevel="0" collapsed="false">
      <c r="A167" s="24" t="s">
        <v>411</v>
      </c>
      <c r="B167" s="24" t="s">
        <v>67</v>
      </c>
      <c r="C167" s="34" t="str">
        <f aca="false">IFERROR(INDEX('Sales Roster &amp; Quotas'!$C$6:$C$20,MATCH($B167,'Sales Roster &amp; Quotas'!$B$6:$B$20,0)),"")</f>
        <v>Maria Chen</v>
      </c>
      <c r="D167" s="34" t="str">
        <f aca="false">IFERROR(INDEX('Sales Roster &amp; Quotas'!$D$6:$D$20,MATCH($B167,'Sales Roster &amp; Quotas'!$B$6:$B$20,0)),"")</f>
        <v>SMB</v>
      </c>
      <c r="E167" s="25" t="n">
        <v>46122</v>
      </c>
      <c r="F167" s="35" t="str">
        <f aca="false">TEXT(E167,"yyyy-mm")</f>
        <v>2026-04</v>
      </c>
      <c r="G167" s="35" t="str">
        <f aca="false">IF(MONTH(E167)&lt;=3,"Q1","Q2")</f>
        <v>Q2</v>
      </c>
      <c r="H167" s="24" t="s">
        <v>45</v>
      </c>
      <c r="I167" s="24" t="s">
        <v>316</v>
      </c>
      <c r="J167" s="24" t="s">
        <v>152</v>
      </c>
      <c r="K167" s="26" t="n">
        <v>27500</v>
      </c>
      <c r="L167" s="36" t="n">
        <f aca="false">IFERROR(INDEX('Sales Roster &amp; Quotas'!$G$6:$G$20,MATCH($B167,'Sales Roster &amp; Quotas'!$B$6:$B$20,0)),0)</f>
        <v>160000</v>
      </c>
      <c r="M167" s="37" t="n">
        <f aca="false">SUMIFS($K$5:$K$274,$B$5:$B$274,$B167,$G$5:$G$274,$G167,$H$5:$H$274,"New Business")</f>
        <v>113500</v>
      </c>
      <c r="N167" s="38" t="n">
        <f aca="false">IFERROR(M167/L167,0)</f>
        <v>0.709375</v>
      </c>
      <c r="O167" s="37" t="n">
        <f aca="false">MIN(M167,L167)</f>
        <v>113500</v>
      </c>
      <c r="P167" s="37" t="n">
        <f aca="false">MAX(MIN(M167,L167*1.25)-L167,0)</f>
        <v>0</v>
      </c>
      <c r="Q167" s="37" t="n">
        <f aca="false">MAX(M167-L167*1.25,0)</f>
        <v>0</v>
      </c>
      <c r="R167" s="36" t="n">
        <f aca="false">O167*'Commission Plan Rules'!$F$6+P167*'Commission Plan Rules'!$F$7+Q167*'Commission Plan Rules'!$F$8</f>
        <v>9080</v>
      </c>
      <c r="S167" s="39" t="n">
        <f aca="false">IF(H167="New Business",IFERROR((K167/M167)*R167,0),IF(H167="Upsell",K167*'Commission Plan Rules'!$F$9,IF(H167="Renewal",K167*'Commission Plan Rules'!$F$10,0)))</f>
        <v>1650</v>
      </c>
    </row>
    <row r="168" customFormat="false" ht="15" hidden="false" customHeight="true" outlineLevel="0" collapsed="false">
      <c r="A168" s="27" t="s">
        <v>412</v>
      </c>
      <c r="B168" s="27" t="s">
        <v>85</v>
      </c>
      <c r="C168" s="40" t="str">
        <f aca="false">IFERROR(INDEX('Sales Roster &amp; Quotas'!$C$6:$C$20,MATCH($B168,'Sales Roster &amp; Quotas'!$B$6:$B$20,0)),"")</f>
        <v>Marcus Bennett</v>
      </c>
      <c r="D168" s="40" t="str">
        <f aca="false">IFERROR(INDEX('Sales Roster &amp; Quotas'!$D$6:$D$20,MATCH($B168,'Sales Roster &amp; Quotas'!$B$6:$B$20,0)),"")</f>
        <v>SMB</v>
      </c>
      <c r="E168" s="28" t="n">
        <v>46123</v>
      </c>
      <c r="F168" s="41" t="str">
        <f aca="false">TEXT(E168,"yyyy-mm")</f>
        <v>2026-04</v>
      </c>
      <c r="G168" s="41" t="str">
        <f aca="false">IF(MONTH(E168)&lt;=3,"Q1","Q2")</f>
        <v>Q2</v>
      </c>
      <c r="H168" s="27" t="s">
        <v>45</v>
      </c>
      <c r="I168" s="27" t="s">
        <v>413</v>
      </c>
      <c r="J168" s="27" t="s">
        <v>152</v>
      </c>
      <c r="K168" s="29" t="n">
        <v>31000</v>
      </c>
      <c r="L168" s="42" t="n">
        <f aca="false">IFERROR(INDEX('Sales Roster &amp; Quotas'!$G$6:$G$20,MATCH($B168,'Sales Roster &amp; Quotas'!$B$6:$B$20,0)),0)</f>
        <v>159000</v>
      </c>
      <c r="M168" s="43" t="n">
        <f aca="false">SUMIFS($K$5:$K$274,$B$5:$B$274,$B168,$G$5:$G$274,$G168,$H$5:$H$274,"New Business")</f>
        <v>200000</v>
      </c>
      <c r="N168" s="44" t="n">
        <f aca="false">IFERROR(M168/L168,0)</f>
        <v>1.25786163522013</v>
      </c>
      <c r="O168" s="43" t="n">
        <f aca="false">MIN(M168,L168)</f>
        <v>159000</v>
      </c>
      <c r="P168" s="43" t="n">
        <f aca="false">MAX(MIN(M168,L168*1.25)-L168,0)</f>
        <v>39750</v>
      </c>
      <c r="Q168" s="43" t="n">
        <f aca="false">MAX(M168-L168*1.25,0)</f>
        <v>1250</v>
      </c>
      <c r="R168" s="42" t="n">
        <f aca="false">O168*'Commission Plan Rules'!$F$6+P168*'Commission Plan Rules'!$F$7+Q168*'Commission Plan Rules'!$F$8</f>
        <v>16845</v>
      </c>
      <c r="S168" s="45" t="n">
        <f aca="false">IF(H168="New Business",IFERROR((K168/M168)*R168,0),IF(H168="Upsell",K168*'Commission Plan Rules'!$F$9,IF(H168="Renewal",K168*'Commission Plan Rules'!$F$10,0)))</f>
        <v>1860</v>
      </c>
    </row>
    <row r="169" customFormat="false" ht="15" hidden="false" customHeight="true" outlineLevel="0" collapsed="false">
      <c r="A169" s="24" t="s">
        <v>414</v>
      </c>
      <c r="B169" s="24" t="s">
        <v>114</v>
      </c>
      <c r="C169" s="34" t="str">
        <f aca="false">IFERROR(INDEX('Sales Roster &amp; Quotas'!$C$6:$C$20,MATCH($B169,'Sales Roster &amp; Quotas'!$B$6:$B$20,0)),"")</f>
        <v>Lucia Larsen</v>
      </c>
      <c r="D169" s="34" t="str">
        <f aca="false">IFERROR(INDEX('Sales Roster &amp; Quotas'!$D$6:$D$20,MATCH($B169,'Sales Roster &amp; Quotas'!$B$6:$B$20,0)),"")</f>
        <v>Enterprise</v>
      </c>
      <c r="E169" s="25" t="n">
        <v>46125</v>
      </c>
      <c r="F169" s="35" t="str">
        <f aca="false">TEXT(E169,"yyyy-mm")</f>
        <v>2026-04</v>
      </c>
      <c r="G169" s="35" t="str">
        <f aca="false">IF(MONTH(E169)&lt;=3,"Q1","Q2")</f>
        <v>Q2</v>
      </c>
      <c r="H169" s="24" t="s">
        <v>40</v>
      </c>
      <c r="I169" s="24" t="s">
        <v>415</v>
      </c>
      <c r="J169" s="24" t="s">
        <v>137</v>
      </c>
      <c r="K169" s="26" t="n">
        <v>428500</v>
      </c>
      <c r="L169" s="36" t="n">
        <f aca="false">IFERROR(INDEX('Sales Roster &amp; Quotas'!$G$6:$G$20,MATCH($B169,'Sales Roster &amp; Quotas'!$B$6:$B$20,0)),0)</f>
        <v>594000</v>
      </c>
      <c r="M169" s="37" t="n">
        <f aca="false">SUMIFS($K$5:$K$274,$B$5:$B$274,$B169,$G$5:$G$274,$G169,$H$5:$H$274,"New Business")</f>
        <v>596500</v>
      </c>
      <c r="N169" s="38" t="n">
        <f aca="false">IFERROR(M169/L169,0)</f>
        <v>1.00420875420875</v>
      </c>
      <c r="O169" s="37" t="n">
        <f aca="false">MIN(M169,L169)</f>
        <v>594000</v>
      </c>
      <c r="P169" s="37" t="n">
        <f aca="false">MAX(MIN(M169,L169*1.25)-L169,0)</f>
        <v>2500</v>
      </c>
      <c r="Q169" s="37" t="n">
        <f aca="false">MAX(M169-L169*1.25,0)</f>
        <v>0</v>
      </c>
      <c r="R169" s="36" t="n">
        <f aca="false">O169*'Commission Plan Rules'!$F$6+P169*'Commission Plan Rules'!$F$7+Q169*'Commission Plan Rules'!$F$8</f>
        <v>47770</v>
      </c>
      <c r="S169" s="39" t="n">
        <f aca="false">IF(H169="New Business",IFERROR((K169/M169)*R169,0),IF(H169="Upsell",K169*'Commission Plan Rules'!$F$9,IF(H169="Renewal",K169*'Commission Plan Rules'!$F$10,0)))</f>
        <v>34315.9178541492</v>
      </c>
    </row>
    <row r="170" customFormat="false" ht="15" hidden="false" customHeight="true" outlineLevel="0" collapsed="false">
      <c r="A170" s="27" t="s">
        <v>416</v>
      </c>
      <c r="B170" s="27" t="s">
        <v>85</v>
      </c>
      <c r="C170" s="40" t="str">
        <f aca="false">IFERROR(INDEX('Sales Roster &amp; Quotas'!$C$6:$C$20,MATCH($B170,'Sales Roster &amp; Quotas'!$B$6:$B$20,0)),"")</f>
        <v>Marcus Bennett</v>
      </c>
      <c r="D170" s="40" t="str">
        <f aca="false">IFERROR(INDEX('Sales Roster &amp; Quotas'!$D$6:$D$20,MATCH($B170,'Sales Roster &amp; Quotas'!$B$6:$B$20,0)),"")</f>
        <v>SMB</v>
      </c>
      <c r="E170" s="28" t="n">
        <v>46125</v>
      </c>
      <c r="F170" s="41" t="str">
        <f aca="false">TEXT(E170,"yyyy-mm")</f>
        <v>2026-04</v>
      </c>
      <c r="G170" s="41" t="str">
        <f aca="false">IF(MONTH(E170)&lt;=3,"Q1","Q2")</f>
        <v>Q2</v>
      </c>
      <c r="H170" s="27" t="s">
        <v>40</v>
      </c>
      <c r="I170" s="27" t="s">
        <v>287</v>
      </c>
      <c r="J170" s="27" t="s">
        <v>137</v>
      </c>
      <c r="K170" s="29" t="n">
        <v>40000</v>
      </c>
      <c r="L170" s="42" t="n">
        <f aca="false">IFERROR(INDEX('Sales Roster &amp; Quotas'!$G$6:$G$20,MATCH($B170,'Sales Roster &amp; Quotas'!$B$6:$B$20,0)),0)</f>
        <v>159000</v>
      </c>
      <c r="M170" s="43" t="n">
        <f aca="false">SUMIFS($K$5:$K$274,$B$5:$B$274,$B170,$G$5:$G$274,$G170,$H$5:$H$274,"New Business")</f>
        <v>200000</v>
      </c>
      <c r="N170" s="44" t="n">
        <f aca="false">IFERROR(M170/L170,0)</f>
        <v>1.25786163522013</v>
      </c>
      <c r="O170" s="43" t="n">
        <f aca="false">MIN(M170,L170)</f>
        <v>159000</v>
      </c>
      <c r="P170" s="43" t="n">
        <f aca="false">MAX(MIN(M170,L170*1.25)-L170,0)</f>
        <v>39750</v>
      </c>
      <c r="Q170" s="43" t="n">
        <f aca="false">MAX(M170-L170*1.25,0)</f>
        <v>1250</v>
      </c>
      <c r="R170" s="42" t="n">
        <f aca="false">O170*'Commission Plan Rules'!$F$6+P170*'Commission Plan Rules'!$F$7+Q170*'Commission Plan Rules'!$F$8</f>
        <v>16845</v>
      </c>
      <c r="S170" s="45" t="n">
        <f aca="false">IF(H170="New Business",IFERROR((K170/M170)*R170,0),IF(H170="Upsell",K170*'Commission Plan Rules'!$F$9,IF(H170="Renewal",K170*'Commission Plan Rules'!$F$10,0)))</f>
        <v>3369</v>
      </c>
    </row>
    <row r="171" customFormat="false" ht="15" hidden="false" customHeight="true" outlineLevel="0" collapsed="false">
      <c r="A171" s="24" t="s">
        <v>417</v>
      </c>
      <c r="B171" s="24" t="s">
        <v>88</v>
      </c>
      <c r="C171" s="34" t="str">
        <f aca="false">IFERROR(INDEX('Sales Roster &amp; Quotas'!$C$6:$C$20,MATCH($B171,'Sales Roster &amp; Quotas'!$B$6:$B$20,0)),"")</f>
        <v>Elena Kowalski</v>
      </c>
      <c r="D171" s="34" t="str">
        <f aca="false">IFERROR(INDEX('Sales Roster &amp; Quotas'!$D$6:$D$20,MATCH($B171,'Sales Roster &amp; Quotas'!$B$6:$B$20,0)),"")</f>
        <v>Mid-Market</v>
      </c>
      <c r="E171" s="25" t="n">
        <v>46125</v>
      </c>
      <c r="F171" s="35" t="str">
        <f aca="false">TEXT(E171,"yyyy-mm")</f>
        <v>2026-04</v>
      </c>
      <c r="G171" s="35" t="str">
        <f aca="false">IF(MONTH(E171)&lt;=3,"Q1","Q2")</f>
        <v>Q2</v>
      </c>
      <c r="H171" s="24" t="s">
        <v>48</v>
      </c>
      <c r="I171" s="24" t="s">
        <v>219</v>
      </c>
      <c r="J171" s="24" t="s">
        <v>152</v>
      </c>
      <c r="K171" s="26" t="n">
        <v>35000</v>
      </c>
      <c r="L171" s="36" t="n">
        <f aca="false">IFERROR(INDEX('Sales Roster &amp; Quotas'!$G$6:$G$20,MATCH($B171,'Sales Roster &amp; Quotas'!$B$6:$B$20,0)),0)</f>
        <v>320000</v>
      </c>
      <c r="M171" s="37" t="n">
        <f aca="false">SUMIFS($K$5:$K$274,$B$5:$B$274,$B171,$G$5:$G$274,$G171,$H$5:$H$274,"New Business")</f>
        <v>250500</v>
      </c>
      <c r="N171" s="38" t="n">
        <f aca="false">IFERROR(M171/L171,0)</f>
        <v>0.7828125</v>
      </c>
      <c r="O171" s="37" t="n">
        <f aca="false">MIN(M171,L171)</f>
        <v>250500</v>
      </c>
      <c r="P171" s="37" t="n">
        <f aca="false">MAX(MIN(M171,L171*1.25)-L171,0)</f>
        <v>0</v>
      </c>
      <c r="Q171" s="37" t="n">
        <f aca="false">MAX(M171-L171*1.25,0)</f>
        <v>0</v>
      </c>
      <c r="R171" s="36" t="n">
        <f aca="false">O171*'Commission Plan Rules'!$F$6+P171*'Commission Plan Rules'!$F$7+Q171*'Commission Plan Rules'!$F$8</f>
        <v>20040</v>
      </c>
      <c r="S171" s="39" t="n">
        <f aca="false">IF(H171="New Business",IFERROR((K171/M171)*R171,0),IF(H171="Upsell",K171*'Commission Plan Rules'!$F$9,IF(H171="Renewal",K171*'Commission Plan Rules'!$F$10,0)))</f>
        <v>1050</v>
      </c>
    </row>
    <row r="172" customFormat="false" ht="15" hidden="false" customHeight="true" outlineLevel="0" collapsed="false">
      <c r="A172" s="27" t="s">
        <v>418</v>
      </c>
      <c r="B172" s="27" t="s">
        <v>72</v>
      </c>
      <c r="C172" s="40" t="str">
        <f aca="false">IFERROR(INDEX('Sales Roster &amp; Quotas'!$C$6:$C$20,MATCH($B172,'Sales Roster &amp; Quotas'!$B$6:$B$20,0)),"")</f>
        <v>James Okafor</v>
      </c>
      <c r="D172" s="40" t="str">
        <f aca="false">IFERROR(INDEX('Sales Roster &amp; Quotas'!$D$6:$D$20,MATCH($B172,'Sales Roster &amp; Quotas'!$B$6:$B$20,0)),"")</f>
        <v>SMB</v>
      </c>
      <c r="E172" s="28" t="n">
        <v>46125</v>
      </c>
      <c r="F172" s="41" t="str">
        <f aca="false">TEXT(E172,"yyyy-mm")</f>
        <v>2026-04</v>
      </c>
      <c r="G172" s="41" t="str">
        <f aca="false">IF(MONTH(E172)&lt;=3,"Q1","Q2")</f>
        <v>Q2</v>
      </c>
      <c r="H172" s="27" t="s">
        <v>48</v>
      </c>
      <c r="I172" s="27" t="s">
        <v>419</v>
      </c>
      <c r="J172" s="27" t="s">
        <v>142</v>
      </c>
      <c r="K172" s="29" t="n">
        <v>1500</v>
      </c>
      <c r="L172" s="42" t="n">
        <f aca="false">IFERROR(INDEX('Sales Roster &amp; Quotas'!$G$6:$G$20,MATCH($B172,'Sales Roster &amp; Quotas'!$B$6:$B$20,0)),0)</f>
        <v>135000</v>
      </c>
      <c r="M172" s="43" t="n">
        <f aca="false">SUMIFS($K$5:$K$274,$B$5:$B$274,$B172,$G$5:$G$274,$G172,$H$5:$H$274,"New Business")</f>
        <v>144000</v>
      </c>
      <c r="N172" s="44" t="n">
        <f aca="false">IFERROR(M172/L172,0)</f>
        <v>1.06666666666667</v>
      </c>
      <c r="O172" s="43" t="n">
        <f aca="false">MIN(M172,L172)</f>
        <v>135000</v>
      </c>
      <c r="P172" s="43" t="n">
        <f aca="false">MAX(MIN(M172,L172*1.25)-L172,0)</f>
        <v>9000</v>
      </c>
      <c r="Q172" s="43" t="n">
        <f aca="false">MAX(M172-L172*1.25,0)</f>
        <v>0</v>
      </c>
      <c r="R172" s="42" t="n">
        <f aca="false">O172*'Commission Plan Rules'!$F$6+P172*'Commission Plan Rules'!$F$7+Q172*'Commission Plan Rules'!$F$8</f>
        <v>11700</v>
      </c>
      <c r="S172" s="45" t="n">
        <f aca="false">IF(H172="New Business",IFERROR((K172/M172)*R172,0),IF(H172="Upsell",K172*'Commission Plan Rules'!$F$9,IF(H172="Renewal",K172*'Commission Plan Rules'!$F$10,0)))</f>
        <v>45</v>
      </c>
    </row>
    <row r="173" customFormat="false" ht="15" hidden="false" customHeight="true" outlineLevel="0" collapsed="false">
      <c r="A173" s="24" t="s">
        <v>420</v>
      </c>
      <c r="B173" s="24" t="s">
        <v>79</v>
      </c>
      <c r="C173" s="34" t="str">
        <f aca="false">IFERROR(INDEX('Sales Roster &amp; Quotas'!$C$6:$C$20,MATCH($B173,'Sales Roster &amp; Quotas'!$B$6:$B$20,0)),"")</f>
        <v>David Nguyen</v>
      </c>
      <c r="D173" s="34" t="str">
        <f aca="false">IFERROR(INDEX('Sales Roster &amp; Quotas'!$D$6:$D$20,MATCH($B173,'Sales Roster &amp; Quotas'!$B$6:$B$20,0)),"")</f>
        <v>SMB</v>
      </c>
      <c r="E173" s="25" t="n">
        <v>46126</v>
      </c>
      <c r="F173" s="35" t="str">
        <f aca="false">TEXT(E173,"yyyy-mm")</f>
        <v>2026-04</v>
      </c>
      <c r="G173" s="35" t="str">
        <f aca="false">IF(MONTH(E173)&lt;=3,"Q1","Q2")</f>
        <v>Q2</v>
      </c>
      <c r="H173" s="24" t="s">
        <v>45</v>
      </c>
      <c r="I173" s="24" t="s">
        <v>421</v>
      </c>
      <c r="J173" s="24" t="s">
        <v>152</v>
      </c>
      <c r="K173" s="26" t="n">
        <v>6500</v>
      </c>
      <c r="L173" s="36" t="n">
        <f aca="false">IFERROR(INDEX('Sales Roster &amp; Quotas'!$G$6:$G$20,MATCH($B173,'Sales Roster &amp; Quotas'!$B$6:$B$20,0)),0)</f>
        <v>155000</v>
      </c>
      <c r="M173" s="37" t="n">
        <f aca="false">SUMIFS($K$5:$K$274,$B$5:$B$274,$B173,$G$5:$G$274,$G173,$H$5:$H$274,"New Business")</f>
        <v>26000</v>
      </c>
      <c r="N173" s="38" t="n">
        <f aca="false">IFERROR(M173/L173,0)</f>
        <v>0.167741935483871</v>
      </c>
      <c r="O173" s="37" t="n">
        <f aca="false">MIN(M173,L173)</f>
        <v>26000</v>
      </c>
      <c r="P173" s="37" t="n">
        <f aca="false">MAX(MIN(M173,L173*1.25)-L173,0)</f>
        <v>0</v>
      </c>
      <c r="Q173" s="37" t="n">
        <f aca="false">MAX(M173-L173*1.25,0)</f>
        <v>0</v>
      </c>
      <c r="R173" s="36" t="n">
        <f aca="false">O173*'Commission Plan Rules'!$F$6+P173*'Commission Plan Rules'!$F$7+Q173*'Commission Plan Rules'!$F$8</f>
        <v>2080</v>
      </c>
      <c r="S173" s="39" t="n">
        <f aca="false">IF(H173="New Business",IFERROR((K173/M173)*R173,0),IF(H173="Upsell",K173*'Commission Plan Rules'!$F$9,IF(H173="Renewal",K173*'Commission Plan Rules'!$F$10,0)))</f>
        <v>390</v>
      </c>
    </row>
    <row r="174" customFormat="false" ht="15" hidden="false" customHeight="true" outlineLevel="0" collapsed="false">
      <c r="A174" s="27" t="s">
        <v>422</v>
      </c>
      <c r="B174" s="27" t="s">
        <v>111</v>
      </c>
      <c r="C174" s="40" t="str">
        <f aca="false">IFERROR(INDEX('Sales Roster &amp; Quotas'!$C$6:$C$20,MATCH($B174,'Sales Roster &amp; Quotas'!$B$6:$B$20,0)),"")</f>
        <v>Kevin Novak</v>
      </c>
      <c r="D174" s="40" t="str">
        <f aca="false">IFERROR(INDEX('Sales Roster &amp; Quotas'!$D$6:$D$20,MATCH($B174,'Sales Roster &amp; Quotas'!$B$6:$B$20,0)),"")</f>
        <v>Enterprise</v>
      </c>
      <c r="E174" s="28" t="n">
        <v>46126</v>
      </c>
      <c r="F174" s="41" t="str">
        <f aca="false">TEXT(E174,"yyyy-mm")</f>
        <v>2026-04</v>
      </c>
      <c r="G174" s="41" t="str">
        <f aca="false">IF(MONTH(E174)&lt;=3,"Q1","Q2")</f>
        <v>Q2</v>
      </c>
      <c r="H174" s="27" t="s">
        <v>48</v>
      </c>
      <c r="I174" s="27" t="s">
        <v>423</v>
      </c>
      <c r="J174" s="27" t="s">
        <v>137</v>
      </c>
      <c r="K174" s="29" t="n">
        <v>37000</v>
      </c>
      <c r="L174" s="42" t="n">
        <f aca="false">IFERROR(INDEX('Sales Roster &amp; Quotas'!$G$6:$G$20,MATCH($B174,'Sales Roster &amp; Quotas'!$B$6:$B$20,0)),0)</f>
        <v>641000</v>
      </c>
      <c r="M174" s="43" t="n">
        <f aca="false">SUMIFS($K$5:$K$274,$B$5:$B$274,$B174,$G$5:$G$274,$G174,$H$5:$H$274,"New Business")</f>
        <v>570000</v>
      </c>
      <c r="N174" s="44" t="n">
        <f aca="false">IFERROR(M174/L174,0)</f>
        <v>0.889235569422777</v>
      </c>
      <c r="O174" s="43" t="n">
        <f aca="false">MIN(M174,L174)</f>
        <v>570000</v>
      </c>
      <c r="P174" s="43" t="n">
        <f aca="false">MAX(MIN(M174,L174*1.25)-L174,0)</f>
        <v>0</v>
      </c>
      <c r="Q174" s="43" t="n">
        <f aca="false">MAX(M174-L174*1.25,0)</f>
        <v>0</v>
      </c>
      <c r="R174" s="42" t="n">
        <f aca="false">O174*'Commission Plan Rules'!$F$6+P174*'Commission Plan Rules'!$F$7+Q174*'Commission Plan Rules'!$F$8</f>
        <v>45600</v>
      </c>
      <c r="S174" s="45" t="n">
        <f aca="false">IF(H174="New Business",IFERROR((K174/M174)*R174,0),IF(H174="Upsell",K174*'Commission Plan Rules'!$F$9,IF(H174="Renewal",K174*'Commission Plan Rules'!$F$10,0)))</f>
        <v>1110</v>
      </c>
    </row>
    <row r="175" customFormat="false" ht="15" hidden="false" customHeight="true" outlineLevel="0" collapsed="false">
      <c r="A175" s="24" t="s">
        <v>424</v>
      </c>
      <c r="B175" s="24" t="s">
        <v>75</v>
      </c>
      <c r="C175" s="34" t="str">
        <f aca="false">IFERROR(INDEX('Sales Roster &amp; Quotas'!$C$6:$C$20,MATCH($B175,'Sales Roster &amp; Quotas'!$B$6:$B$20,0)),"")</f>
        <v>Priya Patel</v>
      </c>
      <c r="D175" s="34" t="str">
        <f aca="false">IFERROR(INDEX('Sales Roster &amp; Quotas'!$D$6:$D$20,MATCH($B175,'Sales Roster &amp; Quotas'!$B$6:$B$20,0)),"")</f>
        <v>SMB</v>
      </c>
      <c r="E175" s="25" t="n">
        <v>46127</v>
      </c>
      <c r="F175" s="35" t="str">
        <f aca="false">TEXT(E175,"yyyy-mm")</f>
        <v>2026-04</v>
      </c>
      <c r="G175" s="35" t="str">
        <f aca="false">IF(MONTH(E175)&lt;=3,"Q1","Q2")</f>
        <v>Q2</v>
      </c>
      <c r="H175" s="24" t="s">
        <v>45</v>
      </c>
      <c r="I175" s="24" t="s">
        <v>425</v>
      </c>
      <c r="J175" s="24" t="s">
        <v>137</v>
      </c>
      <c r="K175" s="26" t="n">
        <v>13000</v>
      </c>
      <c r="L175" s="36" t="n">
        <f aca="false">IFERROR(INDEX('Sales Roster &amp; Quotas'!$G$6:$G$20,MATCH($B175,'Sales Roster &amp; Quotas'!$B$6:$B$20,0)),0)</f>
        <v>137000</v>
      </c>
      <c r="M175" s="37" t="n">
        <f aca="false">SUMIFS($K$5:$K$274,$B$5:$B$274,$B175,$G$5:$G$274,$G175,$H$5:$H$274,"New Business")</f>
        <v>119000</v>
      </c>
      <c r="N175" s="38" t="n">
        <f aca="false">IFERROR(M175/L175,0)</f>
        <v>0.868613138686131</v>
      </c>
      <c r="O175" s="37" t="n">
        <f aca="false">MIN(M175,L175)</f>
        <v>119000</v>
      </c>
      <c r="P175" s="37" t="n">
        <f aca="false">MAX(MIN(M175,L175*1.25)-L175,0)</f>
        <v>0</v>
      </c>
      <c r="Q175" s="37" t="n">
        <f aca="false">MAX(M175-L175*1.25,0)</f>
        <v>0</v>
      </c>
      <c r="R175" s="36" t="n">
        <f aca="false">O175*'Commission Plan Rules'!$F$6+P175*'Commission Plan Rules'!$F$7+Q175*'Commission Plan Rules'!$F$8</f>
        <v>9520</v>
      </c>
      <c r="S175" s="39" t="n">
        <f aca="false">IF(H175="New Business",IFERROR((K175/M175)*R175,0),IF(H175="Upsell",K175*'Commission Plan Rules'!$F$9,IF(H175="Renewal",K175*'Commission Plan Rules'!$F$10,0)))</f>
        <v>780</v>
      </c>
    </row>
    <row r="176" customFormat="false" ht="15" hidden="false" customHeight="true" outlineLevel="0" collapsed="false">
      <c r="A176" s="27" t="s">
        <v>426</v>
      </c>
      <c r="B176" s="27" t="s">
        <v>85</v>
      </c>
      <c r="C176" s="40" t="str">
        <f aca="false">IFERROR(INDEX('Sales Roster &amp; Quotas'!$C$6:$C$20,MATCH($B176,'Sales Roster &amp; Quotas'!$B$6:$B$20,0)),"")</f>
        <v>Marcus Bennett</v>
      </c>
      <c r="D176" s="40" t="str">
        <f aca="false">IFERROR(INDEX('Sales Roster &amp; Quotas'!$D$6:$D$20,MATCH($B176,'Sales Roster &amp; Quotas'!$B$6:$B$20,0)),"")</f>
        <v>SMB</v>
      </c>
      <c r="E176" s="28" t="n">
        <v>46128</v>
      </c>
      <c r="F176" s="41" t="str">
        <f aca="false">TEXT(E176,"yyyy-mm")</f>
        <v>2026-04</v>
      </c>
      <c r="G176" s="41" t="str">
        <f aca="false">IF(MONTH(E176)&lt;=3,"Q1","Q2")</f>
        <v>Q2</v>
      </c>
      <c r="H176" s="27" t="s">
        <v>40</v>
      </c>
      <c r="I176" s="27" t="s">
        <v>207</v>
      </c>
      <c r="J176" s="27" t="s">
        <v>157</v>
      </c>
      <c r="K176" s="29" t="n">
        <v>33000</v>
      </c>
      <c r="L176" s="42" t="n">
        <f aca="false">IFERROR(INDEX('Sales Roster &amp; Quotas'!$G$6:$G$20,MATCH($B176,'Sales Roster &amp; Quotas'!$B$6:$B$20,0)),0)</f>
        <v>159000</v>
      </c>
      <c r="M176" s="43" t="n">
        <f aca="false">SUMIFS($K$5:$K$274,$B$5:$B$274,$B176,$G$5:$G$274,$G176,$H$5:$H$274,"New Business")</f>
        <v>200000</v>
      </c>
      <c r="N176" s="44" t="n">
        <f aca="false">IFERROR(M176/L176,0)</f>
        <v>1.25786163522013</v>
      </c>
      <c r="O176" s="43" t="n">
        <f aca="false">MIN(M176,L176)</f>
        <v>159000</v>
      </c>
      <c r="P176" s="43" t="n">
        <f aca="false">MAX(MIN(M176,L176*1.25)-L176,0)</f>
        <v>39750</v>
      </c>
      <c r="Q176" s="43" t="n">
        <f aca="false">MAX(M176-L176*1.25,0)</f>
        <v>1250</v>
      </c>
      <c r="R176" s="42" t="n">
        <f aca="false">O176*'Commission Plan Rules'!$F$6+P176*'Commission Plan Rules'!$F$7+Q176*'Commission Plan Rules'!$F$8</f>
        <v>16845</v>
      </c>
      <c r="S176" s="45" t="n">
        <f aca="false">IF(H176="New Business",IFERROR((K176/M176)*R176,0),IF(H176="Upsell",K176*'Commission Plan Rules'!$F$9,IF(H176="Renewal",K176*'Commission Plan Rules'!$F$10,0)))</f>
        <v>2779.425</v>
      </c>
    </row>
    <row r="177" customFormat="false" ht="15" hidden="false" customHeight="true" outlineLevel="0" collapsed="false">
      <c r="A177" s="24" t="s">
        <v>427</v>
      </c>
      <c r="B177" s="24" t="s">
        <v>75</v>
      </c>
      <c r="C177" s="34" t="str">
        <f aca="false">IFERROR(INDEX('Sales Roster &amp; Quotas'!$C$6:$C$20,MATCH($B177,'Sales Roster &amp; Quotas'!$B$6:$B$20,0)),"")</f>
        <v>Priya Patel</v>
      </c>
      <c r="D177" s="34" t="str">
        <f aca="false">IFERROR(INDEX('Sales Roster &amp; Quotas'!$D$6:$D$20,MATCH($B177,'Sales Roster &amp; Quotas'!$B$6:$B$20,0)),"")</f>
        <v>SMB</v>
      </c>
      <c r="E177" s="25" t="n">
        <v>46130</v>
      </c>
      <c r="F177" s="35" t="str">
        <f aca="false">TEXT(E177,"yyyy-mm")</f>
        <v>2026-04</v>
      </c>
      <c r="G177" s="35" t="str">
        <f aca="false">IF(MONTH(E177)&lt;=3,"Q1","Q2")</f>
        <v>Q2</v>
      </c>
      <c r="H177" s="24" t="s">
        <v>48</v>
      </c>
      <c r="I177" s="24" t="s">
        <v>223</v>
      </c>
      <c r="J177" s="24" t="s">
        <v>137</v>
      </c>
      <c r="K177" s="26" t="n">
        <v>14000</v>
      </c>
      <c r="L177" s="36" t="n">
        <f aca="false">IFERROR(INDEX('Sales Roster &amp; Quotas'!$G$6:$G$20,MATCH($B177,'Sales Roster &amp; Quotas'!$B$6:$B$20,0)),0)</f>
        <v>137000</v>
      </c>
      <c r="M177" s="37" t="n">
        <f aca="false">SUMIFS($K$5:$K$274,$B$5:$B$274,$B177,$G$5:$G$274,$G177,$H$5:$H$274,"New Business")</f>
        <v>119000</v>
      </c>
      <c r="N177" s="38" t="n">
        <f aca="false">IFERROR(M177/L177,0)</f>
        <v>0.868613138686131</v>
      </c>
      <c r="O177" s="37" t="n">
        <f aca="false">MIN(M177,L177)</f>
        <v>119000</v>
      </c>
      <c r="P177" s="37" t="n">
        <f aca="false">MAX(MIN(M177,L177*1.25)-L177,0)</f>
        <v>0</v>
      </c>
      <c r="Q177" s="37" t="n">
        <f aca="false">MAX(M177-L177*1.25,0)</f>
        <v>0</v>
      </c>
      <c r="R177" s="36" t="n">
        <f aca="false">O177*'Commission Plan Rules'!$F$6+P177*'Commission Plan Rules'!$F$7+Q177*'Commission Plan Rules'!$F$8</f>
        <v>9520</v>
      </c>
      <c r="S177" s="39" t="n">
        <f aca="false">IF(H177="New Business",IFERROR((K177/M177)*R177,0),IF(H177="Upsell",K177*'Commission Plan Rules'!$F$9,IF(H177="Renewal",K177*'Commission Plan Rules'!$F$10,0)))</f>
        <v>420</v>
      </c>
    </row>
    <row r="178" customFormat="false" ht="15" hidden="false" customHeight="true" outlineLevel="0" collapsed="false">
      <c r="A178" s="27" t="s">
        <v>428</v>
      </c>
      <c r="B178" s="27" t="s">
        <v>92</v>
      </c>
      <c r="C178" s="40" t="str">
        <f aca="false">IFERROR(INDEX('Sales Roster &amp; Quotas'!$C$6:$C$20,MATCH($B178,'Sales Roster &amp; Quotas'!$B$6:$B$20,0)),"")</f>
        <v>Tyler Alvarez</v>
      </c>
      <c r="D178" s="40" t="str">
        <f aca="false">IFERROR(INDEX('Sales Roster &amp; Quotas'!$D$6:$D$20,MATCH($B178,'Sales Roster &amp; Quotas'!$B$6:$B$20,0)),"")</f>
        <v>Mid-Market</v>
      </c>
      <c r="E178" s="28" t="n">
        <v>46130</v>
      </c>
      <c r="F178" s="41" t="str">
        <f aca="false">TEXT(E178,"yyyy-mm")</f>
        <v>2026-04</v>
      </c>
      <c r="G178" s="41" t="str">
        <f aca="false">IF(MONTH(E178)&lt;=3,"Q1","Q2")</f>
        <v>Q2</v>
      </c>
      <c r="H178" s="27" t="s">
        <v>40</v>
      </c>
      <c r="I178" s="27" t="s">
        <v>429</v>
      </c>
      <c r="J178" s="27" t="s">
        <v>137</v>
      </c>
      <c r="K178" s="29" t="n">
        <v>36000</v>
      </c>
      <c r="L178" s="42" t="n">
        <f aca="false">IFERROR(INDEX('Sales Roster &amp; Quotas'!$G$6:$G$20,MATCH($B178,'Sales Roster &amp; Quotas'!$B$6:$B$20,0)),0)</f>
        <v>275000</v>
      </c>
      <c r="M178" s="43" t="n">
        <f aca="false">SUMIFS($K$5:$K$274,$B$5:$B$274,$B178,$G$5:$G$274,$G178,$H$5:$H$274,"New Business")</f>
        <v>314500</v>
      </c>
      <c r="N178" s="44" t="n">
        <f aca="false">IFERROR(M178/L178,0)</f>
        <v>1.14363636363636</v>
      </c>
      <c r="O178" s="43" t="n">
        <f aca="false">MIN(M178,L178)</f>
        <v>275000</v>
      </c>
      <c r="P178" s="43" t="n">
        <f aca="false">MAX(MIN(M178,L178*1.25)-L178,0)</f>
        <v>39500</v>
      </c>
      <c r="Q178" s="43" t="n">
        <f aca="false">MAX(M178-L178*1.25,0)</f>
        <v>0</v>
      </c>
      <c r="R178" s="42" t="n">
        <f aca="false">O178*'Commission Plan Rules'!$F$6+P178*'Commission Plan Rules'!$F$7+Q178*'Commission Plan Rules'!$F$8</f>
        <v>25950</v>
      </c>
      <c r="S178" s="45" t="n">
        <f aca="false">IF(H178="New Business",IFERROR((K178/M178)*R178,0),IF(H178="Upsell",K178*'Commission Plan Rules'!$F$9,IF(H178="Renewal",K178*'Commission Plan Rules'!$F$10,0)))</f>
        <v>2970.42925278219</v>
      </c>
    </row>
    <row r="179" customFormat="false" ht="15" hidden="false" customHeight="true" outlineLevel="0" collapsed="false">
      <c r="A179" s="24" t="s">
        <v>430</v>
      </c>
      <c r="B179" s="24" t="s">
        <v>104</v>
      </c>
      <c r="C179" s="34" t="str">
        <f aca="false">IFERROR(INDEX('Sales Roster &amp; Quotas'!$C$6:$C$20,MATCH($B179,'Sales Roster &amp; Quotas'!$B$6:$B$20,0)),"")</f>
        <v>Omar Fischer</v>
      </c>
      <c r="D179" s="34" t="str">
        <f aca="false">IFERROR(INDEX('Sales Roster &amp; Quotas'!$D$6:$D$20,MATCH($B179,'Sales Roster &amp; Quotas'!$B$6:$B$20,0)),"")</f>
        <v>Mid-Market</v>
      </c>
      <c r="E179" s="25" t="n">
        <v>46131</v>
      </c>
      <c r="F179" s="35" t="str">
        <f aca="false">TEXT(E179,"yyyy-mm")</f>
        <v>2026-04</v>
      </c>
      <c r="G179" s="35" t="str">
        <f aca="false">IF(MONTH(E179)&lt;=3,"Q1","Q2")</f>
        <v>Q2</v>
      </c>
      <c r="H179" s="24" t="s">
        <v>45</v>
      </c>
      <c r="I179" s="24" t="s">
        <v>431</v>
      </c>
      <c r="J179" s="24" t="s">
        <v>137</v>
      </c>
      <c r="K179" s="26" t="n">
        <v>10500</v>
      </c>
      <c r="L179" s="36" t="n">
        <f aca="false">IFERROR(INDEX('Sales Roster &amp; Quotas'!$G$6:$G$20,MATCH($B179,'Sales Roster &amp; Quotas'!$B$6:$B$20,0)),0)</f>
        <v>324000</v>
      </c>
      <c r="M179" s="37" t="n">
        <f aca="false">SUMIFS($K$5:$K$274,$B$5:$B$274,$B179,$G$5:$G$274,$G179,$H$5:$H$274,"New Business")</f>
        <v>575500</v>
      </c>
      <c r="N179" s="38" t="n">
        <f aca="false">IFERROR(M179/L179,0)</f>
        <v>1.77623456790123</v>
      </c>
      <c r="O179" s="37" t="n">
        <f aca="false">MIN(M179,L179)</f>
        <v>324000</v>
      </c>
      <c r="P179" s="37" t="n">
        <f aca="false">MAX(MIN(M179,L179*1.25)-L179,0)</f>
        <v>81000</v>
      </c>
      <c r="Q179" s="37" t="n">
        <f aca="false">MAX(M179-L179*1.25,0)</f>
        <v>170500</v>
      </c>
      <c r="R179" s="36" t="n">
        <f aca="false">O179*'Commission Plan Rules'!$F$6+P179*'Commission Plan Rules'!$F$7+Q179*'Commission Plan Rules'!$F$8</f>
        <v>54480</v>
      </c>
      <c r="S179" s="39" t="n">
        <f aca="false">IF(H179="New Business",IFERROR((K179/M179)*R179,0),IF(H179="Upsell",K179*'Commission Plan Rules'!$F$9,IF(H179="Renewal",K179*'Commission Plan Rules'!$F$10,0)))</f>
        <v>630</v>
      </c>
    </row>
    <row r="180" customFormat="false" ht="15" hidden="false" customHeight="true" outlineLevel="0" collapsed="false">
      <c r="A180" s="27" t="s">
        <v>432</v>
      </c>
      <c r="B180" s="27" t="s">
        <v>97</v>
      </c>
      <c r="C180" s="40" t="str">
        <f aca="false">IFERROR(INDEX('Sales Roster &amp; Quotas'!$C$6:$C$20,MATCH($B180,'Sales Roster &amp; Quotas'!$B$6:$B$20,0)),"")</f>
        <v>Ryan Sullivan</v>
      </c>
      <c r="D180" s="40" t="str">
        <f aca="false">IFERROR(INDEX('Sales Roster &amp; Quotas'!$D$6:$D$20,MATCH($B180,'Sales Roster &amp; Quotas'!$B$6:$B$20,0)),"")</f>
        <v>Mid-Market</v>
      </c>
      <c r="E180" s="28" t="n">
        <v>46131</v>
      </c>
      <c r="F180" s="41" t="str">
        <f aca="false">TEXT(E180,"yyyy-mm")</f>
        <v>2026-04</v>
      </c>
      <c r="G180" s="41" t="str">
        <f aca="false">IF(MONTH(E180)&lt;=3,"Q1","Q2")</f>
        <v>Q2</v>
      </c>
      <c r="H180" s="27" t="s">
        <v>40</v>
      </c>
      <c r="I180" s="27" t="s">
        <v>433</v>
      </c>
      <c r="J180" s="27" t="s">
        <v>157</v>
      </c>
      <c r="K180" s="29" t="n">
        <v>233500</v>
      </c>
      <c r="L180" s="42" t="n">
        <f aca="false">IFERROR(INDEX('Sales Roster &amp; Quotas'!$G$6:$G$20,MATCH($B180,'Sales Roster &amp; Quotas'!$B$6:$B$20,0)),0)</f>
        <v>273000</v>
      </c>
      <c r="M180" s="43" t="n">
        <f aca="false">SUMIFS($K$5:$K$274,$B$5:$B$274,$B180,$G$5:$G$274,$G180,$H$5:$H$274,"New Business")</f>
        <v>307000</v>
      </c>
      <c r="N180" s="44" t="n">
        <f aca="false">IFERROR(M180/L180,0)</f>
        <v>1.12454212454212</v>
      </c>
      <c r="O180" s="43" t="n">
        <f aca="false">MIN(M180,L180)</f>
        <v>273000</v>
      </c>
      <c r="P180" s="43" t="n">
        <f aca="false">MAX(MIN(M180,L180*1.25)-L180,0)</f>
        <v>34000</v>
      </c>
      <c r="Q180" s="43" t="n">
        <f aca="false">MAX(M180-L180*1.25,0)</f>
        <v>0</v>
      </c>
      <c r="R180" s="42" t="n">
        <f aca="false">O180*'Commission Plan Rules'!$F$6+P180*'Commission Plan Rules'!$F$7+Q180*'Commission Plan Rules'!$F$8</f>
        <v>25240</v>
      </c>
      <c r="S180" s="45" t="n">
        <f aca="false">IF(H180="New Business",IFERROR((K180/M180)*R180,0),IF(H180="Upsell",K180*'Commission Plan Rules'!$F$9,IF(H180="Renewal",K180*'Commission Plan Rules'!$F$10,0)))</f>
        <v>19197.1986970684</v>
      </c>
    </row>
    <row r="181" customFormat="false" ht="15" hidden="false" customHeight="true" outlineLevel="0" collapsed="false">
      <c r="A181" s="24" t="s">
        <v>434</v>
      </c>
      <c r="B181" s="24" t="s">
        <v>92</v>
      </c>
      <c r="C181" s="34" t="str">
        <f aca="false">IFERROR(INDEX('Sales Roster &amp; Quotas'!$C$6:$C$20,MATCH($B181,'Sales Roster &amp; Quotas'!$B$6:$B$20,0)),"")</f>
        <v>Tyler Alvarez</v>
      </c>
      <c r="D181" s="34" t="str">
        <f aca="false">IFERROR(INDEX('Sales Roster &amp; Quotas'!$D$6:$D$20,MATCH($B181,'Sales Roster &amp; Quotas'!$B$6:$B$20,0)),"")</f>
        <v>Mid-Market</v>
      </c>
      <c r="E181" s="25" t="n">
        <v>46132</v>
      </c>
      <c r="F181" s="35" t="str">
        <f aca="false">TEXT(E181,"yyyy-mm")</f>
        <v>2026-04</v>
      </c>
      <c r="G181" s="35" t="str">
        <f aca="false">IF(MONTH(E181)&lt;=3,"Q1","Q2")</f>
        <v>Q2</v>
      </c>
      <c r="H181" s="24" t="s">
        <v>45</v>
      </c>
      <c r="I181" s="24" t="s">
        <v>339</v>
      </c>
      <c r="J181" s="24" t="s">
        <v>157</v>
      </c>
      <c r="K181" s="26" t="n">
        <v>13500</v>
      </c>
      <c r="L181" s="36" t="n">
        <f aca="false">IFERROR(INDEX('Sales Roster &amp; Quotas'!$G$6:$G$20,MATCH($B181,'Sales Roster &amp; Quotas'!$B$6:$B$20,0)),0)</f>
        <v>275000</v>
      </c>
      <c r="M181" s="37" t="n">
        <f aca="false">SUMIFS($K$5:$K$274,$B$5:$B$274,$B181,$G$5:$G$274,$G181,$H$5:$H$274,"New Business")</f>
        <v>314500</v>
      </c>
      <c r="N181" s="38" t="n">
        <f aca="false">IFERROR(M181/L181,0)</f>
        <v>1.14363636363636</v>
      </c>
      <c r="O181" s="37" t="n">
        <f aca="false">MIN(M181,L181)</f>
        <v>275000</v>
      </c>
      <c r="P181" s="37" t="n">
        <f aca="false">MAX(MIN(M181,L181*1.25)-L181,0)</f>
        <v>39500</v>
      </c>
      <c r="Q181" s="37" t="n">
        <f aca="false">MAX(M181-L181*1.25,0)</f>
        <v>0</v>
      </c>
      <c r="R181" s="36" t="n">
        <f aca="false">O181*'Commission Plan Rules'!$F$6+P181*'Commission Plan Rules'!$F$7+Q181*'Commission Plan Rules'!$F$8</f>
        <v>25950</v>
      </c>
      <c r="S181" s="39" t="n">
        <f aca="false">IF(H181="New Business",IFERROR((K181/M181)*R181,0),IF(H181="Upsell",K181*'Commission Plan Rules'!$F$9,IF(H181="Renewal",K181*'Commission Plan Rules'!$F$10,0)))</f>
        <v>810</v>
      </c>
    </row>
    <row r="182" customFormat="false" ht="15" hidden="false" customHeight="true" outlineLevel="0" collapsed="false">
      <c r="A182" s="27" t="s">
        <v>435</v>
      </c>
      <c r="B182" s="27" t="s">
        <v>92</v>
      </c>
      <c r="C182" s="40" t="str">
        <f aca="false">IFERROR(INDEX('Sales Roster &amp; Quotas'!$C$6:$C$20,MATCH($B182,'Sales Roster &amp; Quotas'!$B$6:$B$20,0)),"")</f>
        <v>Tyler Alvarez</v>
      </c>
      <c r="D182" s="40" t="str">
        <f aca="false">IFERROR(INDEX('Sales Roster &amp; Quotas'!$D$6:$D$20,MATCH($B182,'Sales Roster &amp; Quotas'!$B$6:$B$20,0)),"")</f>
        <v>Mid-Market</v>
      </c>
      <c r="E182" s="28" t="n">
        <v>46134</v>
      </c>
      <c r="F182" s="41" t="str">
        <f aca="false">TEXT(E182,"yyyy-mm")</f>
        <v>2026-04</v>
      </c>
      <c r="G182" s="41" t="str">
        <f aca="false">IF(MONTH(E182)&lt;=3,"Q1","Q2")</f>
        <v>Q2</v>
      </c>
      <c r="H182" s="27" t="s">
        <v>48</v>
      </c>
      <c r="I182" s="27" t="s">
        <v>322</v>
      </c>
      <c r="J182" s="27" t="s">
        <v>137</v>
      </c>
      <c r="K182" s="29" t="n">
        <v>2500</v>
      </c>
      <c r="L182" s="42" t="n">
        <f aca="false">IFERROR(INDEX('Sales Roster &amp; Quotas'!$G$6:$G$20,MATCH($B182,'Sales Roster &amp; Quotas'!$B$6:$B$20,0)),0)</f>
        <v>275000</v>
      </c>
      <c r="M182" s="43" t="n">
        <f aca="false">SUMIFS($K$5:$K$274,$B$5:$B$274,$B182,$G$5:$G$274,$G182,$H$5:$H$274,"New Business")</f>
        <v>314500</v>
      </c>
      <c r="N182" s="44" t="n">
        <f aca="false">IFERROR(M182/L182,0)</f>
        <v>1.14363636363636</v>
      </c>
      <c r="O182" s="43" t="n">
        <f aca="false">MIN(M182,L182)</f>
        <v>275000</v>
      </c>
      <c r="P182" s="43" t="n">
        <f aca="false">MAX(MIN(M182,L182*1.25)-L182,0)</f>
        <v>39500</v>
      </c>
      <c r="Q182" s="43" t="n">
        <f aca="false">MAX(M182-L182*1.25,0)</f>
        <v>0</v>
      </c>
      <c r="R182" s="42" t="n">
        <f aca="false">O182*'Commission Plan Rules'!$F$6+P182*'Commission Plan Rules'!$F$7+Q182*'Commission Plan Rules'!$F$8</f>
        <v>25950</v>
      </c>
      <c r="S182" s="45" t="n">
        <f aca="false">IF(H182="New Business",IFERROR((K182/M182)*R182,0),IF(H182="Upsell",K182*'Commission Plan Rules'!$F$9,IF(H182="Renewal",K182*'Commission Plan Rules'!$F$10,0)))</f>
        <v>75</v>
      </c>
    </row>
    <row r="183" customFormat="false" ht="15" hidden="false" customHeight="true" outlineLevel="0" collapsed="false">
      <c r="A183" s="24" t="s">
        <v>436</v>
      </c>
      <c r="B183" s="24" t="s">
        <v>79</v>
      </c>
      <c r="C183" s="34" t="str">
        <f aca="false">IFERROR(INDEX('Sales Roster &amp; Quotas'!$C$6:$C$20,MATCH($B183,'Sales Roster &amp; Quotas'!$B$6:$B$20,0)),"")</f>
        <v>David Nguyen</v>
      </c>
      <c r="D183" s="34" t="str">
        <f aca="false">IFERROR(INDEX('Sales Roster &amp; Quotas'!$D$6:$D$20,MATCH($B183,'Sales Roster &amp; Quotas'!$B$6:$B$20,0)),"")</f>
        <v>SMB</v>
      </c>
      <c r="E183" s="25" t="n">
        <v>46134</v>
      </c>
      <c r="F183" s="35" t="str">
        <f aca="false">TEXT(E183,"yyyy-mm")</f>
        <v>2026-04</v>
      </c>
      <c r="G183" s="35" t="str">
        <f aca="false">IF(MONTH(E183)&lt;=3,"Q1","Q2")</f>
        <v>Q2</v>
      </c>
      <c r="H183" s="24" t="s">
        <v>48</v>
      </c>
      <c r="I183" s="24" t="s">
        <v>437</v>
      </c>
      <c r="J183" s="24" t="s">
        <v>152</v>
      </c>
      <c r="K183" s="26" t="n">
        <v>133000</v>
      </c>
      <c r="L183" s="36" t="n">
        <f aca="false">IFERROR(INDEX('Sales Roster &amp; Quotas'!$G$6:$G$20,MATCH($B183,'Sales Roster &amp; Quotas'!$B$6:$B$20,0)),0)</f>
        <v>155000</v>
      </c>
      <c r="M183" s="37" t="n">
        <f aca="false">SUMIFS($K$5:$K$274,$B$5:$B$274,$B183,$G$5:$G$274,$G183,$H$5:$H$274,"New Business")</f>
        <v>26000</v>
      </c>
      <c r="N183" s="38" t="n">
        <f aca="false">IFERROR(M183/L183,0)</f>
        <v>0.167741935483871</v>
      </c>
      <c r="O183" s="37" t="n">
        <f aca="false">MIN(M183,L183)</f>
        <v>26000</v>
      </c>
      <c r="P183" s="37" t="n">
        <f aca="false">MAX(MIN(M183,L183*1.25)-L183,0)</f>
        <v>0</v>
      </c>
      <c r="Q183" s="37" t="n">
        <f aca="false">MAX(M183-L183*1.25,0)</f>
        <v>0</v>
      </c>
      <c r="R183" s="36" t="n">
        <f aca="false">O183*'Commission Plan Rules'!$F$6+P183*'Commission Plan Rules'!$F$7+Q183*'Commission Plan Rules'!$F$8</f>
        <v>2080</v>
      </c>
      <c r="S183" s="39" t="n">
        <f aca="false">IF(H183="New Business",IFERROR((K183/M183)*R183,0),IF(H183="Upsell",K183*'Commission Plan Rules'!$F$9,IF(H183="Renewal",K183*'Commission Plan Rules'!$F$10,0)))</f>
        <v>3990</v>
      </c>
    </row>
    <row r="184" customFormat="false" ht="15" hidden="false" customHeight="true" outlineLevel="0" collapsed="false">
      <c r="A184" s="27" t="s">
        <v>438</v>
      </c>
      <c r="B184" s="27" t="s">
        <v>101</v>
      </c>
      <c r="C184" s="40" t="str">
        <f aca="false">IFERROR(INDEX('Sales Roster &amp; Quotas'!$C$6:$C$20,MATCH($B184,'Sales Roster &amp; Quotas'!$B$6:$B$20,0)),"")</f>
        <v>Natalie Reyes</v>
      </c>
      <c r="D184" s="40" t="str">
        <f aca="false">IFERROR(INDEX('Sales Roster &amp; Quotas'!$D$6:$D$20,MATCH($B184,'Sales Roster &amp; Quotas'!$B$6:$B$20,0)),"")</f>
        <v>Mid-Market</v>
      </c>
      <c r="E184" s="28" t="n">
        <v>46136</v>
      </c>
      <c r="F184" s="41" t="str">
        <f aca="false">TEXT(E184,"yyyy-mm")</f>
        <v>2026-04</v>
      </c>
      <c r="G184" s="41" t="str">
        <f aca="false">IF(MONTH(E184)&lt;=3,"Q1","Q2")</f>
        <v>Q2</v>
      </c>
      <c r="H184" s="27" t="s">
        <v>40</v>
      </c>
      <c r="I184" s="27" t="s">
        <v>391</v>
      </c>
      <c r="J184" s="27" t="s">
        <v>142</v>
      </c>
      <c r="K184" s="29" t="n">
        <v>7000</v>
      </c>
      <c r="L184" s="42" t="n">
        <f aca="false">IFERROR(INDEX('Sales Roster &amp; Quotas'!$G$6:$G$20,MATCH($B184,'Sales Roster &amp; Quotas'!$B$6:$B$20,0)),0)</f>
        <v>295000</v>
      </c>
      <c r="M184" s="43" t="n">
        <f aca="false">SUMIFS($K$5:$K$274,$B$5:$B$274,$B184,$G$5:$G$274,$G184,$H$5:$H$274,"New Business")</f>
        <v>293500</v>
      </c>
      <c r="N184" s="44" t="n">
        <f aca="false">IFERROR(M184/L184,0)</f>
        <v>0.994915254237288</v>
      </c>
      <c r="O184" s="43" t="n">
        <f aca="false">MIN(M184,L184)</f>
        <v>293500</v>
      </c>
      <c r="P184" s="43" t="n">
        <f aca="false">MAX(MIN(M184,L184*1.25)-L184,0)</f>
        <v>0</v>
      </c>
      <c r="Q184" s="43" t="n">
        <f aca="false">MAX(M184-L184*1.25,0)</f>
        <v>0</v>
      </c>
      <c r="R184" s="42" t="n">
        <f aca="false">O184*'Commission Plan Rules'!$F$6+P184*'Commission Plan Rules'!$F$7+Q184*'Commission Plan Rules'!$F$8</f>
        <v>23480</v>
      </c>
      <c r="S184" s="45" t="n">
        <f aca="false">IF(H184="New Business",IFERROR((K184/M184)*R184,0),IF(H184="Upsell",K184*'Commission Plan Rules'!$F$9,IF(H184="Renewal",K184*'Commission Plan Rules'!$F$10,0)))</f>
        <v>560</v>
      </c>
    </row>
    <row r="185" customFormat="false" ht="15" hidden="false" customHeight="true" outlineLevel="0" collapsed="false">
      <c r="A185" s="24" t="s">
        <v>439</v>
      </c>
      <c r="B185" s="24" t="s">
        <v>67</v>
      </c>
      <c r="C185" s="34" t="str">
        <f aca="false">IFERROR(INDEX('Sales Roster &amp; Quotas'!$C$6:$C$20,MATCH($B185,'Sales Roster &amp; Quotas'!$B$6:$B$20,0)),"")</f>
        <v>Maria Chen</v>
      </c>
      <c r="D185" s="34" t="str">
        <f aca="false">IFERROR(INDEX('Sales Roster &amp; Quotas'!$D$6:$D$20,MATCH($B185,'Sales Roster &amp; Quotas'!$B$6:$B$20,0)),"")</f>
        <v>SMB</v>
      </c>
      <c r="E185" s="25" t="n">
        <v>46136</v>
      </c>
      <c r="F185" s="35" t="str">
        <f aca="false">TEXT(E185,"yyyy-mm")</f>
        <v>2026-04</v>
      </c>
      <c r="G185" s="35" t="str">
        <f aca="false">IF(MONTH(E185)&lt;=3,"Q1","Q2")</f>
        <v>Q2</v>
      </c>
      <c r="H185" s="24" t="s">
        <v>48</v>
      </c>
      <c r="I185" s="24" t="s">
        <v>359</v>
      </c>
      <c r="J185" s="24" t="s">
        <v>157</v>
      </c>
      <c r="K185" s="26" t="n">
        <v>10000</v>
      </c>
      <c r="L185" s="36" t="n">
        <f aca="false">IFERROR(INDEX('Sales Roster &amp; Quotas'!$G$6:$G$20,MATCH($B185,'Sales Roster &amp; Quotas'!$B$6:$B$20,0)),0)</f>
        <v>160000</v>
      </c>
      <c r="M185" s="37" t="n">
        <f aca="false">SUMIFS($K$5:$K$274,$B$5:$B$274,$B185,$G$5:$G$274,$G185,$H$5:$H$274,"New Business")</f>
        <v>113500</v>
      </c>
      <c r="N185" s="38" t="n">
        <f aca="false">IFERROR(M185/L185,0)</f>
        <v>0.709375</v>
      </c>
      <c r="O185" s="37" t="n">
        <f aca="false">MIN(M185,L185)</f>
        <v>113500</v>
      </c>
      <c r="P185" s="37" t="n">
        <f aca="false">MAX(MIN(M185,L185*1.25)-L185,0)</f>
        <v>0</v>
      </c>
      <c r="Q185" s="37" t="n">
        <f aca="false">MAX(M185-L185*1.25,0)</f>
        <v>0</v>
      </c>
      <c r="R185" s="36" t="n">
        <f aca="false">O185*'Commission Plan Rules'!$F$6+P185*'Commission Plan Rules'!$F$7+Q185*'Commission Plan Rules'!$F$8</f>
        <v>9080</v>
      </c>
      <c r="S185" s="39" t="n">
        <f aca="false">IF(H185="New Business",IFERROR((K185/M185)*R185,0),IF(H185="Upsell",K185*'Commission Plan Rules'!$F$9,IF(H185="Renewal",K185*'Commission Plan Rules'!$F$10,0)))</f>
        <v>300</v>
      </c>
    </row>
    <row r="186" customFormat="false" ht="15" hidden="false" customHeight="true" outlineLevel="0" collapsed="false">
      <c r="A186" s="27" t="s">
        <v>440</v>
      </c>
      <c r="B186" s="27" t="s">
        <v>104</v>
      </c>
      <c r="C186" s="40" t="str">
        <f aca="false">IFERROR(INDEX('Sales Roster &amp; Quotas'!$C$6:$C$20,MATCH($B186,'Sales Roster &amp; Quotas'!$B$6:$B$20,0)),"")</f>
        <v>Omar Fischer</v>
      </c>
      <c r="D186" s="40" t="str">
        <f aca="false">IFERROR(INDEX('Sales Roster &amp; Quotas'!$D$6:$D$20,MATCH($B186,'Sales Roster &amp; Quotas'!$B$6:$B$20,0)),"")</f>
        <v>Mid-Market</v>
      </c>
      <c r="E186" s="28" t="n">
        <v>46136</v>
      </c>
      <c r="F186" s="41" t="str">
        <f aca="false">TEXT(E186,"yyyy-mm")</f>
        <v>2026-04</v>
      </c>
      <c r="G186" s="41" t="str">
        <f aca="false">IF(MONTH(E186)&lt;=3,"Q1","Q2")</f>
        <v>Q2</v>
      </c>
      <c r="H186" s="27" t="s">
        <v>40</v>
      </c>
      <c r="I186" s="27" t="s">
        <v>139</v>
      </c>
      <c r="J186" s="27" t="s">
        <v>152</v>
      </c>
      <c r="K186" s="29" t="n">
        <v>22500</v>
      </c>
      <c r="L186" s="42" t="n">
        <f aca="false">IFERROR(INDEX('Sales Roster &amp; Quotas'!$G$6:$G$20,MATCH($B186,'Sales Roster &amp; Quotas'!$B$6:$B$20,0)),0)</f>
        <v>324000</v>
      </c>
      <c r="M186" s="43" t="n">
        <f aca="false">SUMIFS($K$5:$K$274,$B$5:$B$274,$B186,$G$5:$G$274,$G186,$H$5:$H$274,"New Business")</f>
        <v>575500</v>
      </c>
      <c r="N186" s="44" t="n">
        <f aca="false">IFERROR(M186/L186,0)</f>
        <v>1.77623456790123</v>
      </c>
      <c r="O186" s="43" t="n">
        <f aca="false">MIN(M186,L186)</f>
        <v>324000</v>
      </c>
      <c r="P186" s="43" t="n">
        <f aca="false">MAX(MIN(M186,L186*1.25)-L186,0)</f>
        <v>81000</v>
      </c>
      <c r="Q186" s="43" t="n">
        <f aca="false">MAX(M186-L186*1.25,0)</f>
        <v>170500</v>
      </c>
      <c r="R186" s="42" t="n">
        <f aca="false">O186*'Commission Plan Rules'!$F$6+P186*'Commission Plan Rules'!$F$7+Q186*'Commission Plan Rules'!$F$8</f>
        <v>54480</v>
      </c>
      <c r="S186" s="45" t="n">
        <f aca="false">IF(H186="New Business",IFERROR((K186/M186)*R186,0),IF(H186="Upsell",K186*'Commission Plan Rules'!$F$9,IF(H186="Renewal",K186*'Commission Plan Rules'!$F$10,0)))</f>
        <v>2129.97393570808</v>
      </c>
    </row>
    <row r="187" customFormat="false" ht="15" hidden="false" customHeight="true" outlineLevel="0" collapsed="false">
      <c r="A187" s="24" t="s">
        <v>441</v>
      </c>
      <c r="B187" s="24" t="s">
        <v>82</v>
      </c>
      <c r="C187" s="34" t="str">
        <f aca="false">IFERROR(INDEX('Sales Roster &amp; Quotas'!$C$6:$C$20,MATCH($B187,'Sales Roster &amp; Quotas'!$B$6:$B$20,0)),"")</f>
        <v>Sofia Rossi</v>
      </c>
      <c r="D187" s="34" t="str">
        <f aca="false">IFERROR(INDEX('Sales Roster &amp; Quotas'!$D$6:$D$20,MATCH($B187,'Sales Roster &amp; Quotas'!$B$6:$B$20,0)),"")</f>
        <v>SMB</v>
      </c>
      <c r="E187" s="25" t="n">
        <v>46136</v>
      </c>
      <c r="F187" s="35" t="str">
        <f aca="false">TEXT(E187,"yyyy-mm")</f>
        <v>2026-04</v>
      </c>
      <c r="G187" s="35" t="str">
        <f aca="false">IF(MONTH(E187)&lt;=3,"Q1","Q2")</f>
        <v>Q2</v>
      </c>
      <c r="H187" s="24" t="s">
        <v>48</v>
      </c>
      <c r="I187" s="24" t="s">
        <v>442</v>
      </c>
      <c r="J187" s="24" t="s">
        <v>137</v>
      </c>
      <c r="K187" s="26" t="n">
        <v>18500</v>
      </c>
      <c r="L187" s="36" t="n">
        <f aca="false">IFERROR(INDEX('Sales Roster &amp; Quotas'!$G$6:$G$20,MATCH($B187,'Sales Roster &amp; Quotas'!$B$6:$B$20,0)),0)</f>
        <v>152000</v>
      </c>
      <c r="M187" s="37" t="n">
        <f aca="false">SUMIFS($K$5:$K$274,$B$5:$B$274,$B187,$G$5:$G$274,$G187,$H$5:$H$274,"New Business")</f>
        <v>156500</v>
      </c>
      <c r="N187" s="38" t="n">
        <f aca="false">IFERROR(M187/L187,0)</f>
        <v>1.02960526315789</v>
      </c>
      <c r="O187" s="37" t="n">
        <f aca="false">MIN(M187,L187)</f>
        <v>152000</v>
      </c>
      <c r="P187" s="37" t="n">
        <f aca="false">MAX(MIN(M187,L187*1.25)-L187,0)</f>
        <v>4500</v>
      </c>
      <c r="Q187" s="37" t="n">
        <f aca="false">MAX(M187-L187*1.25,0)</f>
        <v>0</v>
      </c>
      <c r="R187" s="36" t="n">
        <f aca="false">O187*'Commission Plan Rules'!$F$6+P187*'Commission Plan Rules'!$F$7+Q187*'Commission Plan Rules'!$F$8</f>
        <v>12610</v>
      </c>
      <c r="S187" s="39" t="n">
        <f aca="false">IF(H187="New Business",IFERROR((K187/M187)*R187,0),IF(H187="Upsell",K187*'Commission Plan Rules'!$F$9,IF(H187="Renewal",K187*'Commission Plan Rules'!$F$10,0)))</f>
        <v>555</v>
      </c>
    </row>
    <row r="188" customFormat="false" ht="15" hidden="false" customHeight="true" outlineLevel="0" collapsed="false">
      <c r="A188" s="27" t="s">
        <v>443</v>
      </c>
      <c r="B188" s="27" t="s">
        <v>97</v>
      </c>
      <c r="C188" s="40" t="str">
        <f aca="false">IFERROR(INDEX('Sales Roster &amp; Quotas'!$C$6:$C$20,MATCH($B188,'Sales Roster &amp; Quotas'!$B$6:$B$20,0)),"")</f>
        <v>Ryan Sullivan</v>
      </c>
      <c r="D188" s="40" t="str">
        <f aca="false">IFERROR(INDEX('Sales Roster &amp; Quotas'!$D$6:$D$20,MATCH($B188,'Sales Roster &amp; Quotas'!$B$6:$B$20,0)),"")</f>
        <v>Mid-Market</v>
      </c>
      <c r="E188" s="28" t="n">
        <v>46137</v>
      </c>
      <c r="F188" s="41" t="str">
        <f aca="false">TEXT(E188,"yyyy-mm")</f>
        <v>2026-04</v>
      </c>
      <c r="G188" s="41" t="str">
        <f aca="false">IF(MONTH(E188)&lt;=3,"Q1","Q2")</f>
        <v>Q2</v>
      </c>
      <c r="H188" s="27" t="s">
        <v>45</v>
      </c>
      <c r="I188" s="27" t="s">
        <v>444</v>
      </c>
      <c r="J188" s="27" t="s">
        <v>137</v>
      </c>
      <c r="K188" s="29" t="n">
        <v>49500</v>
      </c>
      <c r="L188" s="42" t="n">
        <f aca="false">IFERROR(INDEX('Sales Roster &amp; Quotas'!$G$6:$G$20,MATCH($B188,'Sales Roster &amp; Quotas'!$B$6:$B$20,0)),0)</f>
        <v>273000</v>
      </c>
      <c r="M188" s="43" t="n">
        <f aca="false">SUMIFS($K$5:$K$274,$B$5:$B$274,$B188,$G$5:$G$274,$G188,$H$5:$H$274,"New Business")</f>
        <v>307000</v>
      </c>
      <c r="N188" s="44" t="n">
        <f aca="false">IFERROR(M188/L188,0)</f>
        <v>1.12454212454212</v>
      </c>
      <c r="O188" s="43" t="n">
        <f aca="false">MIN(M188,L188)</f>
        <v>273000</v>
      </c>
      <c r="P188" s="43" t="n">
        <f aca="false">MAX(MIN(M188,L188*1.25)-L188,0)</f>
        <v>34000</v>
      </c>
      <c r="Q188" s="43" t="n">
        <f aca="false">MAX(M188-L188*1.25,0)</f>
        <v>0</v>
      </c>
      <c r="R188" s="42" t="n">
        <f aca="false">O188*'Commission Plan Rules'!$F$6+P188*'Commission Plan Rules'!$F$7+Q188*'Commission Plan Rules'!$F$8</f>
        <v>25240</v>
      </c>
      <c r="S188" s="45" t="n">
        <f aca="false">IF(H188="New Business",IFERROR((K188/M188)*R188,0),IF(H188="Upsell",K188*'Commission Plan Rules'!$F$9,IF(H188="Renewal",K188*'Commission Plan Rules'!$F$10,0)))</f>
        <v>2970</v>
      </c>
    </row>
    <row r="189" customFormat="false" ht="15" hidden="false" customHeight="true" outlineLevel="0" collapsed="false">
      <c r="A189" s="24" t="s">
        <v>445</v>
      </c>
      <c r="B189" s="24" t="s">
        <v>107</v>
      </c>
      <c r="C189" s="34" t="str">
        <f aca="false">IFERROR(INDEX('Sales Roster &amp; Quotas'!$C$6:$C$20,MATCH($B189,'Sales Roster &amp; Quotas'!$B$6:$B$20,0)),"")</f>
        <v>Grace Adeyemi</v>
      </c>
      <c r="D189" s="34" t="str">
        <f aca="false">IFERROR(INDEX('Sales Roster &amp; Quotas'!$D$6:$D$20,MATCH($B189,'Sales Roster &amp; Quotas'!$B$6:$B$20,0)),"")</f>
        <v>Enterprise</v>
      </c>
      <c r="E189" s="25" t="n">
        <v>46137</v>
      </c>
      <c r="F189" s="35" t="str">
        <f aca="false">TEXT(E189,"yyyy-mm")</f>
        <v>2026-04</v>
      </c>
      <c r="G189" s="35" t="str">
        <f aca="false">IF(MONTH(E189)&lt;=3,"Q1","Q2")</f>
        <v>Q2</v>
      </c>
      <c r="H189" s="24" t="s">
        <v>48</v>
      </c>
      <c r="I189" s="24" t="s">
        <v>413</v>
      </c>
      <c r="J189" s="24" t="s">
        <v>137</v>
      </c>
      <c r="K189" s="26" t="n">
        <v>67500</v>
      </c>
      <c r="L189" s="36" t="n">
        <f aca="false">IFERROR(INDEX('Sales Roster &amp; Quotas'!$G$6:$G$20,MATCH($B189,'Sales Roster &amp; Quotas'!$B$6:$B$20,0)),0)</f>
        <v>626000</v>
      </c>
      <c r="M189" s="37" t="n">
        <f aca="false">SUMIFS($K$5:$K$274,$B$5:$B$274,$B189,$G$5:$G$274,$G189,$H$5:$H$274,"New Business")</f>
        <v>374000</v>
      </c>
      <c r="N189" s="38" t="n">
        <f aca="false">IFERROR(M189/L189,0)</f>
        <v>0.597444089456869</v>
      </c>
      <c r="O189" s="37" t="n">
        <f aca="false">MIN(M189,L189)</f>
        <v>374000</v>
      </c>
      <c r="P189" s="37" t="n">
        <f aca="false">MAX(MIN(M189,L189*1.25)-L189,0)</f>
        <v>0</v>
      </c>
      <c r="Q189" s="37" t="n">
        <f aca="false">MAX(M189-L189*1.25,0)</f>
        <v>0</v>
      </c>
      <c r="R189" s="36" t="n">
        <f aca="false">O189*'Commission Plan Rules'!$F$6+P189*'Commission Plan Rules'!$F$7+Q189*'Commission Plan Rules'!$F$8</f>
        <v>29920</v>
      </c>
      <c r="S189" s="39" t="n">
        <f aca="false">IF(H189="New Business",IFERROR((K189/M189)*R189,0),IF(H189="Upsell",K189*'Commission Plan Rules'!$F$9,IF(H189="Renewal",K189*'Commission Plan Rules'!$F$10,0)))</f>
        <v>2025</v>
      </c>
    </row>
    <row r="190" customFormat="false" ht="15" hidden="false" customHeight="true" outlineLevel="0" collapsed="false">
      <c r="A190" s="27" t="s">
        <v>446</v>
      </c>
      <c r="B190" s="27" t="s">
        <v>72</v>
      </c>
      <c r="C190" s="40" t="str">
        <f aca="false">IFERROR(INDEX('Sales Roster &amp; Quotas'!$C$6:$C$20,MATCH($B190,'Sales Roster &amp; Quotas'!$B$6:$B$20,0)),"")</f>
        <v>James Okafor</v>
      </c>
      <c r="D190" s="40" t="str">
        <f aca="false">IFERROR(INDEX('Sales Roster &amp; Quotas'!$D$6:$D$20,MATCH($B190,'Sales Roster &amp; Quotas'!$B$6:$B$20,0)),"")</f>
        <v>SMB</v>
      </c>
      <c r="E190" s="28" t="n">
        <v>46139</v>
      </c>
      <c r="F190" s="41" t="str">
        <f aca="false">TEXT(E190,"yyyy-mm")</f>
        <v>2026-04</v>
      </c>
      <c r="G190" s="41" t="str">
        <f aca="false">IF(MONTH(E190)&lt;=3,"Q1","Q2")</f>
        <v>Q2</v>
      </c>
      <c r="H190" s="27" t="s">
        <v>40</v>
      </c>
      <c r="I190" s="27" t="s">
        <v>242</v>
      </c>
      <c r="J190" s="27" t="s">
        <v>157</v>
      </c>
      <c r="K190" s="29" t="n">
        <v>33500</v>
      </c>
      <c r="L190" s="42" t="n">
        <f aca="false">IFERROR(INDEX('Sales Roster &amp; Quotas'!$G$6:$G$20,MATCH($B190,'Sales Roster &amp; Quotas'!$B$6:$B$20,0)),0)</f>
        <v>135000</v>
      </c>
      <c r="M190" s="43" t="n">
        <f aca="false">SUMIFS($K$5:$K$274,$B$5:$B$274,$B190,$G$5:$G$274,$G190,$H$5:$H$274,"New Business")</f>
        <v>144000</v>
      </c>
      <c r="N190" s="44" t="n">
        <f aca="false">IFERROR(M190/L190,0)</f>
        <v>1.06666666666667</v>
      </c>
      <c r="O190" s="43" t="n">
        <f aca="false">MIN(M190,L190)</f>
        <v>135000</v>
      </c>
      <c r="P190" s="43" t="n">
        <f aca="false">MAX(MIN(M190,L190*1.25)-L190,0)</f>
        <v>9000</v>
      </c>
      <c r="Q190" s="43" t="n">
        <f aca="false">MAX(M190-L190*1.25,0)</f>
        <v>0</v>
      </c>
      <c r="R190" s="42" t="n">
        <f aca="false">O190*'Commission Plan Rules'!$F$6+P190*'Commission Plan Rules'!$F$7+Q190*'Commission Plan Rules'!$F$8</f>
        <v>11700</v>
      </c>
      <c r="S190" s="45" t="n">
        <f aca="false">IF(H190="New Business",IFERROR((K190/M190)*R190,0),IF(H190="Upsell",K190*'Commission Plan Rules'!$F$9,IF(H190="Renewal",K190*'Commission Plan Rules'!$F$10,0)))</f>
        <v>2721.875</v>
      </c>
    </row>
    <row r="191" customFormat="false" ht="15" hidden="false" customHeight="true" outlineLevel="0" collapsed="false">
      <c r="A191" s="24" t="s">
        <v>447</v>
      </c>
      <c r="B191" s="24" t="s">
        <v>67</v>
      </c>
      <c r="C191" s="34" t="str">
        <f aca="false">IFERROR(INDEX('Sales Roster &amp; Quotas'!$C$6:$C$20,MATCH($B191,'Sales Roster &amp; Quotas'!$B$6:$B$20,0)),"")</f>
        <v>Maria Chen</v>
      </c>
      <c r="D191" s="34" t="str">
        <f aca="false">IFERROR(INDEX('Sales Roster &amp; Quotas'!$D$6:$D$20,MATCH($B191,'Sales Roster &amp; Quotas'!$B$6:$B$20,0)),"")</f>
        <v>SMB</v>
      </c>
      <c r="E191" s="25" t="n">
        <v>46139</v>
      </c>
      <c r="F191" s="35" t="str">
        <f aca="false">TEXT(E191,"yyyy-mm")</f>
        <v>2026-04</v>
      </c>
      <c r="G191" s="35" t="str">
        <f aca="false">IF(MONTH(E191)&lt;=3,"Q1","Q2")</f>
        <v>Q2</v>
      </c>
      <c r="H191" s="24" t="s">
        <v>40</v>
      </c>
      <c r="I191" s="24" t="s">
        <v>159</v>
      </c>
      <c r="J191" s="24" t="s">
        <v>152</v>
      </c>
      <c r="K191" s="26" t="n">
        <v>6500</v>
      </c>
      <c r="L191" s="36" t="n">
        <f aca="false">IFERROR(INDEX('Sales Roster &amp; Quotas'!$G$6:$G$20,MATCH($B191,'Sales Roster &amp; Quotas'!$B$6:$B$20,0)),0)</f>
        <v>160000</v>
      </c>
      <c r="M191" s="37" t="n">
        <f aca="false">SUMIFS($K$5:$K$274,$B$5:$B$274,$B191,$G$5:$G$274,$G191,$H$5:$H$274,"New Business")</f>
        <v>113500</v>
      </c>
      <c r="N191" s="38" t="n">
        <f aca="false">IFERROR(M191/L191,0)</f>
        <v>0.709375</v>
      </c>
      <c r="O191" s="37" t="n">
        <f aca="false">MIN(M191,L191)</f>
        <v>113500</v>
      </c>
      <c r="P191" s="37" t="n">
        <f aca="false">MAX(MIN(M191,L191*1.25)-L191,0)</f>
        <v>0</v>
      </c>
      <c r="Q191" s="37" t="n">
        <f aca="false">MAX(M191-L191*1.25,0)</f>
        <v>0</v>
      </c>
      <c r="R191" s="36" t="n">
        <f aca="false">O191*'Commission Plan Rules'!$F$6+P191*'Commission Plan Rules'!$F$7+Q191*'Commission Plan Rules'!$F$8</f>
        <v>9080</v>
      </c>
      <c r="S191" s="39" t="n">
        <f aca="false">IF(H191="New Business",IFERROR((K191/M191)*R191,0),IF(H191="Upsell",K191*'Commission Plan Rules'!$F$9,IF(H191="Renewal",K191*'Commission Plan Rules'!$F$10,0)))</f>
        <v>520</v>
      </c>
    </row>
    <row r="192" customFormat="false" ht="15" hidden="false" customHeight="true" outlineLevel="0" collapsed="false">
      <c r="A192" s="27" t="s">
        <v>448</v>
      </c>
      <c r="B192" s="27" t="s">
        <v>67</v>
      </c>
      <c r="C192" s="40" t="str">
        <f aca="false">IFERROR(INDEX('Sales Roster &amp; Quotas'!$C$6:$C$20,MATCH($B192,'Sales Roster &amp; Quotas'!$B$6:$B$20,0)),"")</f>
        <v>Maria Chen</v>
      </c>
      <c r="D192" s="40" t="str">
        <f aca="false">IFERROR(INDEX('Sales Roster &amp; Quotas'!$D$6:$D$20,MATCH($B192,'Sales Roster &amp; Quotas'!$B$6:$B$20,0)),"")</f>
        <v>SMB</v>
      </c>
      <c r="E192" s="28" t="n">
        <v>46139</v>
      </c>
      <c r="F192" s="41" t="str">
        <f aca="false">TEXT(E192,"yyyy-mm")</f>
        <v>2026-04</v>
      </c>
      <c r="G192" s="41" t="str">
        <f aca="false">IF(MONTH(E192)&lt;=3,"Q1","Q2")</f>
        <v>Q2</v>
      </c>
      <c r="H192" s="27" t="s">
        <v>45</v>
      </c>
      <c r="I192" s="27" t="s">
        <v>449</v>
      </c>
      <c r="J192" s="27" t="s">
        <v>137</v>
      </c>
      <c r="K192" s="29" t="n">
        <v>23000</v>
      </c>
      <c r="L192" s="42" t="n">
        <f aca="false">IFERROR(INDEX('Sales Roster &amp; Quotas'!$G$6:$G$20,MATCH($B192,'Sales Roster &amp; Quotas'!$B$6:$B$20,0)),0)</f>
        <v>160000</v>
      </c>
      <c r="M192" s="43" t="n">
        <f aca="false">SUMIFS($K$5:$K$274,$B$5:$B$274,$B192,$G$5:$G$274,$G192,$H$5:$H$274,"New Business")</f>
        <v>113500</v>
      </c>
      <c r="N192" s="44" t="n">
        <f aca="false">IFERROR(M192/L192,0)</f>
        <v>0.709375</v>
      </c>
      <c r="O192" s="43" t="n">
        <f aca="false">MIN(M192,L192)</f>
        <v>113500</v>
      </c>
      <c r="P192" s="43" t="n">
        <f aca="false">MAX(MIN(M192,L192*1.25)-L192,0)</f>
        <v>0</v>
      </c>
      <c r="Q192" s="43" t="n">
        <f aca="false">MAX(M192-L192*1.25,0)</f>
        <v>0</v>
      </c>
      <c r="R192" s="42" t="n">
        <f aca="false">O192*'Commission Plan Rules'!$F$6+P192*'Commission Plan Rules'!$F$7+Q192*'Commission Plan Rules'!$F$8</f>
        <v>9080</v>
      </c>
      <c r="S192" s="45" t="n">
        <f aca="false">IF(H192="New Business",IFERROR((K192/M192)*R192,0),IF(H192="Upsell",K192*'Commission Plan Rules'!$F$9,IF(H192="Renewal",K192*'Commission Plan Rules'!$F$10,0)))</f>
        <v>1380</v>
      </c>
    </row>
    <row r="193" customFormat="false" ht="15" hidden="false" customHeight="true" outlineLevel="0" collapsed="false">
      <c r="A193" s="24" t="s">
        <v>450</v>
      </c>
      <c r="B193" s="24" t="s">
        <v>88</v>
      </c>
      <c r="C193" s="34" t="str">
        <f aca="false">IFERROR(INDEX('Sales Roster &amp; Quotas'!$C$6:$C$20,MATCH($B193,'Sales Roster &amp; Quotas'!$B$6:$B$20,0)),"")</f>
        <v>Elena Kowalski</v>
      </c>
      <c r="D193" s="34" t="str">
        <f aca="false">IFERROR(INDEX('Sales Roster &amp; Quotas'!$D$6:$D$20,MATCH($B193,'Sales Roster &amp; Quotas'!$B$6:$B$20,0)),"")</f>
        <v>Mid-Market</v>
      </c>
      <c r="E193" s="25" t="n">
        <v>46139</v>
      </c>
      <c r="F193" s="35" t="str">
        <f aca="false">TEXT(E193,"yyyy-mm")</f>
        <v>2026-04</v>
      </c>
      <c r="G193" s="35" t="str">
        <f aca="false">IF(MONTH(E193)&lt;=3,"Q1","Q2")</f>
        <v>Q2</v>
      </c>
      <c r="H193" s="24" t="s">
        <v>40</v>
      </c>
      <c r="I193" s="24" t="s">
        <v>252</v>
      </c>
      <c r="J193" s="24" t="s">
        <v>137</v>
      </c>
      <c r="K193" s="26" t="n">
        <v>57500</v>
      </c>
      <c r="L193" s="36" t="n">
        <f aca="false">IFERROR(INDEX('Sales Roster &amp; Quotas'!$G$6:$G$20,MATCH($B193,'Sales Roster &amp; Quotas'!$B$6:$B$20,0)),0)</f>
        <v>320000</v>
      </c>
      <c r="M193" s="37" t="n">
        <f aca="false">SUMIFS($K$5:$K$274,$B$5:$B$274,$B193,$G$5:$G$274,$G193,$H$5:$H$274,"New Business")</f>
        <v>250500</v>
      </c>
      <c r="N193" s="38" t="n">
        <f aca="false">IFERROR(M193/L193,0)</f>
        <v>0.7828125</v>
      </c>
      <c r="O193" s="37" t="n">
        <f aca="false">MIN(M193,L193)</f>
        <v>250500</v>
      </c>
      <c r="P193" s="37" t="n">
        <f aca="false">MAX(MIN(M193,L193*1.25)-L193,0)</f>
        <v>0</v>
      </c>
      <c r="Q193" s="37" t="n">
        <f aca="false">MAX(M193-L193*1.25,0)</f>
        <v>0</v>
      </c>
      <c r="R193" s="36" t="n">
        <f aca="false">O193*'Commission Plan Rules'!$F$6+P193*'Commission Plan Rules'!$F$7+Q193*'Commission Plan Rules'!$F$8</f>
        <v>20040</v>
      </c>
      <c r="S193" s="39" t="n">
        <f aca="false">IF(H193="New Business",IFERROR((K193/M193)*R193,0),IF(H193="Upsell",K193*'Commission Plan Rules'!$F$9,IF(H193="Renewal",K193*'Commission Plan Rules'!$F$10,0)))</f>
        <v>4600</v>
      </c>
    </row>
    <row r="194" customFormat="false" ht="15" hidden="false" customHeight="true" outlineLevel="0" collapsed="false">
      <c r="A194" s="27" t="s">
        <v>451</v>
      </c>
      <c r="B194" s="27" t="s">
        <v>107</v>
      </c>
      <c r="C194" s="40" t="str">
        <f aca="false">IFERROR(INDEX('Sales Roster &amp; Quotas'!$C$6:$C$20,MATCH($B194,'Sales Roster &amp; Quotas'!$B$6:$B$20,0)),"")</f>
        <v>Grace Adeyemi</v>
      </c>
      <c r="D194" s="40" t="str">
        <f aca="false">IFERROR(INDEX('Sales Roster &amp; Quotas'!$D$6:$D$20,MATCH($B194,'Sales Roster &amp; Quotas'!$B$6:$B$20,0)),"")</f>
        <v>Enterprise</v>
      </c>
      <c r="E194" s="28" t="n">
        <v>46140</v>
      </c>
      <c r="F194" s="41" t="str">
        <f aca="false">TEXT(E194,"yyyy-mm")</f>
        <v>2026-04</v>
      </c>
      <c r="G194" s="41" t="str">
        <f aca="false">IF(MONTH(E194)&lt;=3,"Q1","Q2")</f>
        <v>Q2</v>
      </c>
      <c r="H194" s="27" t="s">
        <v>48</v>
      </c>
      <c r="I194" s="27" t="s">
        <v>452</v>
      </c>
      <c r="J194" s="27" t="s">
        <v>137</v>
      </c>
      <c r="K194" s="29" t="n">
        <v>3500</v>
      </c>
      <c r="L194" s="42" t="n">
        <f aca="false">IFERROR(INDEX('Sales Roster &amp; Quotas'!$G$6:$G$20,MATCH($B194,'Sales Roster &amp; Quotas'!$B$6:$B$20,0)),0)</f>
        <v>626000</v>
      </c>
      <c r="M194" s="43" t="n">
        <f aca="false">SUMIFS($K$5:$K$274,$B$5:$B$274,$B194,$G$5:$G$274,$G194,$H$5:$H$274,"New Business")</f>
        <v>374000</v>
      </c>
      <c r="N194" s="44" t="n">
        <f aca="false">IFERROR(M194/L194,0)</f>
        <v>0.597444089456869</v>
      </c>
      <c r="O194" s="43" t="n">
        <f aca="false">MIN(M194,L194)</f>
        <v>374000</v>
      </c>
      <c r="P194" s="43" t="n">
        <f aca="false">MAX(MIN(M194,L194*1.25)-L194,0)</f>
        <v>0</v>
      </c>
      <c r="Q194" s="43" t="n">
        <f aca="false">MAX(M194-L194*1.25,0)</f>
        <v>0</v>
      </c>
      <c r="R194" s="42" t="n">
        <f aca="false">O194*'Commission Plan Rules'!$F$6+P194*'Commission Plan Rules'!$F$7+Q194*'Commission Plan Rules'!$F$8</f>
        <v>29920</v>
      </c>
      <c r="S194" s="45" t="n">
        <f aca="false">IF(H194="New Business",IFERROR((K194/M194)*R194,0),IF(H194="Upsell",K194*'Commission Plan Rules'!$F$9,IF(H194="Renewal",K194*'Commission Plan Rules'!$F$10,0)))</f>
        <v>105</v>
      </c>
    </row>
    <row r="195" customFormat="false" ht="15" hidden="false" customHeight="true" outlineLevel="0" collapsed="false">
      <c r="A195" s="24" t="s">
        <v>453</v>
      </c>
      <c r="B195" s="24" t="s">
        <v>82</v>
      </c>
      <c r="C195" s="34" t="str">
        <f aca="false">IFERROR(INDEX('Sales Roster &amp; Quotas'!$C$6:$C$20,MATCH($B195,'Sales Roster &amp; Quotas'!$B$6:$B$20,0)),"")</f>
        <v>Sofia Rossi</v>
      </c>
      <c r="D195" s="34" t="str">
        <f aca="false">IFERROR(INDEX('Sales Roster &amp; Quotas'!$D$6:$D$20,MATCH($B195,'Sales Roster &amp; Quotas'!$B$6:$B$20,0)),"")</f>
        <v>SMB</v>
      </c>
      <c r="E195" s="25" t="n">
        <v>46144</v>
      </c>
      <c r="F195" s="35" t="str">
        <f aca="false">TEXT(E195,"yyyy-mm")</f>
        <v>2026-05</v>
      </c>
      <c r="G195" s="35" t="str">
        <f aca="false">IF(MONTH(E195)&lt;=3,"Q1","Q2")</f>
        <v>Q2</v>
      </c>
      <c r="H195" s="24" t="s">
        <v>48</v>
      </c>
      <c r="I195" s="24" t="s">
        <v>300</v>
      </c>
      <c r="J195" s="24" t="s">
        <v>137</v>
      </c>
      <c r="K195" s="26" t="n">
        <v>5500</v>
      </c>
      <c r="L195" s="36" t="n">
        <f aca="false">IFERROR(INDEX('Sales Roster &amp; Quotas'!$G$6:$G$20,MATCH($B195,'Sales Roster &amp; Quotas'!$B$6:$B$20,0)),0)</f>
        <v>152000</v>
      </c>
      <c r="M195" s="37" t="n">
        <f aca="false">SUMIFS($K$5:$K$274,$B$5:$B$274,$B195,$G$5:$G$274,$G195,$H$5:$H$274,"New Business")</f>
        <v>156500</v>
      </c>
      <c r="N195" s="38" t="n">
        <f aca="false">IFERROR(M195/L195,0)</f>
        <v>1.02960526315789</v>
      </c>
      <c r="O195" s="37" t="n">
        <f aca="false">MIN(M195,L195)</f>
        <v>152000</v>
      </c>
      <c r="P195" s="37" t="n">
        <f aca="false">MAX(MIN(M195,L195*1.25)-L195,0)</f>
        <v>4500</v>
      </c>
      <c r="Q195" s="37" t="n">
        <f aca="false">MAX(M195-L195*1.25,0)</f>
        <v>0</v>
      </c>
      <c r="R195" s="36" t="n">
        <f aca="false">O195*'Commission Plan Rules'!$F$6+P195*'Commission Plan Rules'!$F$7+Q195*'Commission Plan Rules'!$F$8</f>
        <v>12610</v>
      </c>
      <c r="S195" s="39" t="n">
        <f aca="false">IF(H195="New Business",IFERROR((K195/M195)*R195,0),IF(H195="Upsell",K195*'Commission Plan Rules'!$F$9,IF(H195="Renewal",K195*'Commission Plan Rules'!$F$10,0)))</f>
        <v>165</v>
      </c>
    </row>
    <row r="196" customFormat="false" ht="15" hidden="false" customHeight="true" outlineLevel="0" collapsed="false">
      <c r="A196" s="27" t="s">
        <v>454</v>
      </c>
      <c r="B196" s="27" t="s">
        <v>72</v>
      </c>
      <c r="C196" s="40" t="str">
        <f aca="false">IFERROR(INDEX('Sales Roster &amp; Quotas'!$C$6:$C$20,MATCH($B196,'Sales Roster &amp; Quotas'!$B$6:$B$20,0)),"")</f>
        <v>James Okafor</v>
      </c>
      <c r="D196" s="40" t="str">
        <f aca="false">IFERROR(INDEX('Sales Roster &amp; Quotas'!$D$6:$D$20,MATCH($B196,'Sales Roster &amp; Quotas'!$B$6:$B$20,0)),"")</f>
        <v>SMB</v>
      </c>
      <c r="E196" s="28" t="n">
        <v>46144</v>
      </c>
      <c r="F196" s="41" t="str">
        <f aca="false">TEXT(E196,"yyyy-mm")</f>
        <v>2026-05</v>
      </c>
      <c r="G196" s="41" t="str">
        <f aca="false">IF(MONTH(E196)&lt;=3,"Q1","Q2")</f>
        <v>Q2</v>
      </c>
      <c r="H196" s="27" t="s">
        <v>40</v>
      </c>
      <c r="I196" s="27" t="s">
        <v>179</v>
      </c>
      <c r="J196" s="27" t="s">
        <v>142</v>
      </c>
      <c r="K196" s="29" t="n">
        <v>44500</v>
      </c>
      <c r="L196" s="42" t="n">
        <f aca="false">IFERROR(INDEX('Sales Roster &amp; Quotas'!$G$6:$G$20,MATCH($B196,'Sales Roster &amp; Quotas'!$B$6:$B$20,0)),0)</f>
        <v>135000</v>
      </c>
      <c r="M196" s="43" t="n">
        <f aca="false">SUMIFS($K$5:$K$274,$B$5:$B$274,$B196,$G$5:$G$274,$G196,$H$5:$H$274,"New Business")</f>
        <v>144000</v>
      </c>
      <c r="N196" s="44" t="n">
        <f aca="false">IFERROR(M196/L196,0)</f>
        <v>1.06666666666667</v>
      </c>
      <c r="O196" s="43" t="n">
        <f aca="false">MIN(M196,L196)</f>
        <v>135000</v>
      </c>
      <c r="P196" s="43" t="n">
        <f aca="false">MAX(MIN(M196,L196*1.25)-L196,0)</f>
        <v>9000</v>
      </c>
      <c r="Q196" s="43" t="n">
        <f aca="false">MAX(M196-L196*1.25,0)</f>
        <v>0</v>
      </c>
      <c r="R196" s="42" t="n">
        <f aca="false">O196*'Commission Plan Rules'!$F$6+P196*'Commission Plan Rules'!$F$7+Q196*'Commission Plan Rules'!$F$8</f>
        <v>11700</v>
      </c>
      <c r="S196" s="45" t="n">
        <f aca="false">IF(H196="New Business",IFERROR((K196/M196)*R196,0),IF(H196="Upsell",K196*'Commission Plan Rules'!$F$9,IF(H196="Renewal",K196*'Commission Plan Rules'!$F$10,0)))</f>
        <v>3615.625</v>
      </c>
    </row>
    <row r="197" customFormat="false" ht="15" hidden="false" customHeight="true" outlineLevel="0" collapsed="false">
      <c r="A197" s="24" t="s">
        <v>455</v>
      </c>
      <c r="B197" s="24" t="s">
        <v>95</v>
      </c>
      <c r="C197" s="34" t="str">
        <f aca="false">IFERROR(INDEX('Sales Roster &amp; Quotas'!$C$6:$C$20,MATCH($B197,'Sales Roster &amp; Quotas'!$B$6:$B$20,0)),"")</f>
        <v>Aisha Kim</v>
      </c>
      <c r="D197" s="34" t="str">
        <f aca="false">IFERROR(INDEX('Sales Roster &amp; Quotas'!$D$6:$D$20,MATCH($B197,'Sales Roster &amp; Quotas'!$B$6:$B$20,0)),"")</f>
        <v>Mid-Market</v>
      </c>
      <c r="E197" s="25" t="n">
        <v>46145</v>
      </c>
      <c r="F197" s="35" t="str">
        <f aca="false">TEXT(E197,"yyyy-mm")</f>
        <v>2026-05</v>
      </c>
      <c r="G197" s="35" t="str">
        <f aca="false">IF(MONTH(E197)&lt;=3,"Q1","Q2")</f>
        <v>Q2</v>
      </c>
      <c r="H197" s="24" t="s">
        <v>48</v>
      </c>
      <c r="I197" s="24" t="s">
        <v>359</v>
      </c>
      <c r="J197" s="24" t="s">
        <v>142</v>
      </c>
      <c r="K197" s="26" t="n">
        <v>21500</v>
      </c>
      <c r="L197" s="36" t="n">
        <f aca="false">IFERROR(INDEX('Sales Roster &amp; Quotas'!$G$6:$G$20,MATCH($B197,'Sales Roster &amp; Quotas'!$B$6:$B$20,0)),0)</f>
        <v>287000</v>
      </c>
      <c r="M197" s="37" t="n">
        <f aca="false">SUMIFS($K$5:$K$274,$B$5:$B$274,$B197,$G$5:$G$274,$G197,$H$5:$H$274,"New Business")</f>
        <v>253000</v>
      </c>
      <c r="N197" s="38" t="n">
        <f aca="false">IFERROR(M197/L197,0)</f>
        <v>0.881533101045296</v>
      </c>
      <c r="O197" s="37" t="n">
        <f aca="false">MIN(M197,L197)</f>
        <v>253000</v>
      </c>
      <c r="P197" s="37" t="n">
        <f aca="false">MAX(MIN(M197,L197*1.25)-L197,0)</f>
        <v>0</v>
      </c>
      <c r="Q197" s="37" t="n">
        <f aca="false">MAX(M197-L197*1.25,0)</f>
        <v>0</v>
      </c>
      <c r="R197" s="36" t="n">
        <f aca="false">O197*'Commission Plan Rules'!$F$6+P197*'Commission Plan Rules'!$F$7+Q197*'Commission Plan Rules'!$F$8</f>
        <v>20240</v>
      </c>
      <c r="S197" s="39" t="n">
        <f aca="false">IF(H197="New Business",IFERROR((K197/M197)*R197,0),IF(H197="Upsell",K197*'Commission Plan Rules'!$F$9,IF(H197="Renewal",K197*'Commission Plan Rules'!$F$10,0)))</f>
        <v>645</v>
      </c>
    </row>
    <row r="198" customFormat="false" ht="15" hidden="false" customHeight="true" outlineLevel="0" collapsed="false">
      <c r="A198" s="27" t="s">
        <v>456</v>
      </c>
      <c r="B198" s="27" t="s">
        <v>79</v>
      </c>
      <c r="C198" s="40" t="str">
        <f aca="false">IFERROR(INDEX('Sales Roster &amp; Quotas'!$C$6:$C$20,MATCH($B198,'Sales Roster &amp; Quotas'!$B$6:$B$20,0)),"")</f>
        <v>David Nguyen</v>
      </c>
      <c r="D198" s="40" t="str">
        <f aca="false">IFERROR(INDEX('Sales Roster &amp; Quotas'!$D$6:$D$20,MATCH($B198,'Sales Roster &amp; Quotas'!$B$6:$B$20,0)),"")</f>
        <v>SMB</v>
      </c>
      <c r="E198" s="28" t="n">
        <v>46145</v>
      </c>
      <c r="F198" s="41" t="str">
        <f aca="false">TEXT(E198,"yyyy-mm")</f>
        <v>2026-05</v>
      </c>
      <c r="G198" s="41" t="str">
        <f aca="false">IF(MONTH(E198)&lt;=3,"Q1","Q2")</f>
        <v>Q2</v>
      </c>
      <c r="H198" s="27" t="s">
        <v>48</v>
      </c>
      <c r="I198" s="27" t="s">
        <v>457</v>
      </c>
      <c r="J198" s="27" t="s">
        <v>152</v>
      </c>
      <c r="K198" s="29" t="n">
        <v>3500</v>
      </c>
      <c r="L198" s="42" t="n">
        <f aca="false">IFERROR(INDEX('Sales Roster &amp; Quotas'!$G$6:$G$20,MATCH($B198,'Sales Roster &amp; Quotas'!$B$6:$B$20,0)),0)</f>
        <v>155000</v>
      </c>
      <c r="M198" s="43" t="n">
        <f aca="false">SUMIFS($K$5:$K$274,$B$5:$B$274,$B198,$G$5:$G$274,$G198,$H$5:$H$274,"New Business")</f>
        <v>26000</v>
      </c>
      <c r="N198" s="44" t="n">
        <f aca="false">IFERROR(M198/L198,0)</f>
        <v>0.167741935483871</v>
      </c>
      <c r="O198" s="43" t="n">
        <f aca="false">MIN(M198,L198)</f>
        <v>26000</v>
      </c>
      <c r="P198" s="43" t="n">
        <f aca="false">MAX(MIN(M198,L198*1.25)-L198,0)</f>
        <v>0</v>
      </c>
      <c r="Q198" s="43" t="n">
        <f aca="false">MAX(M198-L198*1.25,0)</f>
        <v>0</v>
      </c>
      <c r="R198" s="42" t="n">
        <f aca="false">O198*'Commission Plan Rules'!$F$6+P198*'Commission Plan Rules'!$F$7+Q198*'Commission Plan Rules'!$F$8</f>
        <v>2080</v>
      </c>
      <c r="S198" s="45" t="n">
        <f aca="false">IF(H198="New Business",IFERROR((K198/M198)*R198,0),IF(H198="Upsell",K198*'Commission Plan Rules'!$F$9,IF(H198="Renewal",K198*'Commission Plan Rules'!$F$10,0)))</f>
        <v>105</v>
      </c>
    </row>
    <row r="199" customFormat="false" ht="15" hidden="false" customHeight="true" outlineLevel="0" collapsed="false">
      <c r="A199" s="24" t="s">
        <v>458</v>
      </c>
      <c r="B199" s="24" t="s">
        <v>75</v>
      </c>
      <c r="C199" s="34" t="str">
        <f aca="false">IFERROR(INDEX('Sales Roster &amp; Quotas'!$C$6:$C$20,MATCH($B199,'Sales Roster &amp; Quotas'!$B$6:$B$20,0)),"")</f>
        <v>Priya Patel</v>
      </c>
      <c r="D199" s="34" t="str">
        <f aca="false">IFERROR(INDEX('Sales Roster &amp; Quotas'!$D$6:$D$20,MATCH($B199,'Sales Roster &amp; Quotas'!$B$6:$B$20,0)),"")</f>
        <v>SMB</v>
      </c>
      <c r="E199" s="25" t="n">
        <v>46145</v>
      </c>
      <c r="F199" s="35" t="str">
        <f aca="false">TEXT(E199,"yyyy-mm")</f>
        <v>2026-05</v>
      </c>
      <c r="G199" s="35" t="str">
        <f aca="false">IF(MONTH(E199)&lt;=3,"Q1","Q2")</f>
        <v>Q2</v>
      </c>
      <c r="H199" s="24" t="s">
        <v>45</v>
      </c>
      <c r="I199" s="24" t="s">
        <v>219</v>
      </c>
      <c r="J199" s="24" t="s">
        <v>152</v>
      </c>
      <c r="K199" s="26" t="n">
        <v>30000</v>
      </c>
      <c r="L199" s="36" t="n">
        <f aca="false">IFERROR(INDEX('Sales Roster &amp; Quotas'!$G$6:$G$20,MATCH($B199,'Sales Roster &amp; Quotas'!$B$6:$B$20,0)),0)</f>
        <v>137000</v>
      </c>
      <c r="M199" s="37" t="n">
        <f aca="false">SUMIFS($K$5:$K$274,$B$5:$B$274,$B199,$G$5:$G$274,$G199,$H$5:$H$274,"New Business")</f>
        <v>119000</v>
      </c>
      <c r="N199" s="38" t="n">
        <f aca="false">IFERROR(M199/L199,0)</f>
        <v>0.868613138686131</v>
      </c>
      <c r="O199" s="37" t="n">
        <f aca="false">MIN(M199,L199)</f>
        <v>119000</v>
      </c>
      <c r="P199" s="37" t="n">
        <f aca="false">MAX(MIN(M199,L199*1.25)-L199,0)</f>
        <v>0</v>
      </c>
      <c r="Q199" s="37" t="n">
        <f aca="false">MAX(M199-L199*1.25,0)</f>
        <v>0</v>
      </c>
      <c r="R199" s="36" t="n">
        <f aca="false">O199*'Commission Plan Rules'!$F$6+P199*'Commission Plan Rules'!$F$7+Q199*'Commission Plan Rules'!$F$8</f>
        <v>9520</v>
      </c>
      <c r="S199" s="39" t="n">
        <f aca="false">IF(H199="New Business",IFERROR((K199/M199)*R199,0),IF(H199="Upsell",K199*'Commission Plan Rules'!$F$9,IF(H199="Renewal",K199*'Commission Plan Rules'!$F$10,0)))</f>
        <v>1800</v>
      </c>
    </row>
    <row r="200" customFormat="false" ht="15" hidden="false" customHeight="true" outlineLevel="0" collapsed="false">
      <c r="A200" s="27" t="s">
        <v>459</v>
      </c>
      <c r="B200" s="27" t="s">
        <v>95</v>
      </c>
      <c r="C200" s="40" t="str">
        <f aca="false">IFERROR(INDEX('Sales Roster &amp; Quotas'!$C$6:$C$20,MATCH($B200,'Sales Roster &amp; Quotas'!$B$6:$B$20,0)),"")</f>
        <v>Aisha Kim</v>
      </c>
      <c r="D200" s="40" t="str">
        <f aca="false">IFERROR(INDEX('Sales Roster &amp; Quotas'!$D$6:$D$20,MATCH($B200,'Sales Roster &amp; Quotas'!$B$6:$B$20,0)),"")</f>
        <v>Mid-Market</v>
      </c>
      <c r="E200" s="28" t="n">
        <v>46146</v>
      </c>
      <c r="F200" s="41" t="str">
        <f aca="false">TEXT(E200,"yyyy-mm")</f>
        <v>2026-05</v>
      </c>
      <c r="G200" s="41" t="str">
        <f aca="false">IF(MONTH(E200)&lt;=3,"Q1","Q2")</f>
        <v>Q2</v>
      </c>
      <c r="H200" s="27" t="s">
        <v>48</v>
      </c>
      <c r="I200" s="27" t="s">
        <v>300</v>
      </c>
      <c r="J200" s="27" t="s">
        <v>137</v>
      </c>
      <c r="K200" s="29" t="n">
        <v>17500</v>
      </c>
      <c r="L200" s="42" t="n">
        <f aca="false">IFERROR(INDEX('Sales Roster &amp; Quotas'!$G$6:$G$20,MATCH($B200,'Sales Roster &amp; Quotas'!$B$6:$B$20,0)),0)</f>
        <v>287000</v>
      </c>
      <c r="M200" s="43" t="n">
        <f aca="false">SUMIFS($K$5:$K$274,$B$5:$B$274,$B200,$G$5:$G$274,$G200,$H$5:$H$274,"New Business")</f>
        <v>253000</v>
      </c>
      <c r="N200" s="44" t="n">
        <f aca="false">IFERROR(M200/L200,0)</f>
        <v>0.881533101045296</v>
      </c>
      <c r="O200" s="43" t="n">
        <f aca="false">MIN(M200,L200)</f>
        <v>253000</v>
      </c>
      <c r="P200" s="43" t="n">
        <f aca="false">MAX(MIN(M200,L200*1.25)-L200,0)</f>
        <v>0</v>
      </c>
      <c r="Q200" s="43" t="n">
        <f aca="false">MAX(M200-L200*1.25,0)</f>
        <v>0</v>
      </c>
      <c r="R200" s="42" t="n">
        <f aca="false">O200*'Commission Plan Rules'!$F$6+P200*'Commission Plan Rules'!$F$7+Q200*'Commission Plan Rules'!$F$8</f>
        <v>20240</v>
      </c>
      <c r="S200" s="45" t="n">
        <f aca="false">IF(H200="New Business",IFERROR((K200/M200)*R200,0),IF(H200="Upsell",K200*'Commission Plan Rules'!$F$9,IF(H200="Renewal",K200*'Commission Plan Rules'!$F$10,0)))</f>
        <v>525</v>
      </c>
    </row>
    <row r="201" customFormat="false" ht="15" hidden="false" customHeight="true" outlineLevel="0" collapsed="false">
      <c r="A201" s="24" t="s">
        <v>460</v>
      </c>
      <c r="B201" s="24" t="s">
        <v>72</v>
      </c>
      <c r="C201" s="34" t="str">
        <f aca="false">IFERROR(INDEX('Sales Roster &amp; Quotas'!$C$6:$C$20,MATCH($B201,'Sales Roster &amp; Quotas'!$B$6:$B$20,0)),"")</f>
        <v>James Okafor</v>
      </c>
      <c r="D201" s="34" t="str">
        <f aca="false">IFERROR(INDEX('Sales Roster &amp; Quotas'!$D$6:$D$20,MATCH($B201,'Sales Roster &amp; Quotas'!$B$6:$B$20,0)),"")</f>
        <v>SMB</v>
      </c>
      <c r="E201" s="25" t="n">
        <v>46146</v>
      </c>
      <c r="F201" s="35" t="str">
        <f aca="false">TEXT(E201,"yyyy-mm")</f>
        <v>2026-05</v>
      </c>
      <c r="G201" s="35" t="str">
        <f aca="false">IF(MONTH(E201)&lt;=3,"Q1","Q2")</f>
        <v>Q2</v>
      </c>
      <c r="H201" s="24" t="s">
        <v>48</v>
      </c>
      <c r="I201" s="24" t="s">
        <v>461</v>
      </c>
      <c r="J201" s="24" t="s">
        <v>137</v>
      </c>
      <c r="K201" s="26" t="n">
        <v>2000</v>
      </c>
      <c r="L201" s="36" t="n">
        <f aca="false">IFERROR(INDEX('Sales Roster &amp; Quotas'!$G$6:$G$20,MATCH($B201,'Sales Roster &amp; Quotas'!$B$6:$B$20,0)),0)</f>
        <v>135000</v>
      </c>
      <c r="M201" s="37" t="n">
        <f aca="false">SUMIFS($K$5:$K$274,$B$5:$B$274,$B201,$G$5:$G$274,$G201,$H$5:$H$274,"New Business")</f>
        <v>144000</v>
      </c>
      <c r="N201" s="38" t="n">
        <f aca="false">IFERROR(M201/L201,0)</f>
        <v>1.06666666666667</v>
      </c>
      <c r="O201" s="37" t="n">
        <f aca="false">MIN(M201,L201)</f>
        <v>135000</v>
      </c>
      <c r="P201" s="37" t="n">
        <f aca="false">MAX(MIN(M201,L201*1.25)-L201,0)</f>
        <v>9000</v>
      </c>
      <c r="Q201" s="37" t="n">
        <f aca="false">MAX(M201-L201*1.25,0)</f>
        <v>0</v>
      </c>
      <c r="R201" s="36" t="n">
        <f aca="false">O201*'Commission Plan Rules'!$F$6+P201*'Commission Plan Rules'!$F$7+Q201*'Commission Plan Rules'!$F$8</f>
        <v>11700</v>
      </c>
      <c r="S201" s="39" t="n">
        <f aca="false">IF(H201="New Business",IFERROR((K201/M201)*R201,0),IF(H201="Upsell",K201*'Commission Plan Rules'!$F$9,IF(H201="Renewal",K201*'Commission Plan Rules'!$F$10,0)))</f>
        <v>60</v>
      </c>
    </row>
    <row r="202" customFormat="false" ht="15" hidden="false" customHeight="true" outlineLevel="0" collapsed="false">
      <c r="A202" s="27" t="s">
        <v>462</v>
      </c>
      <c r="B202" s="27" t="s">
        <v>95</v>
      </c>
      <c r="C202" s="40" t="str">
        <f aca="false">IFERROR(INDEX('Sales Roster &amp; Quotas'!$C$6:$C$20,MATCH($B202,'Sales Roster &amp; Quotas'!$B$6:$B$20,0)),"")</f>
        <v>Aisha Kim</v>
      </c>
      <c r="D202" s="40" t="str">
        <f aca="false">IFERROR(INDEX('Sales Roster &amp; Quotas'!$D$6:$D$20,MATCH($B202,'Sales Roster &amp; Quotas'!$B$6:$B$20,0)),"")</f>
        <v>Mid-Market</v>
      </c>
      <c r="E202" s="28" t="n">
        <v>46148</v>
      </c>
      <c r="F202" s="41" t="str">
        <f aca="false">TEXT(E202,"yyyy-mm")</f>
        <v>2026-05</v>
      </c>
      <c r="G202" s="41" t="str">
        <f aca="false">IF(MONTH(E202)&lt;=3,"Q1","Q2")</f>
        <v>Q2</v>
      </c>
      <c r="H202" s="27" t="s">
        <v>48</v>
      </c>
      <c r="I202" s="27" t="s">
        <v>463</v>
      </c>
      <c r="J202" s="27" t="s">
        <v>152</v>
      </c>
      <c r="K202" s="29" t="n">
        <v>41500</v>
      </c>
      <c r="L202" s="42" t="n">
        <f aca="false">IFERROR(INDEX('Sales Roster &amp; Quotas'!$G$6:$G$20,MATCH($B202,'Sales Roster &amp; Quotas'!$B$6:$B$20,0)),0)</f>
        <v>287000</v>
      </c>
      <c r="M202" s="43" t="n">
        <f aca="false">SUMIFS($K$5:$K$274,$B$5:$B$274,$B202,$G$5:$G$274,$G202,$H$5:$H$274,"New Business")</f>
        <v>253000</v>
      </c>
      <c r="N202" s="44" t="n">
        <f aca="false">IFERROR(M202/L202,0)</f>
        <v>0.881533101045296</v>
      </c>
      <c r="O202" s="43" t="n">
        <f aca="false">MIN(M202,L202)</f>
        <v>253000</v>
      </c>
      <c r="P202" s="43" t="n">
        <f aca="false">MAX(MIN(M202,L202*1.25)-L202,0)</f>
        <v>0</v>
      </c>
      <c r="Q202" s="43" t="n">
        <f aca="false">MAX(M202-L202*1.25,0)</f>
        <v>0</v>
      </c>
      <c r="R202" s="42" t="n">
        <f aca="false">O202*'Commission Plan Rules'!$F$6+P202*'Commission Plan Rules'!$F$7+Q202*'Commission Plan Rules'!$F$8</f>
        <v>20240</v>
      </c>
      <c r="S202" s="45" t="n">
        <f aca="false">IF(H202="New Business",IFERROR((K202/M202)*R202,0),IF(H202="Upsell",K202*'Commission Plan Rules'!$F$9,IF(H202="Renewal",K202*'Commission Plan Rules'!$F$10,0)))</f>
        <v>1245</v>
      </c>
    </row>
    <row r="203" customFormat="false" ht="15" hidden="false" customHeight="true" outlineLevel="0" collapsed="false">
      <c r="A203" s="24" t="s">
        <v>464</v>
      </c>
      <c r="B203" s="24" t="s">
        <v>82</v>
      </c>
      <c r="C203" s="34" t="str">
        <f aca="false">IFERROR(INDEX('Sales Roster &amp; Quotas'!$C$6:$C$20,MATCH($B203,'Sales Roster &amp; Quotas'!$B$6:$B$20,0)),"")</f>
        <v>Sofia Rossi</v>
      </c>
      <c r="D203" s="34" t="str">
        <f aca="false">IFERROR(INDEX('Sales Roster &amp; Quotas'!$D$6:$D$20,MATCH($B203,'Sales Roster &amp; Quotas'!$B$6:$B$20,0)),"")</f>
        <v>SMB</v>
      </c>
      <c r="E203" s="25" t="n">
        <v>46148</v>
      </c>
      <c r="F203" s="35" t="str">
        <f aca="false">TEXT(E203,"yyyy-mm")</f>
        <v>2026-05</v>
      </c>
      <c r="G203" s="35" t="str">
        <f aca="false">IF(MONTH(E203)&lt;=3,"Q1","Q2")</f>
        <v>Q2</v>
      </c>
      <c r="H203" s="24" t="s">
        <v>40</v>
      </c>
      <c r="I203" s="24" t="s">
        <v>465</v>
      </c>
      <c r="J203" s="24" t="s">
        <v>142</v>
      </c>
      <c r="K203" s="26" t="n">
        <v>27500</v>
      </c>
      <c r="L203" s="36" t="n">
        <f aca="false">IFERROR(INDEX('Sales Roster &amp; Quotas'!$G$6:$G$20,MATCH($B203,'Sales Roster &amp; Quotas'!$B$6:$B$20,0)),0)</f>
        <v>152000</v>
      </c>
      <c r="M203" s="37" t="n">
        <f aca="false">SUMIFS($K$5:$K$274,$B$5:$B$274,$B203,$G$5:$G$274,$G203,$H$5:$H$274,"New Business")</f>
        <v>156500</v>
      </c>
      <c r="N203" s="38" t="n">
        <f aca="false">IFERROR(M203/L203,0)</f>
        <v>1.02960526315789</v>
      </c>
      <c r="O203" s="37" t="n">
        <f aca="false">MIN(M203,L203)</f>
        <v>152000</v>
      </c>
      <c r="P203" s="37" t="n">
        <f aca="false">MAX(MIN(M203,L203*1.25)-L203,0)</f>
        <v>4500</v>
      </c>
      <c r="Q203" s="37" t="n">
        <f aca="false">MAX(M203-L203*1.25,0)</f>
        <v>0</v>
      </c>
      <c r="R203" s="36" t="n">
        <f aca="false">O203*'Commission Plan Rules'!$F$6+P203*'Commission Plan Rules'!$F$7+Q203*'Commission Plan Rules'!$F$8</f>
        <v>12610</v>
      </c>
      <c r="S203" s="39" t="n">
        <f aca="false">IF(H203="New Business",IFERROR((K203/M203)*R203,0),IF(H203="Upsell",K203*'Commission Plan Rules'!$F$9,IF(H203="Renewal",K203*'Commission Plan Rules'!$F$10,0)))</f>
        <v>2215.81469648562</v>
      </c>
    </row>
    <row r="204" customFormat="false" ht="15" hidden="false" customHeight="true" outlineLevel="0" collapsed="false">
      <c r="A204" s="27" t="s">
        <v>466</v>
      </c>
      <c r="B204" s="27" t="s">
        <v>107</v>
      </c>
      <c r="C204" s="40" t="str">
        <f aca="false">IFERROR(INDEX('Sales Roster &amp; Quotas'!$C$6:$C$20,MATCH($B204,'Sales Roster &amp; Quotas'!$B$6:$B$20,0)),"")</f>
        <v>Grace Adeyemi</v>
      </c>
      <c r="D204" s="40" t="str">
        <f aca="false">IFERROR(INDEX('Sales Roster &amp; Quotas'!$D$6:$D$20,MATCH($B204,'Sales Roster &amp; Quotas'!$B$6:$B$20,0)),"")</f>
        <v>Enterprise</v>
      </c>
      <c r="E204" s="28" t="n">
        <v>46149</v>
      </c>
      <c r="F204" s="41" t="str">
        <f aca="false">TEXT(E204,"yyyy-mm")</f>
        <v>2026-05</v>
      </c>
      <c r="G204" s="41" t="str">
        <f aca="false">IF(MONTH(E204)&lt;=3,"Q1","Q2")</f>
        <v>Q2</v>
      </c>
      <c r="H204" s="27" t="s">
        <v>40</v>
      </c>
      <c r="I204" s="27" t="s">
        <v>151</v>
      </c>
      <c r="J204" s="27" t="s">
        <v>137</v>
      </c>
      <c r="K204" s="29" t="n">
        <v>52000</v>
      </c>
      <c r="L204" s="42" t="n">
        <f aca="false">IFERROR(INDEX('Sales Roster &amp; Quotas'!$G$6:$G$20,MATCH($B204,'Sales Roster &amp; Quotas'!$B$6:$B$20,0)),0)</f>
        <v>626000</v>
      </c>
      <c r="M204" s="43" t="n">
        <f aca="false">SUMIFS($K$5:$K$274,$B$5:$B$274,$B204,$G$5:$G$274,$G204,$H$5:$H$274,"New Business")</f>
        <v>374000</v>
      </c>
      <c r="N204" s="44" t="n">
        <f aca="false">IFERROR(M204/L204,0)</f>
        <v>0.597444089456869</v>
      </c>
      <c r="O204" s="43" t="n">
        <f aca="false">MIN(M204,L204)</f>
        <v>374000</v>
      </c>
      <c r="P204" s="43" t="n">
        <f aca="false">MAX(MIN(M204,L204*1.25)-L204,0)</f>
        <v>0</v>
      </c>
      <c r="Q204" s="43" t="n">
        <f aca="false">MAX(M204-L204*1.25,0)</f>
        <v>0</v>
      </c>
      <c r="R204" s="42" t="n">
        <f aca="false">O204*'Commission Plan Rules'!$F$6+P204*'Commission Plan Rules'!$F$7+Q204*'Commission Plan Rules'!$F$8</f>
        <v>29920</v>
      </c>
      <c r="S204" s="45" t="n">
        <f aca="false">IF(H204="New Business",IFERROR((K204/M204)*R204,0),IF(H204="Upsell",K204*'Commission Plan Rules'!$F$9,IF(H204="Renewal",K204*'Commission Plan Rules'!$F$10,0)))</f>
        <v>4160</v>
      </c>
    </row>
    <row r="205" customFormat="false" ht="15" hidden="false" customHeight="true" outlineLevel="0" collapsed="false">
      <c r="A205" s="24" t="s">
        <v>467</v>
      </c>
      <c r="B205" s="24" t="s">
        <v>111</v>
      </c>
      <c r="C205" s="34" t="str">
        <f aca="false">IFERROR(INDEX('Sales Roster &amp; Quotas'!$C$6:$C$20,MATCH($B205,'Sales Roster &amp; Quotas'!$B$6:$B$20,0)),"")</f>
        <v>Kevin Novak</v>
      </c>
      <c r="D205" s="34" t="str">
        <f aca="false">IFERROR(INDEX('Sales Roster &amp; Quotas'!$D$6:$D$20,MATCH($B205,'Sales Roster &amp; Quotas'!$B$6:$B$20,0)),"")</f>
        <v>Enterprise</v>
      </c>
      <c r="E205" s="25" t="n">
        <v>46150</v>
      </c>
      <c r="F205" s="35" t="str">
        <f aca="false">TEXT(E205,"yyyy-mm")</f>
        <v>2026-05</v>
      </c>
      <c r="G205" s="35" t="str">
        <f aca="false">IF(MONTH(E205)&lt;=3,"Q1","Q2")</f>
        <v>Q2</v>
      </c>
      <c r="H205" s="24" t="s">
        <v>40</v>
      </c>
      <c r="I205" s="24" t="s">
        <v>348</v>
      </c>
      <c r="J205" s="24" t="s">
        <v>157</v>
      </c>
      <c r="K205" s="26" t="n">
        <v>570000</v>
      </c>
      <c r="L205" s="36" t="n">
        <f aca="false">IFERROR(INDEX('Sales Roster &amp; Quotas'!$G$6:$G$20,MATCH($B205,'Sales Roster &amp; Quotas'!$B$6:$B$20,0)),0)</f>
        <v>641000</v>
      </c>
      <c r="M205" s="37" t="n">
        <f aca="false">SUMIFS($K$5:$K$274,$B$5:$B$274,$B205,$G$5:$G$274,$G205,$H$5:$H$274,"New Business")</f>
        <v>570000</v>
      </c>
      <c r="N205" s="38" t="n">
        <f aca="false">IFERROR(M205/L205,0)</f>
        <v>0.889235569422777</v>
      </c>
      <c r="O205" s="37" t="n">
        <f aca="false">MIN(M205,L205)</f>
        <v>570000</v>
      </c>
      <c r="P205" s="37" t="n">
        <f aca="false">MAX(MIN(M205,L205*1.25)-L205,0)</f>
        <v>0</v>
      </c>
      <c r="Q205" s="37" t="n">
        <f aca="false">MAX(M205-L205*1.25,0)</f>
        <v>0</v>
      </c>
      <c r="R205" s="36" t="n">
        <f aca="false">O205*'Commission Plan Rules'!$F$6+P205*'Commission Plan Rules'!$F$7+Q205*'Commission Plan Rules'!$F$8</f>
        <v>45600</v>
      </c>
      <c r="S205" s="39" t="n">
        <f aca="false">IF(H205="New Business",IFERROR((K205/M205)*R205,0),IF(H205="Upsell",K205*'Commission Plan Rules'!$F$9,IF(H205="Renewal",K205*'Commission Plan Rules'!$F$10,0)))</f>
        <v>45600</v>
      </c>
    </row>
    <row r="206" customFormat="false" ht="15" hidden="false" customHeight="true" outlineLevel="0" collapsed="false">
      <c r="A206" s="27" t="s">
        <v>468</v>
      </c>
      <c r="B206" s="27" t="s">
        <v>104</v>
      </c>
      <c r="C206" s="40" t="str">
        <f aca="false">IFERROR(INDEX('Sales Roster &amp; Quotas'!$C$6:$C$20,MATCH($B206,'Sales Roster &amp; Quotas'!$B$6:$B$20,0)),"")</f>
        <v>Omar Fischer</v>
      </c>
      <c r="D206" s="40" t="str">
        <f aca="false">IFERROR(INDEX('Sales Roster &amp; Quotas'!$D$6:$D$20,MATCH($B206,'Sales Roster &amp; Quotas'!$B$6:$B$20,0)),"")</f>
        <v>Mid-Market</v>
      </c>
      <c r="E206" s="28" t="n">
        <v>46150</v>
      </c>
      <c r="F206" s="41" t="str">
        <f aca="false">TEXT(E206,"yyyy-mm")</f>
        <v>2026-05</v>
      </c>
      <c r="G206" s="41" t="str">
        <f aca="false">IF(MONTH(E206)&lt;=3,"Q1","Q2")</f>
        <v>Q2</v>
      </c>
      <c r="H206" s="27" t="s">
        <v>40</v>
      </c>
      <c r="I206" s="27" t="s">
        <v>449</v>
      </c>
      <c r="J206" s="27" t="s">
        <v>137</v>
      </c>
      <c r="K206" s="29" t="n">
        <v>518000</v>
      </c>
      <c r="L206" s="42" t="n">
        <f aca="false">IFERROR(INDEX('Sales Roster &amp; Quotas'!$G$6:$G$20,MATCH($B206,'Sales Roster &amp; Quotas'!$B$6:$B$20,0)),0)</f>
        <v>324000</v>
      </c>
      <c r="M206" s="43" t="n">
        <f aca="false">SUMIFS($K$5:$K$274,$B$5:$B$274,$B206,$G$5:$G$274,$G206,$H$5:$H$274,"New Business")</f>
        <v>575500</v>
      </c>
      <c r="N206" s="44" t="n">
        <f aca="false">IFERROR(M206/L206,0)</f>
        <v>1.77623456790123</v>
      </c>
      <c r="O206" s="43" t="n">
        <f aca="false">MIN(M206,L206)</f>
        <v>324000</v>
      </c>
      <c r="P206" s="43" t="n">
        <f aca="false">MAX(MIN(M206,L206*1.25)-L206,0)</f>
        <v>81000</v>
      </c>
      <c r="Q206" s="43" t="n">
        <f aca="false">MAX(M206-L206*1.25,0)</f>
        <v>170500</v>
      </c>
      <c r="R206" s="42" t="n">
        <f aca="false">O206*'Commission Plan Rules'!$F$6+P206*'Commission Plan Rules'!$F$7+Q206*'Commission Plan Rules'!$F$8</f>
        <v>54480</v>
      </c>
      <c r="S206" s="45" t="n">
        <f aca="false">IF(H206="New Business",IFERROR((K206/M206)*R206,0),IF(H206="Upsell",K206*'Commission Plan Rules'!$F$9,IF(H206="Renewal",K206*'Commission Plan Rules'!$F$10,0)))</f>
        <v>49036.7332754127</v>
      </c>
    </row>
    <row r="207" customFormat="false" ht="15" hidden="false" customHeight="true" outlineLevel="0" collapsed="false">
      <c r="A207" s="24" t="s">
        <v>469</v>
      </c>
      <c r="B207" s="24" t="s">
        <v>67</v>
      </c>
      <c r="C207" s="34" t="str">
        <f aca="false">IFERROR(INDEX('Sales Roster &amp; Quotas'!$C$6:$C$20,MATCH($B207,'Sales Roster &amp; Quotas'!$B$6:$B$20,0)),"")</f>
        <v>Maria Chen</v>
      </c>
      <c r="D207" s="34" t="str">
        <f aca="false">IFERROR(INDEX('Sales Roster &amp; Quotas'!$D$6:$D$20,MATCH($B207,'Sales Roster &amp; Quotas'!$B$6:$B$20,0)),"")</f>
        <v>SMB</v>
      </c>
      <c r="E207" s="25" t="n">
        <v>46151</v>
      </c>
      <c r="F207" s="35" t="str">
        <f aca="false">TEXT(E207,"yyyy-mm")</f>
        <v>2026-05</v>
      </c>
      <c r="G207" s="35" t="str">
        <f aca="false">IF(MONTH(E207)&lt;=3,"Q1","Q2")</f>
        <v>Q2</v>
      </c>
      <c r="H207" s="24" t="s">
        <v>48</v>
      </c>
      <c r="I207" s="24" t="s">
        <v>470</v>
      </c>
      <c r="J207" s="24" t="s">
        <v>157</v>
      </c>
      <c r="K207" s="26" t="n">
        <v>64500</v>
      </c>
      <c r="L207" s="36" t="n">
        <f aca="false">IFERROR(INDEX('Sales Roster &amp; Quotas'!$G$6:$G$20,MATCH($B207,'Sales Roster &amp; Quotas'!$B$6:$B$20,0)),0)</f>
        <v>160000</v>
      </c>
      <c r="M207" s="37" t="n">
        <f aca="false">SUMIFS($K$5:$K$274,$B$5:$B$274,$B207,$G$5:$G$274,$G207,$H$5:$H$274,"New Business")</f>
        <v>113500</v>
      </c>
      <c r="N207" s="38" t="n">
        <f aca="false">IFERROR(M207/L207,0)</f>
        <v>0.709375</v>
      </c>
      <c r="O207" s="37" t="n">
        <f aca="false">MIN(M207,L207)</f>
        <v>113500</v>
      </c>
      <c r="P207" s="37" t="n">
        <f aca="false">MAX(MIN(M207,L207*1.25)-L207,0)</f>
        <v>0</v>
      </c>
      <c r="Q207" s="37" t="n">
        <f aca="false">MAX(M207-L207*1.25,0)</f>
        <v>0</v>
      </c>
      <c r="R207" s="36" t="n">
        <f aca="false">O207*'Commission Plan Rules'!$F$6+P207*'Commission Plan Rules'!$F$7+Q207*'Commission Plan Rules'!$F$8</f>
        <v>9080</v>
      </c>
      <c r="S207" s="39" t="n">
        <f aca="false">IF(H207="New Business",IFERROR((K207/M207)*R207,0),IF(H207="Upsell",K207*'Commission Plan Rules'!$F$9,IF(H207="Renewal",K207*'Commission Plan Rules'!$F$10,0)))</f>
        <v>1935</v>
      </c>
    </row>
    <row r="208" customFormat="false" ht="15" hidden="false" customHeight="true" outlineLevel="0" collapsed="false">
      <c r="A208" s="27" t="s">
        <v>471</v>
      </c>
      <c r="B208" s="27" t="s">
        <v>92</v>
      </c>
      <c r="C208" s="40" t="str">
        <f aca="false">IFERROR(INDEX('Sales Roster &amp; Quotas'!$C$6:$C$20,MATCH($B208,'Sales Roster &amp; Quotas'!$B$6:$B$20,0)),"")</f>
        <v>Tyler Alvarez</v>
      </c>
      <c r="D208" s="40" t="str">
        <f aca="false">IFERROR(INDEX('Sales Roster &amp; Quotas'!$D$6:$D$20,MATCH($B208,'Sales Roster &amp; Quotas'!$B$6:$B$20,0)),"")</f>
        <v>Mid-Market</v>
      </c>
      <c r="E208" s="28" t="n">
        <v>46151</v>
      </c>
      <c r="F208" s="41" t="str">
        <f aca="false">TEXT(E208,"yyyy-mm")</f>
        <v>2026-05</v>
      </c>
      <c r="G208" s="41" t="str">
        <f aca="false">IF(MONTH(E208)&lt;=3,"Q1","Q2")</f>
        <v>Q2</v>
      </c>
      <c r="H208" s="27" t="s">
        <v>45</v>
      </c>
      <c r="I208" s="27" t="s">
        <v>337</v>
      </c>
      <c r="J208" s="27" t="s">
        <v>142</v>
      </c>
      <c r="K208" s="29" t="n">
        <v>9500</v>
      </c>
      <c r="L208" s="42" t="n">
        <f aca="false">IFERROR(INDEX('Sales Roster &amp; Quotas'!$G$6:$G$20,MATCH($B208,'Sales Roster &amp; Quotas'!$B$6:$B$20,0)),0)</f>
        <v>275000</v>
      </c>
      <c r="M208" s="43" t="n">
        <f aca="false">SUMIFS($K$5:$K$274,$B$5:$B$274,$B208,$G$5:$G$274,$G208,$H$5:$H$274,"New Business")</f>
        <v>314500</v>
      </c>
      <c r="N208" s="44" t="n">
        <f aca="false">IFERROR(M208/L208,0)</f>
        <v>1.14363636363636</v>
      </c>
      <c r="O208" s="43" t="n">
        <f aca="false">MIN(M208,L208)</f>
        <v>275000</v>
      </c>
      <c r="P208" s="43" t="n">
        <f aca="false">MAX(MIN(M208,L208*1.25)-L208,0)</f>
        <v>39500</v>
      </c>
      <c r="Q208" s="43" t="n">
        <f aca="false">MAX(M208-L208*1.25,0)</f>
        <v>0</v>
      </c>
      <c r="R208" s="42" t="n">
        <f aca="false">O208*'Commission Plan Rules'!$F$6+P208*'Commission Plan Rules'!$F$7+Q208*'Commission Plan Rules'!$F$8</f>
        <v>25950</v>
      </c>
      <c r="S208" s="45" t="n">
        <f aca="false">IF(H208="New Business",IFERROR((K208/M208)*R208,0),IF(H208="Upsell",K208*'Commission Plan Rules'!$F$9,IF(H208="Renewal",K208*'Commission Plan Rules'!$F$10,0)))</f>
        <v>570</v>
      </c>
    </row>
    <row r="209" customFormat="false" ht="15" hidden="false" customHeight="true" outlineLevel="0" collapsed="false">
      <c r="A209" s="24" t="s">
        <v>472</v>
      </c>
      <c r="B209" s="24" t="s">
        <v>92</v>
      </c>
      <c r="C209" s="34" t="str">
        <f aca="false">IFERROR(INDEX('Sales Roster &amp; Quotas'!$C$6:$C$20,MATCH($B209,'Sales Roster &amp; Quotas'!$B$6:$B$20,0)),"")</f>
        <v>Tyler Alvarez</v>
      </c>
      <c r="D209" s="34" t="str">
        <f aca="false">IFERROR(INDEX('Sales Roster &amp; Quotas'!$D$6:$D$20,MATCH($B209,'Sales Roster &amp; Quotas'!$B$6:$B$20,0)),"")</f>
        <v>Mid-Market</v>
      </c>
      <c r="E209" s="25" t="n">
        <v>46152</v>
      </c>
      <c r="F209" s="35" t="str">
        <f aca="false">TEXT(E209,"yyyy-mm")</f>
        <v>2026-05</v>
      </c>
      <c r="G209" s="35" t="str">
        <f aca="false">IF(MONTH(E209)&lt;=3,"Q1","Q2")</f>
        <v>Q2</v>
      </c>
      <c r="H209" s="24" t="s">
        <v>40</v>
      </c>
      <c r="I209" s="24" t="s">
        <v>473</v>
      </c>
      <c r="J209" s="24" t="s">
        <v>137</v>
      </c>
      <c r="K209" s="26" t="n">
        <v>110000</v>
      </c>
      <c r="L209" s="36" t="n">
        <f aca="false">IFERROR(INDEX('Sales Roster &amp; Quotas'!$G$6:$G$20,MATCH($B209,'Sales Roster &amp; Quotas'!$B$6:$B$20,0)),0)</f>
        <v>275000</v>
      </c>
      <c r="M209" s="37" t="n">
        <f aca="false">SUMIFS($K$5:$K$274,$B$5:$B$274,$B209,$G$5:$G$274,$G209,$H$5:$H$274,"New Business")</f>
        <v>314500</v>
      </c>
      <c r="N209" s="38" t="n">
        <f aca="false">IFERROR(M209/L209,0)</f>
        <v>1.14363636363636</v>
      </c>
      <c r="O209" s="37" t="n">
        <f aca="false">MIN(M209,L209)</f>
        <v>275000</v>
      </c>
      <c r="P209" s="37" t="n">
        <f aca="false">MAX(MIN(M209,L209*1.25)-L209,0)</f>
        <v>39500</v>
      </c>
      <c r="Q209" s="37" t="n">
        <f aca="false">MAX(M209-L209*1.25,0)</f>
        <v>0</v>
      </c>
      <c r="R209" s="36" t="n">
        <f aca="false">O209*'Commission Plan Rules'!$F$6+P209*'Commission Plan Rules'!$F$7+Q209*'Commission Plan Rules'!$F$8</f>
        <v>25950</v>
      </c>
      <c r="S209" s="39" t="n">
        <f aca="false">IF(H209="New Business",IFERROR((K209/M209)*R209,0),IF(H209="Upsell",K209*'Commission Plan Rules'!$F$9,IF(H209="Renewal",K209*'Commission Plan Rules'!$F$10,0)))</f>
        <v>9076.31160572337</v>
      </c>
    </row>
    <row r="210" customFormat="false" ht="15" hidden="false" customHeight="true" outlineLevel="0" collapsed="false">
      <c r="A210" s="27" t="s">
        <v>474</v>
      </c>
      <c r="B210" s="27" t="s">
        <v>97</v>
      </c>
      <c r="C210" s="40" t="str">
        <f aca="false">IFERROR(INDEX('Sales Roster &amp; Quotas'!$C$6:$C$20,MATCH($B210,'Sales Roster &amp; Quotas'!$B$6:$B$20,0)),"")</f>
        <v>Ryan Sullivan</v>
      </c>
      <c r="D210" s="40" t="str">
        <f aca="false">IFERROR(INDEX('Sales Roster &amp; Quotas'!$D$6:$D$20,MATCH($B210,'Sales Roster &amp; Quotas'!$B$6:$B$20,0)),"")</f>
        <v>Mid-Market</v>
      </c>
      <c r="E210" s="28" t="n">
        <v>46152</v>
      </c>
      <c r="F210" s="41" t="str">
        <f aca="false">TEXT(E210,"yyyy-mm")</f>
        <v>2026-05</v>
      </c>
      <c r="G210" s="41" t="str">
        <f aca="false">IF(MONTH(E210)&lt;=3,"Q1","Q2")</f>
        <v>Q2</v>
      </c>
      <c r="H210" s="27" t="s">
        <v>48</v>
      </c>
      <c r="I210" s="27" t="s">
        <v>475</v>
      </c>
      <c r="J210" s="27" t="s">
        <v>142</v>
      </c>
      <c r="K210" s="29" t="n">
        <v>25000</v>
      </c>
      <c r="L210" s="42" t="n">
        <f aca="false">IFERROR(INDEX('Sales Roster &amp; Quotas'!$G$6:$G$20,MATCH($B210,'Sales Roster &amp; Quotas'!$B$6:$B$20,0)),0)</f>
        <v>273000</v>
      </c>
      <c r="M210" s="43" t="n">
        <f aca="false">SUMIFS($K$5:$K$274,$B$5:$B$274,$B210,$G$5:$G$274,$G210,$H$5:$H$274,"New Business")</f>
        <v>307000</v>
      </c>
      <c r="N210" s="44" t="n">
        <f aca="false">IFERROR(M210/L210,0)</f>
        <v>1.12454212454212</v>
      </c>
      <c r="O210" s="43" t="n">
        <f aca="false">MIN(M210,L210)</f>
        <v>273000</v>
      </c>
      <c r="P210" s="43" t="n">
        <f aca="false">MAX(MIN(M210,L210*1.25)-L210,0)</f>
        <v>34000</v>
      </c>
      <c r="Q210" s="43" t="n">
        <f aca="false">MAX(M210-L210*1.25,0)</f>
        <v>0</v>
      </c>
      <c r="R210" s="42" t="n">
        <f aca="false">O210*'Commission Plan Rules'!$F$6+P210*'Commission Plan Rules'!$F$7+Q210*'Commission Plan Rules'!$F$8</f>
        <v>25240</v>
      </c>
      <c r="S210" s="45" t="n">
        <f aca="false">IF(H210="New Business",IFERROR((K210/M210)*R210,0),IF(H210="Upsell",K210*'Commission Plan Rules'!$F$9,IF(H210="Renewal",K210*'Commission Plan Rules'!$F$10,0)))</f>
        <v>750</v>
      </c>
    </row>
    <row r="211" customFormat="false" ht="15" hidden="false" customHeight="true" outlineLevel="0" collapsed="false">
      <c r="A211" s="24" t="s">
        <v>476</v>
      </c>
      <c r="B211" s="24" t="s">
        <v>67</v>
      </c>
      <c r="C211" s="34" t="str">
        <f aca="false">IFERROR(INDEX('Sales Roster &amp; Quotas'!$C$6:$C$20,MATCH($B211,'Sales Roster &amp; Quotas'!$B$6:$B$20,0)),"")</f>
        <v>Maria Chen</v>
      </c>
      <c r="D211" s="34" t="str">
        <f aca="false">IFERROR(INDEX('Sales Roster &amp; Quotas'!$D$6:$D$20,MATCH($B211,'Sales Roster &amp; Quotas'!$B$6:$B$20,0)),"")</f>
        <v>SMB</v>
      </c>
      <c r="E211" s="25" t="n">
        <v>46153</v>
      </c>
      <c r="F211" s="35" t="str">
        <f aca="false">TEXT(E211,"yyyy-mm")</f>
        <v>2026-05</v>
      </c>
      <c r="G211" s="35" t="str">
        <f aca="false">IF(MONTH(E211)&lt;=3,"Q1","Q2")</f>
        <v>Q2</v>
      </c>
      <c r="H211" s="24" t="s">
        <v>40</v>
      </c>
      <c r="I211" s="24" t="s">
        <v>477</v>
      </c>
      <c r="J211" s="24" t="s">
        <v>137</v>
      </c>
      <c r="K211" s="26" t="n">
        <v>22000</v>
      </c>
      <c r="L211" s="36" t="n">
        <f aca="false">IFERROR(INDEX('Sales Roster &amp; Quotas'!$G$6:$G$20,MATCH($B211,'Sales Roster &amp; Quotas'!$B$6:$B$20,0)),0)</f>
        <v>160000</v>
      </c>
      <c r="M211" s="37" t="n">
        <f aca="false">SUMIFS($K$5:$K$274,$B$5:$B$274,$B211,$G$5:$G$274,$G211,$H$5:$H$274,"New Business")</f>
        <v>113500</v>
      </c>
      <c r="N211" s="38" t="n">
        <f aca="false">IFERROR(M211/L211,0)</f>
        <v>0.709375</v>
      </c>
      <c r="O211" s="37" t="n">
        <f aca="false">MIN(M211,L211)</f>
        <v>113500</v>
      </c>
      <c r="P211" s="37" t="n">
        <f aca="false">MAX(MIN(M211,L211*1.25)-L211,0)</f>
        <v>0</v>
      </c>
      <c r="Q211" s="37" t="n">
        <f aca="false">MAX(M211-L211*1.25,0)</f>
        <v>0</v>
      </c>
      <c r="R211" s="36" t="n">
        <f aca="false">O211*'Commission Plan Rules'!$F$6+P211*'Commission Plan Rules'!$F$7+Q211*'Commission Plan Rules'!$F$8</f>
        <v>9080</v>
      </c>
      <c r="S211" s="39" t="n">
        <f aca="false">IF(H211="New Business",IFERROR((K211/M211)*R211,0),IF(H211="Upsell",K211*'Commission Plan Rules'!$F$9,IF(H211="Renewal",K211*'Commission Plan Rules'!$F$10,0)))</f>
        <v>1760</v>
      </c>
    </row>
    <row r="212" customFormat="false" ht="15" hidden="false" customHeight="true" outlineLevel="0" collapsed="false">
      <c r="A212" s="27" t="s">
        <v>478</v>
      </c>
      <c r="B212" s="27" t="s">
        <v>67</v>
      </c>
      <c r="C212" s="40" t="str">
        <f aca="false">IFERROR(INDEX('Sales Roster &amp; Quotas'!$C$6:$C$20,MATCH($B212,'Sales Roster &amp; Quotas'!$B$6:$B$20,0)),"")</f>
        <v>Maria Chen</v>
      </c>
      <c r="D212" s="40" t="str">
        <f aca="false">IFERROR(INDEX('Sales Roster &amp; Quotas'!$D$6:$D$20,MATCH($B212,'Sales Roster &amp; Quotas'!$B$6:$B$20,0)),"")</f>
        <v>SMB</v>
      </c>
      <c r="E212" s="28" t="n">
        <v>46153</v>
      </c>
      <c r="F212" s="41" t="str">
        <f aca="false">TEXT(E212,"yyyy-mm")</f>
        <v>2026-05</v>
      </c>
      <c r="G212" s="41" t="str">
        <f aca="false">IF(MONTH(E212)&lt;=3,"Q1","Q2")</f>
        <v>Q2</v>
      </c>
      <c r="H212" s="27" t="s">
        <v>45</v>
      </c>
      <c r="I212" s="27" t="s">
        <v>479</v>
      </c>
      <c r="J212" s="27" t="s">
        <v>142</v>
      </c>
      <c r="K212" s="29" t="n">
        <v>33500</v>
      </c>
      <c r="L212" s="42" t="n">
        <f aca="false">IFERROR(INDEX('Sales Roster &amp; Quotas'!$G$6:$G$20,MATCH($B212,'Sales Roster &amp; Quotas'!$B$6:$B$20,0)),0)</f>
        <v>160000</v>
      </c>
      <c r="M212" s="43" t="n">
        <f aca="false">SUMIFS($K$5:$K$274,$B$5:$B$274,$B212,$G$5:$G$274,$G212,$H$5:$H$274,"New Business")</f>
        <v>113500</v>
      </c>
      <c r="N212" s="44" t="n">
        <f aca="false">IFERROR(M212/L212,0)</f>
        <v>0.709375</v>
      </c>
      <c r="O212" s="43" t="n">
        <f aca="false">MIN(M212,L212)</f>
        <v>113500</v>
      </c>
      <c r="P212" s="43" t="n">
        <f aca="false">MAX(MIN(M212,L212*1.25)-L212,0)</f>
        <v>0</v>
      </c>
      <c r="Q212" s="43" t="n">
        <f aca="false">MAX(M212-L212*1.25,0)</f>
        <v>0</v>
      </c>
      <c r="R212" s="42" t="n">
        <f aca="false">O212*'Commission Plan Rules'!$F$6+P212*'Commission Plan Rules'!$F$7+Q212*'Commission Plan Rules'!$F$8</f>
        <v>9080</v>
      </c>
      <c r="S212" s="45" t="n">
        <f aca="false">IF(H212="New Business",IFERROR((K212/M212)*R212,0),IF(H212="Upsell",K212*'Commission Plan Rules'!$F$9,IF(H212="Renewal",K212*'Commission Plan Rules'!$F$10,0)))</f>
        <v>2010</v>
      </c>
    </row>
    <row r="213" customFormat="false" ht="15" hidden="false" customHeight="true" outlineLevel="0" collapsed="false">
      <c r="A213" s="24" t="s">
        <v>480</v>
      </c>
      <c r="B213" s="24" t="s">
        <v>82</v>
      </c>
      <c r="C213" s="34" t="str">
        <f aca="false">IFERROR(INDEX('Sales Roster &amp; Quotas'!$C$6:$C$20,MATCH($B213,'Sales Roster &amp; Quotas'!$B$6:$B$20,0)),"")</f>
        <v>Sofia Rossi</v>
      </c>
      <c r="D213" s="34" t="str">
        <f aca="false">IFERROR(INDEX('Sales Roster &amp; Quotas'!$D$6:$D$20,MATCH($B213,'Sales Roster &amp; Quotas'!$B$6:$B$20,0)),"")</f>
        <v>SMB</v>
      </c>
      <c r="E213" s="25" t="n">
        <v>46154</v>
      </c>
      <c r="F213" s="35" t="str">
        <f aca="false">TEXT(E213,"yyyy-mm")</f>
        <v>2026-05</v>
      </c>
      <c r="G213" s="35" t="str">
        <f aca="false">IF(MONTH(E213)&lt;=3,"Q1","Q2")</f>
        <v>Q2</v>
      </c>
      <c r="H213" s="24" t="s">
        <v>40</v>
      </c>
      <c r="I213" s="24" t="s">
        <v>235</v>
      </c>
      <c r="J213" s="24" t="s">
        <v>142</v>
      </c>
      <c r="K213" s="26" t="n">
        <v>3000</v>
      </c>
      <c r="L213" s="36" t="n">
        <f aca="false">IFERROR(INDEX('Sales Roster &amp; Quotas'!$G$6:$G$20,MATCH($B213,'Sales Roster &amp; Quotas'!$B$6:$B$20,0)),0)</f>
        <v>152000</v>
      </c>
      <c r="M213" s="37" t="n">
        <f aca="false">SUMIFS($K$5:$K$274,$B$5:$B$274,$B213,$G$5:$G$274,$G213,$H$5:$H$274,"New Business")</f>
        <v>156500</v>
      </c>
      <c r="N213" s="38" t="n">
        <f aca="false">IFERROR(M213/L213,0)</f>
        <v>1.02960526315789</v>
      </c>
      <c r="O213" s="37" t="n">
        <f aca="false">MIN(M213,L213)</f>
        <v>152000</v>
      </c>
      <c r="P213" s="37" t="n">
        <f aca="false">MAX(MIN(M213,L213*1.25)-L213,0)</f>
        <v>4500</v>
      </c>
      <c r="Q213" s="37" t="n">
        <f aca="false">MAX(M213-L213*1.25,0)</f>
        <v>0</v>
      </c>
      <c r="R213" s="36" t="n">
        <f aca="false">O213*'Commission Plan Rules'!$F$6+P213*'Commission Plan Rules'!$F$7+Q213*'Commission Plan Rules'!$F$8</f>
        <v>12610</v>
      </c>
      <c r="S213" s="39" t="n">
        <f aca="false">IF(H213="New Business",IFERROR((K213/M213)*R213,0),IF(H213="Upsell",K213*'Commission Plan Rules'!$F$9,IF(H213="Renewal",K213*'Commission Plan Rules'!$F$10,0)))</f>
        <v>241.725239616613</v>
      </c>
    </row>
    <row r="214" customFormat="false" ht="15" hidden="false" customHeight="true" outlineLevel="0" collapsed="false">
      <c r="A214" s="27" t="s">
        <v>481</v>
      </c>
      <c r="B214" s="27" t="s">
        <v>92</v>
      </c>
      <c r="C214" s="40" t="str">
        <f aca="false">IFERROR(INDEX('Sales Roster &amp; Quotas'!$C$6:$C$20,MATCH($B214,'Sales Roster &amp; Quotas'!$B$6:$B$20,0)),"")</f>
        <v>Tyler Alvarez</v>
      </c>
      <c r="D214" s="40" t="str">
        <f aca="false">IFERROR(INDEX('Sales Roster &amp; Quotas'!$D$6:$D$20,MATCH($B214,'Sales Roster &amp; Quotas'!$B$6:$B$20,0)),"")</f>
        <v>Mid-Market</v>
      </c>
      <c r="E214" s="28" t="n">
        <v>46154</v>
      </c>
      <c r="F214" s="41" t="str">
        <f aca="false">TEXT(E214,"yyyy-mm")</f>
        <v>2026-05</v>
      </c>
      <c r="G214" s="41" t="str">
        <f aca="false">IF(MONTH(E214)&lt;=3,"Q1","Q2")</f>
        <v>Q2</v>
      </c>
      <c r="H214" s="27" t="s">
        <v>48</v>
      </c>
      <c r="I214" s="27" t="s">
        <v>282</v>
      </c>
      <c r="J214" s="27" t="s">
        <v>142</v>
      </c>
      <c r="K214" s="29" t="n">
        <v>5000</v>
      </c>
      <c r="L214" s="42" t="n">
        <f aca="false">IFERROR(INDEX('Sales Roster &amp; Quotas'!$G$6:$G$20,MATCH($B214,'Sales Roster &amp; Quotas'!$B$6:$B$20,0)),0)</f>
        <v>275000</v>
      </c>
      <c r="M214" s="43" t="n">
        <f aca="false">SUMIFS($K$5:$K$274,$B$5:$B$274,$B214,$G$5:$G$274,$G214,$H$5:$H$274,"New Business")</f>
        <v>314500</v>
      </c>
      <c r="N214" s="44" t="n">
        <f aca="false">IFERROR(M214/L214,0)</f>
        <v>1.14363636363636</v>
      </c>
      <c r="O214" s="43" t="n">
        <f aca="false">MIN(M214,L214)</f>
        <v>275000</v>
      </c>
      <c r="P214" s="43" t="n">
        <f aca="false">MAX(MIN(M214,L214*1.25)-L214,0)</f>
        <v>39500</v>
      </c>
      <c r="Q214" s="43" t="n">
        <f aca="false">MAX(M214-L214*1.25,0)</f>
        <v>0</v>
      </c>
      <c r="R214" s="42" t="n">
        <f aca="false">O214*'Commission Plan Rules'!$F$6+P214*'Commission Plan Rules'!$F$7+Q214*'Commission Plan Rules'!$F$8</f>
        <v>25950</v>
      </c>
      <c r="S214" s="45" t="n">
        <f aca="false">IF(H214="New Business",IFERROR((K214/M214)*R214,0),IF(H214="Upsell",K214*'Commission Plan Rules'!$F$9,IF(H214="Renewal",K214*'Commission Plan Rules'!$F$10,0)))</f>
        <v>150</v>
      </c>
    </row>
    <row r="215" customFormat="false" ht="15" hidden="false" customHeight="true" outlineLevel="0" collapsed="false">
      <c r="A215" s="24" t="s">
        <v>482</v>
      </c>
      <c r="B215" s="24" t="s">
        <v>101</v>
      </c>
      <c r="C215" s="34" t="str">
        <f aca="false">IFERROR(INDEX('Sales Roster &amp; Quotas'!$C$6:$C$20,MATCH($B215,'Sales Roster &amp; Quotas'!$B$6:$B$20,0)),"")</f>
        <v>Natalie Reyes</v>
      </c>
      <c r="D215" s="34" t="str">
        <f aca="false">IFERROR(INDEX('Sales Roster &amp; Quotas'!$D$6:$D$20,MATCH($B215,'Sales Roster &amp; Quotas'!$B$6:$B$20,0)),"")</f>
        <v>Mid-Market</v>
      </c>
      <c r="E215" s="25" t="n">
        <v>46156</v>
      </c>
      <c r="F215" s="35" t="str">
        <f aca="false">TEXT(E215,"yyyy-mm")</f>
        <v>2026-05</v>
      </c>
      <c r="G215" s="35" t="str">
        <f aca="false">IF(MONTH(E215)&lt;=3,"Q1","Q2")</f>
        <v>Q2</v>
      </c>
      <c r="H215" s="24" t="s">
        <v>40</v>
      </c>
      <c r="I215" s="24" t="s">
        <v>483</v>
      </c>
      <c r="J215" s="24" t="s">
        <v>142</v>
      </c>
      <c r="K215" s="26" t="n">
        <v>138000</v>
      </c>
      <c r="L215" s="36" t="n">
        <f aca="false">IFERROR(INDEX('Sales Roster &amp; Quotas'!$G$6:$G$20,MATCH($B215,'Sales Roster &amp; Quotas'!$B$6:$B$20,0)),0)</f>
        <v>295000</v>
      </c>
      <c r="M215" s="37" t="n">
        <f aca="false">SUMIFS($K$5:$K$274,$B$5:$B$274,$B215,$G$5:$G$274,$G215,$H$5:$H$274,"New Business")</f>
        <v>293500</v>
      </c>
      <c r="N215" s="38" t="n">
        <f aca="false">IFERROR(M215/L215,0)</f>
        <v>0.994915254237288</v>
      </c>
      <c r="O215" s="37" t="n">
        <f aca="false">MIN(M215,L215)</f>
        <v>293500</v>
      </c>
      <c r="P215" s="37" t="n">
        <f aca="false">MAX(MIN(M215,L215*1.25)-L215,0)</f>
        <v>0</v>
      </c>
      <c r="Q215" s="37" t="n">
        <f aca="false">MAX(M215-L215*1.25,0)</f>
        <v>0</v>
      </c>
      <c r="R215" s="36" t="n">
        <f aca="false">O215*'Commission Plan Rules'!$F$6+P215*'Commission Plan Rules'!$F$7+Q215*'Commission Plan Rules'!$F$8</f>
        <v>23480</v>
      </c>
      <c r="S215" s="39" t="n">
        <f aca="false">IF(H215="New Business",IFERROR((K215/M215)*R215,0),IF(H215="Upsell",K215*'Commission Plan Rules'!$F$9,IF(H215="Renewal",K215*'Commission Plan Rules'!$F$10,0)))</f>
        <v>11040</v>
      </c>
    </row>
    <row r="216" customFormat="false" ht="15" hidden="false" customHeight="true" outlineLevel="0" collapsed="false">
      <c r="A216" s="27" t="s">
        <v>484</v>
      </c>
      <c r="B216" s="27" t="s">
        <v>82</v>
      </c>
      <c r="C216" s="40" t="str">
        <f aca="false">IFERROR(INDEX('Sales Roster &amp; Quotas'!$C$6:$C$20,MATCH($B216,'Sales Roster &amp; Quotas'!$B$6:$B$20,0)),"")</f>
        <v>Sofia Rossi</v>
      </c>
      <c r="D216" s="40" t="str">
        <f aca="false">IFERROR(INDEX('Sales Roster &amp; Quotas'!$D$6:$D$20,MATCH($B216,'Sales Roster &amp; Quotas'!$B$6:$B$20,0)),"")</f>
        <v>SMB</v>
      </c>
      <c r="E216" s="28" t="n">
        <v>46156</v>
      </c>
      <c r="F216" s="41" t="str">
        <f aca="false">TEXT(E216,"yyyy-mm")</f>
        <v>2026-05</v>
      </c>
      <c r="G216" s="41" t="str">
        <f aca="false">IF(MONTH(E216)&lt;=3,"Q1","Q2")</f>
        <v>Q2</v>
      </c>
      <c r="H216" s="27" t="s">
        <v>48</v>
      </c>
      <c r="I216" s="27" t="s">
        <v>237</v>
      </c>
      <c r="J216" s="27" t="s">
        <v>157</v>
      </c>
      <c r="K216" s="29" t="n">
        <v>22000</v>
      </c>
      <c r="L216" s="42" t="n">
        <f aca="false">IFERROR(INDEX('Sales Roster &amp; Quotas'!$G$6:$G$20,MATCH($B216,'Sales Roster &amp; Quotas'!$B$6:$B$20,0)),0)</f>
        <v>152000</v>
      </c>
      <c r="M216" s="43" t="n">
        <f aca="false">SUMIFS($K$5:$K$274,$B$5:$B$274,$B216,$G$5:$G$274,$G216,$H$5:$H$274,"New Business")</f>
        <v>156500</v>
      </c>
      <c r="N216" s="44" t="n">
        <f aca="false">IFERROR(M216/L216,0)</f>
        <v>1.02960526315789</v>
      </c>
      <c r="O216" s="43" t="n">
        <f aca="false">MIN(M216,L216)</f>
        <v>152000</v>
      </c>
      <c r="P216" s="43" t="n">
        <f aca="false">MAX(MIN(M216,L216*1.25)-L216,0)</f>
        <v>4500</v>
      </c>
      <c r="Q216" s="43" t="n">
        <f aca="false">MAX(M216-L216*1.25,0)</f>
        <v>0</v>
      </c>
      <c r="R216" s="42" t="n">
        <f aca="false">O216*'Commission Plan Rules'!$F$6+P216*'Commission Plan Rules'!$F$7+Q216*'Commission Plan Rules'!$F$8</f>
        <v>12610</v>
      </c>
      <c r="S216" s="45" t="n">
        <f aca="false">IF(H216="New Business",IFERROR((K216/M216)*R216,0),IF(H216="Upsell",K216*'Commission Plan Rules'!$F$9,IF(H216="Renewal",K216*'Commission Plan Rules'!$F$10,0)))</f>
        <v>660</v>
      </c>
    </row>
    <row r="217" customFormat="false" ht="15" hidden="false" customHeight="true" outlineLevel="0" collapsed="false">
      <c r="A217" s="24" t="s">
        <v>485</v>
      </c>
      <c r="B217" s="24" t="s">
        <v>72</v>
      </c>
      <c r="C217" s="34" t="str">
        <f aca="false">IFERROR(INDEX('Sales Roster &amp; Quotas'!$C$6:$C$20,MATCH($B217,'Sales Roster &amp; Quotas'!$B$6:$B$20,0)),"")</f>
        <v>James Okafor</v>
      </c>
      <c r="D217" s="34" t="str">
        <f aca="false">IFERROR(INDEX('Sales Roster &amp; Quotas'!$D$6:$D$20,MATCH($B217,'Sales Roster &amp; Quotas'!$B$6:$B$20,0)),"")</f>
        <v>SMB</v>
      </c>
      <c r="E217" s="25" t="n">
        <v>46158</v>
      </c>
      <c r="F217" s="35" t="str">
        <f aca="false">TEXT(E217,"yyyy-mm")</f>
        <v>2026-05</v>
      </c>
      <c r="G217" s="35" t="str">
        <f aca="false">IF(MONTH(E217)&lt;=3,"Q1","Q2")</f>
        <v>Q2</v>
      </c>
      <c r="H217" s="24" t="s">
        <v>48</v>
      </c>
      <c r="I217" s="24" t="s">
        <v>486</v>
      </c>
      <c r="J217" s="24" t="s">
        <v>142</v>
      </c>
      <c r="K217" s="26" t="n">
        <v>3500</v>
      </c>
      <c r="L217" s="36" t="n">
        <f aca="false">IFERROR(INDEX('Sales Roster &amp; Quotas'!$G$6:$G$20,MATCH($B217,'Sales Roster &amp; Quotas'!$B$6:$B$20,0)),0)</f>
        <v>135000</v>
      </c>
      <c r="M217" s="37" t="n">
        <f aca="false">SUMIFS($K$5:$K$274,$B$5:$B$274,$B217,$G$5:$G$274,$G217,$H$5:$H$274,"New Business")</f>
        <v>144000</v>
      </c>
      <c r="N217" s="38" t="n">
        <f aca="false">IFERROR(M217/L217,0)</f>
        <v>1.06666666666667</v>
      </c>
      <c r="O217" s="37" t="n">
        <f aca="false">MIN(M217,L217)</f>
        <v>135000</v>
      </c>
      <c r="P217" s="37" t="n">
        <f aca="false">MAX(MIN(M217,L217*1.25)-L217,0)</f>
        <v>9000</v>
      </c>
      <c r="Q217" s="37" t="n">
        <f aca="false">MAX(M217-L217*1.25,0)</f>
        <v>0</v>
      </c>
      <c r="R217" s="36" t="n">
        <f aca="false">O217*'Commission Plan Rules'!$F$6+P217*'Commission Plan Rules'!$F$7+Q217*'Commission Plan Rules'!$F$8</f>
        <v>11700</v>
      </c>
      <c r="S217" s="39" t="n">
        <f aca="false">IF(H217="New Business",IFERROR((K217/M217)*R217,0),IF(H217="Upsell",K217*'Commission Plan Rules'!$F$9,IF(H217="Renewal",K217*'Commission Plan Rules'!$F$10,0)))</f>
        <v>105</v>
      </c>
    </row>
    <row r="218" customFormat="false" ht="15" hidden="false" customHeight="true" outlineLevel="0" collapsed="false">
      <c r="A218" s="27" t="s">
        <v>487</v>
      </c>
      <c r="B218" s="27" t="s">
        <v>95</v>
      </c>
      <c r="C218" s="40" t="str">
        <f aca="false">IFERROR(INDEX('Sales Roster &amp; Quotas'!$C$6:$C$20,MATCH($B218,'Sales Roster &amp; Quotas'!$B$6:$B$20,0)),"")</f>
        <v>Aisha Kim</v>
      </c>
      <c r="D218" s="40" t="str">
        <f aca="false">IFERROR(INDEX('Sales Roster &amp; Quotas'!$D$6:$D$20,MATCH($B218,'Sales Roster &amp; Quotas'!$B$6:$B$20,0)),"")</f>
        <v>Mid-Market</v>
      </c>
      <c r="E218" s="28" t="n">
        <v>46159</v>
      </c>
      <c r="F218" s="41" t="str">
        <f aca="false">TEXT(E218,"yyyy-mm")</f>
        <v>2026-05</v>
      </c>
      <c r="G218" s="41" t="str">
        <f aca="false">IF(MONTH(E218)&lt;=3,"Q1","Q2")</f>
        <v>Q2</v>
      </c>
      <c r="H218" s="27" t="s">
        <v>48</v>
      </c>
      <c r="I218" s="27" t="s">
        <v>488</v>
      </c>
      <c r="J218" s="27" t="s">
        <v>137</v>
      </c>
      <c r="K218" s="29" t="n">
        <v>58500</v>
      </c>
      <c r="L218" s="42" t="n">
        <f aca="false">IFERROR(INDEX('Sales Roster &amp; Quotas'!$G$6:$G$20,MATCH($B218,'Sales Roster &amp; Quotas'!$B$6:$B$20,0)),0)</f>
        <v>287000</v>
      </c>
      <c r="M218" s="43" t="n">
        <f aca="false">SUMIFS($K$5:$K$274,$B$5:$B$274,$B218,$G$5:$G$274,$G218,$H$5:$H$274,"New Business")</f>
        <v>253000</v>
      </c>
      <c r="N218" s="44" t="n">
        <f aca="false">IFERROR(M218/L218,0)</f>
        <v>0.881533101045296</v>
      </c>
      <c r="O218" s="43" t="n">
        <f aca="false">MIN(M218,L218)</f>
        <v>253000</v>
      </c>
      <c r="P218" s="43" t="n">
        <f aca="false">MAX(MIN(M218,L218*1.25)-L218,0)</f>
        <v>0</v>
      </c>
      <c r="Q218" s="43" t="n">
        <f aca="false">MAX(M218-L218*1.25,0)</f>
        <v>0</v>
      </c>
      <c r="R218" s="42" t="n">
        <f aca="false">O218*'Commission Plan Rules'!$F$6+P218*'Commission Plan Rules'!$F$7+Q218*'Commission Plan Rules'!$F$8</f>
        <v>20240</v>
      </c>
      <c r="S218" s="45" t="n">
        <f aca="false">IF(H218="New Business",IFERROR((K218/M218)*R218,0),IF(H218="Upsell",K218*'Commission Plan Rules'!$F$9,IF(H218="Renewal",K218*'Commission Plan Rules'!$F$10,0)))</f>
        <v>1755</v>
      </c>
    </row>
    <row r="219" customFormat="false" ht="15" hidden="false" customHeight="true" outlineLevel="0" collapsed="false">
      <c r="A219" s="24" t="s">
        <v>489</v>
      </c>
      <c r="B219" s="24" t="s">
        <v>97</v>
      </c>
      <c r="C219" s="34" t="str">
        <f aca="false">IFERROR(INDEX('Sales Roster &amp; Quotas'!$C$6:$C$20,MATCH($B219,'Sales Roster &amp; Quotas'!$B$6:$B$20,0)),"")</f>
        <v>Ryan Sullivan</v>
      </c>
      <c r="D219" s="34" t="str">
        <f aca="false">IFERROR(INDEX('Sales Roster &amp; Quotas'!$D$6:$D$20,MATCH($B219,'Sales Roster &amp; Quotas'!$B$6:$B$20,0)),"")</f>
        <v>Mid-Market</v>
      </c>
      <c r="E219" s="25" t="n">
        <v>46160</v>
      </c>
      <c r="F219" s="35" t="str">
        <f aca="false">TEXT(E219,"yyyy-mm")</f>
        <v>2026-05</v>
      </c>
      <c r="G219" s="35" t="str">
        <f aca="false">IF(MONTH(E219)&lt;=3,"Q1","Q2")</f>
        <v>Q2</v>
      </c>
      <c r="H219" s="24" t="s">
        <v>48</v>
      </c>
      <c r="I219" s="24" t="s">
        <v>278</v>
      </c>
      <c r="J219" s="24" t="s">
        <v>137</v>
      </c>
      <c r="K219" s="26" t="n">
        <v>155500</v>
      </c>
      <c r="L219" s="36" t="n">
        <f aca="false">IFERROR(INDEX('Sales Roster &amp; Quotas'!$G$6:$G$20,MATCH($B219,'Sales Roster &amp; Quotas'!$B$6:$B$20,0)),0)</f>
        <v>273000</v>
      </c>
      <c r="M219" s="37" t="n">
        <f aca="false">SUMIFS($K$5:$K$274,$B$5:$B$274,$B219,$G$5:$G$274,$G219,$H$5:$H$274,"New Business")</f>
        <v>307000</v>
      </c>
      <c r="N219" s="38" t="n">
        <f aca="false">IFERROR(M219/L219,0)</f>
        <v>1.12454212454212</v>
      </c>
      <c r="O219" s="37" t="n">
        <f aca="false">MIN(M219,L219)</f>
        <v>273000</v>
      </c>
      <c r="P219" s="37" t="n">
        <f aca="false">MAX(MIN(M219,L219*1.25)-L219,0)</f>
        <v>34000</v>
      </c>
      <c r="Q219" s="37" t="n">
        <f aca="false">MAX(M219-L219*1.25,0)</f>
        <v>0</v>
      </c>
      <c r="R219" s="36" t="n">
        <f aca="false">O219*'Commission Plan Rules'!$F$6+P219*'Commission Plan Rules'!$F$7+Q219*'Commission Plan Rules'!$F$8</f>
        <v>25240</v>
      </c>
      <c r="S219" s="39" t="n">
        <f aca="false">IF(H219="New Business",IFERROR((K219/M219)*R219,0),IF(H219="Upsell",K219*'Commission Plan Rules'!$F$9,IF(H219="Renewal",K219*'Commission Plan Rules'!$F$10,0)))</f>
        <v>4665</v>
      </c>
    </row>
    <row r="220" customFormat="false" ht="15" hidden="false" customHeight="true" outlineLevel="0" collapsed="false">
      <c r="A220" s="27" t="s">
        <v>490</v>
      </c>
      <c r="B220" s="27" t="s">
        <v>75</v>
      </c>
      <c r="C220" s="40" t="str">
        <f aca="false">IFERROR(INDEX('Sales Roster &amp; Quotas'!$C$6:$C$20,MATCH($B220,'Sales Roster &amp; Quotas'!$B$6:$B$20,0)),"")</f>
        <v>Priya Patel</v>
      </c>
      <c r="D220" s="40" t="str">
        <f aca="false">IFERROR(INDEX('Sales Roster &amp; Quotas'!$D$6:$D$20,MATCH($B220,'Sales Roster &amp; Quotas'!$B$6:$B$20,0)),"")</f>
        <v>SMB</v>
      </c>
      <c r="E220" s="28" t="n">
        <v>46160</v>
      </c>
      <c r="F220" s="41" t="str">
        <f aca="false">TEXT(E220,"yyyy-mm")</f>
        <v>2026-05</v>
      </c>
      <c r="G220" s="41" t="str">
        <f aca="false">IF(MONTH(E220)&lt;=3,"Q1","Q2")</f>
        <v>Q2</v>
      </c>
      <c r="H220" s="27" t="s">
        <v>45</v>
      </c>
      <c r="I220" s="27" t="s">
        <v>314</v>
      </c>
      <c r="J220" s="27" t="s">
        <v>137</v>
      </c>
      <c r="K220" s="29" t="n">
        <v>11500</v>
      </c>
      <c r="L220" s="42" t="n">
        <f aca="false">IFERROR(INDEX('Sales Roster &amp; Quotas'!$G$6:$G$20,MATCH($B220,'Sales Roster &amp; Quotas'!$B$6:$B$20,0)),0)</f>
        <v>137000</v>
      </c>
      <c r="M220" s="43" t="n">
        <f aca="false">SUMIFS($K$5:$K$274,$B$5:$B$274,$B220,$G$5:$G$274,$G220,$H$5:$H$274,"New Business")</f>
        <v>119000</v>
      </c>
      <c r="N220" s="44" t="n">
        <f aca="false">IFERROR(M220/L220,0)</f>
        <v>0.868613138686131</v>
      </c>
      <c r="O220" s="43" t="n">
        <f aca="false">MIN(M220,L220)</f>
        <v>119000</v>
      </c>
      <c r="P220" s="43" t="n">
        <f aca="false">MAX(MIN(M220,L220*1.25)-L220,0)</f>
        <v>0</v>
      </c>
      <c r="Q220" s="43" t="n">
        <f aca="false">MAX(M220-L220*1.25,0)</f>
        <v>0</v>
      </c>
      <c r="R220" s="42" t="n">
        <f aca="false">O220*'Commission Plan Rules'!$F$6+P220*'Commission Plan Rules'!$F$7+Q220*'Commission Plan Rules'!$F$8</f>
        <v>9520</v>
      </c>
      <c r="S220" s="45" t="n">
        <f aca="false">IF(H220="New Business",IFERROR((K220/M220)*R220,0),IF(H220="Upsell",K220*'Commission Plan Rules'!$F$9,IF(H220="Renewal",K220*'Commission Plan Rules'!$F$10,0)))</f>
        <v>690</v>
      </c>
    </row>
    <row r="221" customFormat="false" ht="15" hidden="false" customHeight="true" outlineLevel="0" collapsed="false">
      <c r="A221" s="24" t="s">
        <v>491</v>
      </c>
      <c r="B221" s="24" t="s">
        <v>101</v>
      </c>
      <c r="C221" s="34" t="str">
        <f aca="false">IFERROR(INDEX('Sales Roster &amp; Quotas'!$C$6:$C$20,MATCH($B221,'Sales Roster &amp; Quotas'!$B$6:$B$20,0)),"")</f>
        <v>Natalie Reyes</v>
      </c>
      <c r="D221" s="34" t="str">
        <f aca="false">IFERROR(INDEX('Sales Roster &amp; Quotas'!$D$6:$D$20,MATCH($B221,'Sales Roster &amp; Quotas'!$B$6:$B$20,0)),"")</f>
        <v>Mid-Market</v>
      </c>
      <c r="E221" s="25" t="n">
        <v>46161</v>
      </c>
      <c r="F221" s="35" t="str">
        <f aca="false">TEXT(E221,"yyyy-mm")</f>
        <v>2026-05</v>
      </c>
      <c r="G221" s="35" t="str">
        <f aca="false">IF(MONTH(E221)&lt;=3,"Q1","Q2")</f>
        <v>Q2</v>
      </c>
      <c r="H221" s="24" t="s">
        <v>45</v>
      </c>
      <c r="I221" s="24" t="s">
        <v>479</v>
      </c>
      <c r="J221" s="24" t="s">
        <v>137</v>
      </c>
      <c r="K221" s="26" t="n">
        <v>34500</v>
      </c>
      <c r="L221" s="36" t="n">
        <f aca="false">IFERROR(INDEX('Sales Roster &amp; Quotas'!$G$6:$G$20,MATCH($B221,'Sales Roster &amp; Quotas'!$B$6:$B$20,0)),0)</f>
        <v>295000</v>
      </c>
      <c r="M221" s="37" t="n">
        <f aca="false">SUMIFS($K$5:$K$274,$B$5:$B$274,$B221,$G$5:$G$274,$G221,$H$5:$H$274,"New Business")</f>
        <v>293500</v>
      </c>
      <c r="N221" s="38" t="n">
        <f aca="false">IFERROR(M221/L221,0)</f>
        <v>0.994915254237288</v>
      </c>
      <c r="O221" s="37" t="n">
        <f aca="false">MIN(M221,L221)</f>
        <v>293500</v>
      </c>
      <c r="P221" s="37" t="n">
        <f aca="false">MAX(MIN(M221,L221*1.25)-L221,0)</f>
        <v>0</v>
      </c>
      <c r="Q221" s="37" t="n">
        <f aca="false">MAX(M221-L221*1.25,0)</f>
        <v>0</v>
      </c>
      <c r="R221" s="36" t="n">
        <f aca="false">O221*'Commission Plan Rules'!$F$6+P221*'Commission Plan Rules'!$F$7+Q221*'Commission Plan Rules'!$F$8</f>
        <v>23480</v>
      </c>
      <c r="S221" s="39" t="n">
        <f aca="false">IF(H221="New Business",IFERROR((K221/M221)*R221,0),IF(H221="Upsell",K221*'Commission Plan Rules'!$F$9,IF(H221="Renewal",K221*'Commission Plan Rules'!$F$10,0)))</f>
        <v>2070</v>
      </c>
    </row>
    <row r="222" customFormat="false" ht="15" hidden="false" customHeight="true" outlineLevel="0" collapsed="false">
      <c r="A222" s="27" t="s">
        <v>492</v>
      </c>
      <c r="B222" s="27" t="s">
        <v>75</v>
      </c>
      <c r="C222" s="40" t="str">
        <f aca="false">IFERROR(INDEX('Sales Roster &amp; Quotas'!$C$6:$C$20,MATCH($B222,'Sales Roster &amp; Quotas'!$B$6:$B$20,0)),"")</f>
        <v>Priya Patel</v>
      </c>
      <c r="D222" s="40" t="str">
        <f aca="false">IFERROR(INDEX('Sales Roster &amp; Quotas'!$D$6:$D$20,MATCH($B222,'Sales Roster &amp; Quotas'!$B$6:$B$20,0)),"")</f>
        <v>SMB</v>
      </c>
      <c r="E222" s="28" t="n">
        <v>46161</v>
      </c>
      <c r="F222" s="41" t="str">
        <f aca="false">TEXT(E222,"yyyy-mm")</f>
        <v>2026-05</v>
      </c>
      <c r="G222" s="41" t="str">
        <f aca="false">IF(MONTH(E222)&lt;=3,"Q1","Q2")</f>
        <v>Q2</v>
      </c>
      <c r="H222" s="27" t="s">
        <v>40</v>
      </c>
      <c r="I222" s="27" t="s">
        <v>309</v>
      </c>
      <c r="J222" s="27" t="s">
        <v>137</v>
      </c>
      <c r="K222" s="29" t="n">
        <v>30000</v>
      </c>
      <c r="L222" s="42" t="n">
        <f aca="false">IFERROR(INDEX('Sales Roster &amp; Quotas'!$G$6:$G$20,MATCH($B222,'Sales Roster &amp; Quotas'!$B$6:$B$20,0)),0)</f>
        <v>137000</v>
      </c>
      <c r="M222" s="43" t="n">
        <f aca="false">SUMIFS($K$5:$K$274,$B$5:$B$274,$B222,$G$5:$G$274,$G222,$H$5:$H$274,"New Business")</f>
        <v>119000</v>
      </c>
      <c r="N222" s="44" t="n">
        <f aca="false">IFERROR(M222/L222,0)</f>
        <v>0.868613138686131</v>
      </c>
      <c r="O222" s="43" t="n">
        <f aca="false">MIN(M222,L222)</f>
        <v>119000</v>
      </c>
      <c r="P222" s="43" t="n">
        <f aca="false">MAX(MIN(M222,L222*1.25)-L222,0)</f>
        <v>0</v>
      </c>
      <c r="Q222" s="43" t="n">
        <f aca="false">MAX(M222-L222*1.25,0)</f>
        <v>0</v>
      </c>
      <c r="R222" s="42" t="n">
        <f aca="false">O222*'Commission Plan Rules'!$F$6+P222*'Commission Plan Rules'!$F$7+Q222*'Commission Plan Rules'!$F$8</f>
        <v>9520</v>
      </c>
      <c r="S222" s="45" t="n">
        <f aca="false">IF(H222="New Business",IFERROR((K222/M222)*R222,0),IF(H222="Upsell",K222*'Commission Plan Rules'!$F$9,IF(H222="Renewal",K222*'Commission Plan Rules'!$F$10,0)))</f>
        <v>2400</v>
      </c>
    </row>
    <row r="223" customFormat="false" ht="15" hidden="false" customHeight="true" outlineLevel="0" collapsed="false">
      <c r="A223" s="24" t="s">
        <v>493</v>
      </c>
      <c r="B223" s="24" t="s">
        <v>85</v>
      </c>
      <c r="C223" s="34" t="str">
        <f aca="false">IFERROR(INDEX('Sales Roster &amp; Quotas'!$C$6:$C$20,MATCH($B223,'Sales Roster &amp; Quotas'!$B$6:$B$20,0)),"")</f>
        <v>Marcus Bennett</v>
      </c>
      <c r="D223" s="34" t="str">
        <f aca="false">IFERROR(INDEX('Sales Roster &amp; Quotas'!$D$6:$D$20,MATCH($B223,'Sales Roster &amp; Quotas'!$B$6:$B$20,0)),"")</f>
        <v>SMB</v>
      </c>
      <c r="E223" s="25" t="n">
        <v>46163</v>
      </c>
      <c r="F223" s="35" t="str">
        <f aca="false">TEXT(E223,"yyyy-mm")</f>
        <v>2026-05</v>
      </c>
      <c r="G223" s="35" t="str">
        <f aca="false">IF(MONTH(E223)&lt;=3,"Q1","Q2")</f>
        <v>Q2</v>
      </c>
      <c r="H223" s="24" t="s">
        <v>48</v>
      </c>
      <c r="I223" s="24" t="s">
        <v>205</v>
      </c>
      <c r="J223" s="24" t="s">
        <v>137</v>
      </c>
      <c r="K223" s="26" t="n">
        <v>18500</v>
      </c>
      <c r="L223" s="36" t="n">
        <f aca="false">IFERROR(INDEX('Sales Roster &amp; Quotas'!$G$6:$G$20,MATCH($B223,'Sales Roster &amp; Quotas'!$B$6:$B$20,0)),0)</f>
        <v>159000</v>
      </c>
      <c r="M223" s="37" t="n">
        <f aca="false">SUMIFS($K$5:$K$274,$B$5:$B$274,$B223,$G$5:$G$274,$G223,$H$5:$H$274,"New Business")</f>
        <v>200000</v>
      </c>
      <c r="N223" s="38" t="n">
        <f aca="false">IFERROR(M223/L223,0)</f>
        <v>1.25786163522013</v>
      </c>
      <c r="O223" s="37" t="n">
        <f aca="false">MIN(M223,L223)</f>
        <v>159000</v>
      </c>
      <c r="P223" s="37" t="n">
        <f aca="false">MAX(MIN(M223,L223*1.25)-L223,0)</f>
        <v>39750</v>
      </c>
      <c r="Q223" s="37" t="n">
        <f aca="false">MAX(M223-L223*1.25,0)</f>
        <v>1250</v>
      </c>
      <c r="R223" s="36" t="n">
        <f aca="false">O223*'Commission Plan Rules'!$F$6+P223*'Commission Plan Rules'!$F$7+Q223*'Commission Plan Rules'!$F$8</f>
        <v>16845</v>
      </c>
      <c r="S223" s="39" t="n">
        <f aca="false">IF(H223="New Business",IFERROR((K223/M223)*R223,0),IF(H223="Upsell",K223*'Commission Plan Rules'!$F$9,IF(H223="Renewal",K223*'Commission Plan Rules'!$F$10,0)))</f>
        <v>555</v>
      </c>
    </row>
    <row r="224" customFormat="false" ht="15" hidden="false" customHeight="true" outlineLevel="0" collapsed="false">
      <c r="A224" s="27" t="s">
        <v>494</v>
      </c>
      <c r="B224" s="27" t="s">
        <v>79</v>
      </c>
      <c r="C224" s="40" t="str">
        <f aca="false">IFERROR(INDEX('Sales Roster &amp; Quotas'!$C$6:$C$20,MATCH($B224,'Sales Roster &amp; Quotas'!$B$6:$B$20,0)),"")</f>
        <v>David Nguyen</v>
      </c>
      <c r="D224" s="40" t="str">
        <f aca="false">IFERROR(INDEX('Sales Roster &amp; Quotas'!$D$6:$D$20,MATCH($B224,'Sales Roster &amp; Quotas'!$B$6:$B$20,0)),"")</f>
        <v>SMB</v>
      </c>
      <c r="E224" s="28" t="n">
        <v>46163</v>
      </c>
      <c r="F224" s="41" t="str">
        <f aca="false">TEXT(E224,"yyyy-mm")</f>
        <v>2026-05</v>
      </c>
      <c r="G224" s="41" t="str">
        <f aca="false">IF(MONTH(E224)&lt;=3,"Q1","Q2")</f>
        <v>Q2</v>
      </c>
      <c r="H224" s="27" t="s">
        <v>48</v>
      </c>
      <c r="I224" s="27" t="s">
        <v>495</v>
      </c>
      <c r="J224" s="27" t="s">
        <v>137</v>
      </c>
      <c r="K224" s="29" t="n">
        <v>14000</v>
      </c>
      <c r="L224" s="42" t="n">
        <f aca="false">IFERROR(INDEX('Sales Roster &amp; Quotas'!$G$6:$G$20,MATCH($B224,'Sales Roster &amp; Quotas'!$B$6:$B$20,0)),0)</f>
        <v>155000</v>
      </c>
      <c r="M224" s="43" t="n">
        <f aca="false">SUMIFS($K$5:$K$274,$B$5:$B$274,$B224,$G$5:$G$274,$G224,$H$5:$H$274,"New Business")</f>
        <v>26000</v>
      </c>
      <c r="N224" s="44" t="n">
        <f aca="false">IFERROR(M224/L224,0)</f>
        <v>0.167741935483871</v>
      </c>
      <c r="O224" s="43" t="n">
        <f aca="false">MIN(M224,L224)</f>
        <v>26000</v>
      </c>
      <c r="P224" s="43" t="n">
        <f aca="false">MAX(MIN(M224,L224*1.25)-L224,0)</f>
        <v>0</v>
      </c>
      <c r="Q224" s="43" t="n">
        <f aca="false">MAX(M224-L224*1.25,0)</f>
        <v>0</v>
      </c>
      <c r="R224" s="42" t="n">
        <f aca="false">O224*'Commission Plan Rules'!$F$6+P224*'Commission Plan Rules'!$F$7+Q224*'Commission Plan Rules'!$F$8</f>
        <v>2080</v>
      </c>
      <c r="S224" s="45" t="n">
        <f aca="false">IF(H224="New Business",IFERROR((K224/M224)*R224,0),IF(H224="Upsell",K224*'Commission Plan Rules'!$F$9,IF(H224="Renewal",K224*'Commission Plan Rules'!$F$10,0)))</f>
        <v>420</v>
      </c>
    </row>
    <row r="225" customFormat="false" ht="15" hidden="false" customHeight="true" outlineLevel="0" collapsed="false">
      <c r="A225" s="24" t="s">
        <v>496</v>
      </c>
      <c r="B225" s="24" t="s">
        <v>92</v>
      </c>
      <c r="C225" s="34" t="str">
        <f aca="false">IFERROR(INDEX('Sales Roster &amp; Quotas'!$C$6:$C$20,MATCH($B225,'Sales Roster &amp; Quotas'!$B$6:$B$20,0)),"")</f>
        <v>Tyler Alvarez</v>
      </c>
      <c r="D225" s="34" t="str">
        <f aca="false">IFERROR(INDEX('Sales Roster &amp; Quotas'!$D$6:$D$20,MATCH($B225,'Sales Roster &amp; Quotas'!$B$6:$B$20,0)),"")</f>
        <v>Mid-Market</v>
      </c>
      <c r="E225" s="25" t="n">
        <v>46163</v>
      </c>
      <c r="F225" s="35" t="str">
        <f aca="false">TEXT(E225,"yyyy-mm")</f>
        <v>2026-05</v>
      </c>
      <c r="G225" s="35" t="str">
        <f aca="false">IF(MONTH(E225)&lt;=3,"Q1","Q2")</f>
        <v>Q2</v>
      </c>
      <c r="H225" s="24" t="s">
        <v>40</v>
      </c>
      <c r="I225" s="24" t="s">
        <v>437</v>
      </c>
      <c r="J225" s="24" t="s">
        <v>142</v>
      </c>
      <c r="K225" s="26" t="n">
        <v>136000</v>
      </c>
      <c r="L225" s="36" t="n">
        <f aca="false">IFERROR(INDEX('Sales Roster &amp; Quotas'!$G$6:$G$20,MATCH($B225,'Sales Roster &amp; Quotas'!$B$6:$B$20,0)),0)</f>
        <v>275000</v>
      </c>
      <c r="M225" s="37" t="n">
        <f aca="false">SUMIFS($K$5:$K$274,$B$5:$B$274,$B225,$G$5:$G$274,$G225,$H$5:$H$274,"New Business")</f>
        <v>314500</v>
      </c>
      <c r="N225" s="38" t="n">
        <f aca="false">IFERROR(M225/L225,0)</f>
        <v>1.14363636363636</v>
      </c>
      <c r="O225" s="37" t="n">
        <f aca="false">MIN(M225,L225)</f>
        <v>275000</v>
      </c>
      <c r="P225" s="37" t="n">
        <f aca="false">MAX(MIN(M225,L225*1.25)-L225,0)</f>
        <v>39500</v>
      </c>
      <c r="Q225" s="37" t="n">
        <f aca="false">MAX(M225-L225*1.25,0)</f>
        <v>0</v>
      </c>
      <c r="R225" s="36" t="n">
        <f aca="false">O225*'Commission Plan Rules'!$F$6+P225*'Commission Plan Rules'!$F$7+Q225*'Commission Plan Rules'!$F$8</f>
        <v>25950</v>
      </c>
      <c r="S225" s="39" t="n">
        <f aca="false">IF(H225="New Business",IFERROR((K225/M225)*R225,0),IF(H225="Upsell",K225*'Commission Plan Rules'!$F$9,IF(H225="Renewal",K225*'Commission Plan Rules'!$F$10,0)))</f>
        <v>11221.6216216216</v>
      </c>
    </row>
    <row r="226" customFormat="false" ht="15" hidden="false" customHeight="true" outlineLevel="0" collapsed="false">
      <c r="A226" s="27" t="s">
        <v>497</v>
      </c>
      <c r="B226" s="27" t="s">
        <v>85</v>
      </c>
      <c r="C226" s="40" t="str">
        <f aca="false">IFERROR(INDEX('Sales Roster &amp; Quotas'!$C$6:$C$20,MATCH($B226,'Sales Roster &amp; Quotas'!$B$6:$B$20,0)),"")</f>
        <v>Marcus Bennett</v>
      </c>
      <c r="D226" s="40" t="str">
        <f aca="false">IFERROR(INDEX('Sales Roster &amp; Quotas'!$D$6:$D$20,MATCH($B226,'Sales Roster &amp; Quotas'!$B$6:$B$20,0)),"")</f>
        <v>SMB</v>
      </c>
      <c r="E226" s="28" t="n">
        <v>46166</v>
      </c>
      <c r="F226" s="41" t="str">
        <f aca="false">TEXT(E226,"yyyy-mm")</f>
        <v>2026-05</v>
      </c>
      <c r="G226" s="41" t="str">
        <f aca="false">IF(MONTH(E226)&lt;=3,"Q1","Q2")</f>
        <v>Q2</v>
      </c>
      <c r="H226" s="27" t="s">
        <v>40</v>
      </c>
      <c r="I226" s="27" t="s">
        <v>171</v>
      </c>
      <c r="J226" s="27" t="s">
        <v>137</v>
      </c>
      <c r="K226" s="29" t="n">
        <v>26000</v>
      </c>
      <c r="L226" s="42" t="n">
        <f aca="false">IFERROR(INDEX('Sales Roster &amp; Quotas'!$G$6:$G$20,MATCH($B226,'Sales Roster &amp; Quotas'!$B$6:$B$20,0)),0)</f>
        <v>159000</v>
      </c>
      <c r="M226" s="43" t="n">
        <f aca="false">SUMIFS($K$5:$K$274,$B$5:$B$274,$B226,$G$5:$G$274,$G226,$H$5:$H$274,"New Business")</f>
        <v>200000</v>
      </c>
      <c r="N226" s="44" t="n">
        <f aca="false">IFERROR(M226/L226,0)</f>
        <v>1.25786163522013</v>
      </c>
      <c r="O226" s="43" t="n">
        <f aca="false">MIN(M226,L226)</f>
        <v>159000</v>
      </c>
      <c r="P226" s="43" t="n">
        <f aca="false">MAX(MIN(M226,L226*1.25)-L226,0)</f>
        <v>39750</v>
      </c>
      <c r="Q226" s="43" t="n">
        <f aca="false">MAX(M226-L226*1.25,0)</f>
        <v>1250</v>
      </c>
      <c r="R226" s="42" t="n">
        <f aca="false">O226*'Commission Plan Rules'!$F$6+P226*'Commission Plan Rules'!$F$7+Q226*'Commission Plan Rules'!$F$8</f>
        <v>16845</v>
      </c>
      <c r="S226" s="45" t="n">
        <f aca="false">IF(H226="New Business",IFERROR((K226/M226)*R226,0),IF(H226="Upsell",K226*'Commission Plan Rules'!$F$9,IF(H226="Renewal",K226*'Commission Plan Rules'!$F$10,0)))</f>
        <v>2189.85</v>
      </c>
    </row>
    <row r="227" customFormat="false" ht="15" hidden="false" customHeight="true" outlineLevel="0" collapsed="false">
      <c r="A227" s="24" t="s">
        <v>498</v>
      </c>
      <c r="B227" s="24" t="s">
        <v>85</v>
      </c>
      <c r="C227" s="34" t="str">
        <f aca="false">IFERROR(INDEX('Sales Roster &amp; Quotas'!$C$6:$C$20,MATCH($B227,'Sales Roster &amp; Quotas'!$B$6:$B$20,0)),"")</f>
        <v>Marcus Bennett</v>
      </c>
      <c r="D227" s="34" t="str">
        <f aca="false">IFERROR(INDEX('Sales Roster &amp; Quotas'!$D$6:$D$20,MATCH($B227,'Sales Roster &amp; Quotas'!$B$6:$B$20,0)),"")</f>
        <v>SMB</v>
      </c>
      <c r="E227" s="25" t="n">
        <v>46167</v>
      </c>
      <c r="F227" s="35" t="str">
        <f aca="false">TEXT(E227,"yyyy-mm")</f>
        <v>2026-05</v>
      </c>
      <c r="G227" s="35" t="str">
        <f aca="false">IF(MONTH(E227)&lt;=3,"Q1","Q2")</f>
        <v>Q2</v>
      </c>
      <c r="H227" s="24" t="s">
        <v>48</v>
      </c>
      <c r="I227" s="24" t="s">
        <v>499</v>
      </c>
      <c r="J227" s="24" t="s">
        <v>137</v>
      </c>
      <c r="K227" s="26" t="n">
        <v>27500</v>
      </c>
      <c r="L227" s="36" t="n">
        <f aca="false">IFERROR(INDEX('Sales Roster &amp; Quotas'!$G$6:$G$20,MATCH($B227,'Sales Roster &amp; Quotas'!$B$6:$B$20,0)),0)</f>
        <v>159000</v>
      </c>
      <c r="M227" s="37" t="n">
        <f aca="false">SUMIFS($K$5:$K$274,$B$5:$B$274,$B227,$G$5:$G$274,$G227,$H$5:$H$274,"New Business")</f>
        <v>200000</v>
      </c>
      <c r="N227" s="38" t="n">
        <f aca="false">IFERROR(M227/L227,0)</f>
        <v>1.25786163522013</v>
      </c>
      <c r="O227" s="37" t="n">
        <f aca="false">MIN(M227,L227)</f>
        <v>159000</v>
      </c>
      <c r="P227" s="37" t="n">
        <f aca="false">MAX(MIN(M227,L227*1.25)-L227,0)</f>
        <v>39750</v>
      </c>
      <c r="Q227" s="37" t="n">
        <f aca="false">MAX(M227-L227*1.25,0)</f>
        <v>1250</v>
      </c>
      <c r="R227" s="36" t="n">
        <f aca="false">O227*'Commission Plan Rules'!$F$6+P227*'Commission Plan Rules'!$F$7+Q227*'Commission Plan Rules'!$F$8</f>
        <v>16845</v>
      </c>
      <c r="S227" s="39" t="n">
        <f aca="false">IF(H227="New Business",IFERROR((K227/M227)*R227,0),IF(H227="Upsell",K227*'Commission Plan Rules'!$F$9,IF(H227="Renewal",K227*'Commission Plan Rules'!$F$10,0)))</f>
        <v>825</v>
      </c>
    </row>
    <row r="228" customFormat="false" ht="15" hidden="false" customHeight="true" outlineLevel="0" collapsed="false">
      <c r="A228" s="27" t="s">
        <v>500</v>
      </c>
      <c r="B228" s="27" t="s">
        <v>95</v>
      </c>
      <c r="C228" s="40" t="str">
        <f aca="false">IFERROR(INDEX('Sales Roster &amp; Quotas'!$C$6:$C$20,MATCH($B228,'Sales Roster &amp; Quotas'!$B$6:$B$20,0)),"")</f>
        <v>Aisha Kim</v>
      </c>
      <c r="D228" s="40" t="str">
        <f aca="false">IFERROR(INDEX('Sales Roster &amp; Quotas'!$D$6:$D$20,MATCH($B228,'Sales Roster &amp; Quotas'!$B$6:$B$20,0)),"")</f>
        <v>Mid-Market</v>
      </c>
      <c r="E228" s="28" t="n">
        <v>46167</v>
      </c>
      <c r="F228" s="41" t="str">
        <f aca="false">TEXT(E228,"yyyy-mm")</f>
        <v>2026-05</v>
      </c>
      <c r="G228" s="41" t="str">
        <f aca="false">IF(MONTH(E228)&lt;=3,"Q1","Q2")</f>
        <v>Q2</v>
      </c>
      <c r="H228" s="27" t="s">
        <v>40</v>
      </c>
      <c r="I228" s="27" t="s">
        <v>501</v>
      </c>
      <c r="J228" s="27" t="s">
        <v>137</v>
      </c>
      <c r="K228" s="29" t="n">
        <v>14500</v>
      </c>
      <c r="L228" s="42" t="n">
        <f aca="false">IFERROR(INDEX('Sales Roster &amp; Quotas'!$G$6:$G$20,MATCH($B228,'Sales Roster &amp; Quotas'!$B$6:$B$20,0)),0)</f>
        <v>287000</v>
      </c>
      <c r="M228" s="43" t="n">
        <f aca="false">SUMIFS($K$5:$K$274,$B$5:$B$274,$B228,$G$5:$G$274,$G228,$H$5:$H$274,"New Business")</f>
        <v>253000</v>
      </c>
      <c r="N228" s="44" t="n">
        <f aca="false">IFERROR(M228/L228,0)</f>
        <v>0.881533101045296</v>
      </c>
      <c r="O228" s="43" t="n">
        <f aca="false">MIN(M228,L228)</f>
        <v>253000</v>
      </c>
      <c r="P228" s="43" t="n">
        <f aca="false">MAX(MIN(M228,L228*1.25)-L228,0)</f>
        <v>0</v>
      </c>
      <c r="Q228" s="43" t="n">
        <f aca="false">MAX(M228-L228*1.25,0)</f>
        <v>0</v>
      </c>
      <c r="R228" s="42" t="n">
        <f aca="false">O228*'Commission Plan Rules'!$F$6+P228*'Commission Plan Rules'!$F$7+Q228*'Commission Plan Rules'!$F$8</f>
        <v>20240</v>
      </c>
      <c r="S228" s="45" t="n">
        <f aca="false">IF(H228="New Business",IFERROR((K228/M228)*R228,0),IF(H228="Upsell",K228*'Commission Plan Rules'!$F$9,IF(H228="Renewal",K228*'Commission Plan Rules'!$F$10,0)))</f>
        <v>1160</v>
      </c>
    </row>
    <row r="229" customFormat="false" ht="15" hidden="false" customHeight="true" outlineLevel="0" collapsed="false">
      <c r="A229" s="24" t="s">
        <v>502</v>
      </c>
      <c r="B229" s="24" t="s">
        <v>67</v>
      </c>
      <c r="C229" s="34" t="str">
        <f aca="false">IFERROR(INDEX('Sales Roster &amp; Quotas'!$C$6:$C$20,MATCH($B229,'Sales Roster &amp; Quotas'!$B$6:$B$20,0)),"")</f>
        <v>Maria Chen</v>
      </c>
      <c r="D229" s="34" t="str">
        <f aca="false">IFERROR(INDEX('Sales Roster &amp; Quotas'!$D$6:$D$20,MATCH($B229,'Sales Roster &amp; Quotas'!$B$6:$B$20,0)),"")</f>
        <v>SMB</v>
      </c>
      <c r="E229" s="25" t="n">
        <v>46169</v>
      </c>
      <c r="F229" s="35" t="str">
        <f aca="false">TEXT(E229,"yyyy-mm")</f>
        <v>2026-05</v>
      </c>
      <c r="G229" s="35" t="str">
        <f aca="false">IF(MONTH(E229)&lt;=3,"Q1","Q2")</f>
        <v>Q2</v>
      </c>
      <c r="H229" s="24" t="s">
        <v>40</v>
      </c>
      <c r="I229" s="24" t="s">
        <v>503</v>
      </c>
      <c r="J229" s="24" t="s">
        <v>137</v>
      </c>
      <c r="K229" s="26" t="n">
        <v>61500</v>
      </c>
      <c r="L229" s="36" t="n">
        <f aca="false">IFERROR(INDEX('Sales Roster &amp; Quotas'!$G$6:$G$20,MATCH($B229,'Sales Roster &amp; Quotas'!$B$6:$B$20,0)),0)</f>
        <v>160000</v>
      </c>
      <c r="M229" s="37" t="n">
        <f aca="false">SUMIFS($K$5:$K$274,$B$5:$B$274,$B229,$G$5:$G$274,$G229,$H$5:$H$274,"New Business")</f>
        <v>113500</v>
      </c>
      <c r="N229" s="38" t="n">
        <f aca="false">IFERROR(M229/L229,0)</f>
        <v>0.709375</v>
      </c>
      <c r="O229" s="37" t="n">
        <f aca="false">MIN(M229,L229)</f>
        <v>113500</v>
      </c>
      <c r="P229" s="37" t="n">
        <f aca="false">MAX(MIN(M229,L229*1.25)-L229,0)</f>
        <v>0</v>
      </c>
      <c r="Q229" s="37" t="n">
        <f aca="false">MAX(M229-L229*1.25,0)</f>
        <v>0</v>
      </c>
      <c r="R229" s="36" t="n">
        <f aca="false">O229*'Commission Plan Rules'!$F$6+P229*'Commission Plan Rules'!$F$7+Q229*'Commission Plan Rules'!$F$8</f>
        <v>9080</v>
      </c>
      <c r="S229" s="39" t="n">
        <f aca="false">IF(H229="New Business",IFERROR((K229/M229)*R229,0),IF(H229="Upsell",K229*'Commission Plan Rules'!$F$9,IF(H229="Renewal",K229*'Commission Plan Rules'!$F$10,0)))</f>
        <v>4920</v>
      </c>
    </row>
    <row r="230" customFormat="false" ht="15" hidden="false" customHeight="true" outlineLevel="0" collapsed="false">
      <c r="A230" s="27" t="s">
        <v>504</v>
      </c>
      <c r="B230" s="27" t="s">
        <v>101</v>
      </c>
      <c r="C230" s="40" t="str">
        <f aca="false">IFERROR(INDEX('Sales Roster &amp; Quotas'!$C$6:$C$20,MATCH($B230,'Sales Roster &amp; Quotas'!$B$6:$B$20,0)),"")</f>
        <v>Natalie Reyes</v>
      </c>
      <c r="D230" s="40" t="str">
        <f aca="false">IFERROR(INDEX('Sales Roster &amp; Quotas'!$D$6:$D$20,MATCH($B230,'Sales Roster &amp; Quotas'!$B$6:$B$20,0)),"")</f>
        <v>Mid-Market</v>
      </c>
      <c r="E230" s="28" t="n">
        <v>46170</v>
      </c>
      <c r="F230" s="41" t="str">
        <f aca="false">TEXT(E230,"yyyy-mm")</f>
        <v>2026-05</v>
      </c>
      <c r="G230" s="41" t="str">
        <f aca="false">IF(MONTH(E230)&lt;=3,"Q1","Q2")</f>
        <v>Q2</v>
      </c>
      <c r="H230" s="27" t="s">
        <v>48</v>
      </c>
      <c r="I230" s="27" t="s">
        <v>324</v>
      </c>
      <c r="J230" s="27" t="s">
        <v>137</v>
      </c>
      <c r="K230" s="29" t="n">
        <v>30000</v>
      </c>
      <c r="L230" s="42" t="n">
        <f aca="false">IFERROR(INDEX('Sales Roster &amp; Quotas'!$G$6:$G$20,MATCH($B230,'Sales Roster &amp; Quotas'!$B$6:$B$20,0)),0)</f>
        <v>295000</v>
      </c>
      <c r="M230" s="43" t="n">
        <f aca="false">SUMIFS($K$5:$K$274,$B$5:$B$274,$B230,$G$5:$G$274,$G230,$H$5:$H$274,"New Business")</f>
        <v>293500</v>
      </c>
      <c r="N230" s="44" t="n">
        <f aca="false">IFERROR(M230/L230,0)</f>
        <v>0.994915254237288</v>
      </c>
      <c r="O230" s="43" t="n">
        <f aca="false">MIN(M230,L230)</f>
        <v>293500</v>
      </c>
      <c r="P230" s="43" t="n">
        <f aca="false">MAX(MIN(M230,L230*1.25)-L230,0)</f>
        <v>0</v>
      </c>
      <c r="Q230" s="43" t="n">
        <f aca="false">MAX(M230-L230*1.25,0)</f>
        <v>0</v>
      </c>
      <c r="R230" s="42" t="n">
        <f aca="false">O230*'Commission Plan Rules'!$F$6+P230*'Commission Plan Rules'!$F$7+Q230*'Commission Plan Rules'!$F$8</f>
        <v>23480</v>
      </c>
      <c r="S230" s="45" t="n">
        <f aca="false">IF(H230="New Business",IFERROR((K230/M230)*R230,0),IF(H230="Upsell",K230*'Commission Plan Rules'!$F$9,IF(H230="Renewal",K230*'Commission Plan Rules'!$F$10,0)))</f>
        <v>900</v>
      </c>
    </row>
    <row r="231" customFormat="false" ht="15" hidden="false" customHeight="true" outlineLevel="0" collapsed="false">
      <c r="A231" s="24" t="s">
        <v>505</v>
      </c>
      <c r="B231" s="24" t="s">
        <v>79</v>
      </c>
      <c r="C231" s="34" t="str">
        <f aca="false">IFERROR(INDEX('Sales Roster &amp; Quotas'!$C$6:$C$20,MATCH($B231,'Sales Roster &amp; Quotas'!$B$6:$B$20,0)),"")</f>
        <v>David Nguyen</v>
      </c>
      <c r="D231" s="34" t="str">
        <f aca="false">IFERROR(INDEX('Sales Roster &amp; Quotas'!$D$6:$D$20,MATCH($B231,'Sales Roster &amp; Quotas'!$B$6:$B$20,0)),"")</f>
        <v>SMB</v>
      </c>
      <c r="E231" s="25" t="n">
        <v>46170</v>
      </c>
      <c r="F231" s="35" t="str">
        <f aca="false">TEXT(E231,"yyyy-mm")</f>
        <v>2026-05</v>
      </c>
      <c r="G231" s="35" t="str">
        <f aca="false">IF(MONTH(E231)&lt;=3,"Q1","Q2")</f>
        <v>Q2</v>
      </c>
      <c r="H231" s="24" t="s">
        <v>48</v>
      </c>
      <c r="I231" s="24" t="s">
        <v>207</v>
      </c>
      <c r="J231" s="24" t="s">
        <v>142</v>
      </c>
      <c r="K231" s="26" t="n">
        <v>4000</v>
      </c>
      <c r="L231" s="36" t="n">
        <f aca="false">IFERROR(INDEX('Sales Roster &amp; Quotas'!$G$6:$G$20,MATCH($B231,'Sales Roster &amp; Quotas'!$B$6:$B$20,0)),0)</f>
        <v>155000</v>
      </c>
      <c r="M231" s="37" t="n">
        <f aca="false">SUMIFS($K$5:$K$274,$B$5:$B$274,$B231,$G$5:$G$274,$G231,$H$5:$H$274,"New Business")</f>
        <v>26000</v>
      </c>
      <c r="N231" s="38" t="n">
        <f aca="false">IFERROR(M231/L231,0)</f>
        <v>0.167741935483871</v>
      </c>
      <c r="O231" s="37" t="n">
        <f aca="false">MIN(M231,L231)</f>
        <v>26000</v>
      </c>
      <c r="P231" s="37" t="n">
        <f aca="false">MAX(MIN(M231,L231*1.25)-L231,0)</f>
        <v>0</v>
      </c>
      <c r="Q231" s="37" t="n">
        <f aca="false">MAX(M231-L231*1.25,0)</f>
        <v>0</v>
      </c>
      <c r="R231" s="36" t="n">
        <f aca="false">O231*'Commission Plan Rules'!$F$6+P231*'Commission Plan Rules'!$F$7+Q231*'Commission Plan Rules'!$F$8</f>
        <v>2080</v>
      </c>
      <c r="S231" s="39" t="n">
        <f aca="false">IF(H231="New Business",IFERROR((K231/M231)*R231,0),IF(H231="Upsell",K231*'Commission Plan Rules'!$F$9,IF(H231="Renewal",K231*'Commission Plan Rules'!$F$10,0)))</f>
        <v>120</v>
      </c>
    </row>
    <row r="232" customFormat="false" ht="15" hidden="false" customHeight="true" outlineLevel="0" collapsed="false">
      <c r="A232" s="27" t="s">
        <v>506</v>
      </c>
      <c r="B232" s="27" t="s">
        <v>114</v>
      </c>
      <c r="C232" s="40" t="str">
        <f aca="false">IFERROR(INDEX('Sales Roster &amp; Quotas'!$C$6:$C$20,MATCH($B232,'Sales Roster &amp; Quotas'!$B$6:$B$20,0)),"")</f>
        <v>Lucia Larsen</v>
      </c>
      <c r="D232" s="40" t="str">
        <f aca="false">IFERROR(INDEX('Sales Roster &amp; Quotas'!$D$6:$D$20,MATCH($B232,'Sales Roster &amp; Quotas'!$B$6:$B$20,0)),"")</f>
        <v>Enterprise</v>
      </c>
      <c r="E232" s="28" t="n">
        <v>46170</v>
      </c>
      <c r="F232" s="41" t="str">
        <f aca="false">TEXT(E232,"yyyy-mm")</f>
        <v>2026-05</v>
      </c>
      <c r="G232" s="41" t="str">
        <f aca="false">IF(MONTH(E232)&lt;=3,"Q1","Q2")</f>
        <v>Q2</v>
      </c>
      <c r="H232" s="27" t="s">
        <v>40</v>
      </c>
      <c r="I232" s="27" t="s">
        <v>507</v>
      </c>
      <c r="J232" s="27" t="s">
        <v>137</v>
      </c>
      <c r="K232" s="29" t="n">
        <v>168000</v>
      </c>
      <c r="L232" s="42" t="n">
        <f aca="false">IFERROR(INDEX('Sales Roster &amp; Quotas'!$G$6:$G$20,MATCH($B232,'Sales Roster &amp; Quotas'!$B$6:$B$20,0)),0)</f>
        <v>594000</v>
      </c>
      <c r="M232" s="43" t="n">
        <f aca="false">SUMIFS($K$5:$K$274,$B$5:$B$274,$B232,$G$5:$G$274,$G232,$H$5:$H$274,"New Business")</f>
        <v>596500</v>
      </c>
      <c r="N232" s="44" t="n">
        <f aca="false">IFERROR(M232/L232,0)</f>
        <v>1.00420875420875</v>
      </c>
      <c r="O232" s="43" t="n">
        <f aca="false">MIN(M232,L232)</f>
        <v>594000</v>
      </c>
      <c r="P232" s="43" t="n">
        <f aca="false">MAX(MIN(M232,L232*1.25)-L232,0)</f>
        <v>2500</v>
      </c>
      <c r="Q232" s="43" t="n">
        <f aca="false">MAX(M232-L232*1.25,0)</f>
        <v>0</v>
      </c>
      <c r="R232" s="42" t="n">
        <f aca="false">O232*'Commission Plan Rules'!$F$6+P232*'Commission Plan Rules'!$F$7+Q232*'Commission Plan Rules'!$F$8</f>
        <v>47770</v>
      </c>
      <c r="S232" s="45" t="n">
        <f aca="false">IF(H232="New Business",IFERROR((K232/M232)*R232,0),IF(H232="Upsell",K232*'Commission Plan Rules'!$F$9,IF(H232="Renewal",K232*'Commission Plan Rules'!$F$10,0)))</f>
        <v>13454.0821458508</v>
      </c>
    </row>
    <row r="233" customFormat="false" ht="15" hidden="false" customHeight="true" outlineLevel="0" collapsed="false">
      <c r="A233" s="24" t="s">
        <v>508</v>
      </c>
      <c r="B233" s="24" t="s">
        <v>111</v>
      </c>
      <c r="C233" s="34" t="str">
        <f aca="false">IFERROR(INDEX('Sales Roster &amp; Quotas'!$C$6:$C$20,MATCH($B233,'Sales Roster &amp; Quotas'!$B$6:$B$20,0)),"")</f>
        <v>Kevin Novak</v>
      </c>
      <c r="D233" s="34" t="str">
        <f aca="false">IFERROR(INDEX('Sales Roster &amp; Quotas'!$D$6:$D$20,MATCH($B233,'Sales Roster &amp; Quotas'!$B$6:$B$20,0)),"")</f>
        <v>Enterprise</v>
      </c>
      <c r="E233" s="25" t="n">
        <v>46175</v>
      </c>
      <c r="F233" s="35" t="str">
        <f aca="false">TEXT(E233,"yyyy-mm")</f>
        <v>2026-06</v>
      </c>
      <c r="G233" s="35" t="str">
        <f aca="false">IF(MONTH(E233)&lt;=3,"Q1","Q2")</f>
        <v>Q2</v>
      </c>
      <c r="H233" s="24" t="s">
        <v>48</v>
      </c>
      <c r="I233" s="24" t="s">
        <v>254</v>
      </c>
      <c r="J233" s="24" t="s">
        <v>142</v>
      </c>
      <c r="K233" s="26" t="n">
        <v>11000</v>
      </c>
      <c r="L233" s="36" t="n">
        <f aca="false">IFERROR(INDEX('Sales Roster &amp; Quotas'!$G$6:$G$20,MATCH($B233,'Sales Roster &amp; Quotas'!$B$6:$B$20,0)),0)</f>
        <v>641000</v>
      </c>
      <c r="M233" s="37" t="n">
        <f aca="false">SUMIFS($K$5:$K$274,$B$5:$B$274,$B233,$G$5:$G$274,$G233,$H$5:$H$274,"New Business")</f>
        <v>570000</v>
      </c>
      <c r="N233" s="38" t="n">
        <f aca="false">IFERROR(M233/L233,0)</f>
        <v>0.889235569422777</v>
      </c>
      <c r="O233" s="37" t="n">
        <f aca="false">MIN(M233,L233)</f>
        <v>570000</v>
      </c>
      <c r="P233" s="37" t="n">
        <f aca="false">MAX(MIN(M233,L233*1.25)-L233,0)</f>
        <v>0</v>
      </c>
      <c r="Q233" s="37" t="n">
        <f aca="false">MAX(M233-L233*1.25,0)</f>
        <v>0</v>
      </c>
      <c r="R233" s="36" t="n">
        <f aca="false">O233*'Commission Plan Rules'!$F$6+P233*'Commission Plan Rules'!$F$7+Q233*'Commission Plan Rules'!$F$8</f>
        <v>45600</v>
      </c>
      <c r="S233" s="39" t="n">
        <f aca="false">IF(H233="New Business",IFERROR((K233/M233)*R233,0),IF(H233="Upsell",K233*'Commission Plan Rules'!$F$9,IF(H233="Renewal",K233*'Commission Plan Rules'!$F$10,0)))</f>
        <v>330</v>
      </c>
    </row>
    <row r="234" customFormat="false" ht="15" hidden="false" customHeight="true" outlineLevel="0" collapsed="false">
      <c r="A234" s="27" t="s">
        <v>509</v>
      </c>
      <c r="B234" s="27" t="s">
        <v>85</v>
      </c>
      <c r="C234" s="40" t="str">
        <f aca="false">IFERROR(INDEX('Sales Roster &amp; Quotas'!$C$6:$C$20,MATCH($B234,'Sales Roster &amp; Quotas'!$B$6:$B$20,0)),"")</f>
        <v>Marcus Bennett</v>
      </c>
      <c r="D234" s="40" t="str">
        <f aca="false">IFERROR(INDEX('Sales Roster &amp; Quotas'!$D$6:$D$20,MATCH($B234,'Sales Roster &amp; Quotas'!$B$6:$B$20,0)),"")</f>
        <v>SMB</v>
      </c>
      <c r="E234" s="28" t="n">
        <v>46175</v>
      </c>
      <c r="F234" s="41" t="str">
        <f aca="false">TEXT(E234,"yyyy-mm")</f>
        <v>2026-06</v>
      </c>
      <c r="G234" s="41" t="str">
        <f aca="false">IF(MONTH(E234)&lt;=3,"Q1","Q2")</f>
        <v>Q2</v>
      </c>
      <c r="H234" s="27" t="s">
        <v>45</v>
      </c>
      <c r="I234" s="27" t="s">
        <v>244</v>
      </c>
      <c r="J234" s="27" t="s">
        <v>137</v>
      </c>
      <c r="K234" s="29" t="n">
        <v>33000</v>
      </c>
      <c r="L234" s="42" t="n">
        <f aca="false">IFERROR(INDEX('Sales Roster &amp; Quotas'!$G$6:$G$20,MATCH($B234,'Sales Roster &amp; Quotas'!$B$6:$B$20,0)),0)</f>
        <v>159000</v>
      </c>
      <c r="M234" s="43" t="n">
        <f aca="false">SUMIFS($K$5:$K$274,$B$5:$B$274,$B234,$G$5:$G$274,$G234,$H$5:$H$274,"New Business")</f>
        <v>200000</v>
      </c>
      <c r="N234" s="44" t="n">
        <f aca="false">IFERROR(M234/L234,0)</f>
        <v>1.25786163522013</v>
      </c>
      <c r="O234" s="43" t="n">
        <f aca="false">MIN(M234,L234)</f>
        <v>159000</v>
      </c>
      <c r="P234" s="43" t="n">
        <f aca="false">MAX(MIN(M234,L234*1.25)-L234,0)</f>
        <v>39750</v>
      </c>
      <c r="Q234" s="43" t="n">
        <f aca="false">MAX(M234-L234*1.25,0)</f>
        <v>1250</v>
      </c>
      <c r="R234" s="42" t="n">
        <f aca="false">O234*'Commission Plan Rules'!$F$6+P234*'Commission Plan Rules'!$F$7+Q234*'Commission Plan Rules'!$F$8</f>
        <v>16845</v>
      </c>
      <c r="S234" s="45" t="n">
        <f aca="false">IF(H234="New Business",IFERROR((K234/M234)*R234,0),IF(H234="Upsell",K234*'Commission Plan Rules'!$F$9,IF(H234="Renewal",K234*'Commission Plan Rules'!$F$10,0)))</f>
        <v>1980</v>
      </c>
    </row>
    <row r="235" customFormat="false" ht="15" hidden="false" customHeight="true" outlineLevel="0" collapsed="false">
      <c r="A235" s="24" t="s">
        <v>510</v>
      </c>
      <c r="B235" s="24" t="s">
        <v>82</v>
      </c>
      <c r="C235" s="34" t="str">
        <f aca="false">IFERROR(INDEX('Sales Roster &amp; Quotas'!$C$6:$C$20,MATCH($B235,'Sales Roster &amp; Quotas'!$B$6:$B$20,0)),"")</f>
        <v>Sofia Rossi</v>
      </c>
      <c r="D235" s="34" t="str">
        <f aca="false">IFERROR(INDEX('Sales Roster &amp; Quotas'!$D$6:$D$20,MATCH($B235,'Sales Roster &amp; Quotas'!$B$6:$B$20,0)),"")</f>
        <v>SMB</v>
      </c>
      <c r="E235" s="25" t="n">
        <v>46175</v>
      </c>
      <c r="F235" s="35" t="str">
        <f aca="false">TEXT(E235,"yyyy-mm")</f>
        <v>2026-06</v>
      </c>
      <c r="G235" s="35" t="str">
        <f aca="false">IF(MONTH(E235)&lt;=3,"Q1","Q2")</f>
        <v>Q2</v>
      </c>
      <c r="H235" s="24" t="s">
        <v>40</v>
      </c>
      <c r="I235" s="24" t="s">
        <v>511</v>
      </c>
      <c r="J235" s="24" t="s">
        <v>152</v>
      </c>
      <c r="K235" s="26" t="n">
        <v>8500</v>
      </c>
      <c r="L235" s="36" t="n">
        <f aca="false">IFERROR(INDEX('Sales Roster &amp; Quotas'!$G$6:$G$20,MATCH($B235,'Sales Roster &amp; Quotas'!$B$6:$B$20,0)),0)</f>
        <v>152000</v>
      </c>
      <c r="M235" s="37" t="n">
        <f aca="false">SUMIFS($K$5:$K$274,$B$5:$B$274,$B235,$G$5:$G$274,$G235,$H$5:$H$274,"New Business")</f>
        <v>156500</v>
      </c>
      <c r="N235" s="38" t="n">
        <f aca="false">IFERROR(M235/L235,0)</f>
        <v>1.02960526315789</v>
      </c>
      <c r="O235" s="37" t="n">
        <f aca="false">MIN(M235,L235)</f>
        <v>152000</v>
      </c>
      <c r="P235" s="37" t="n">
        <f aca="false">MAX(MIN(M235,L235*1.25)-L235,0)</f>
        <v>4500</v>
      </c>
      <c r="Q235" s="37" t="n">
        <f aca="false">MAX(M235-L235*1.25,0)</f>
        <v>0</v>
      </c>
      <c r="R235" s="36" t="n">
        <f aca="false">O235*'Commission Plan Rules'!$F$6+P235*'Commission Plan Rules'!$F$7+Q235*'Commission Plan Rules'!$F$8</f>
        <v>12610</v>
      </c>
      <c r="S235" s="39" t="n">
        <f aca="false">IF(H235="New Business",IFERROR((K235/M235)*R235,0),IF(H235="Upsell",K235*'Commission Plan Rules'!$F$9,IF(H235="Renewal",K235*'Commission Plan Rules'!$F$10,0)))</f>
        <v>684.888178913738</v>
      </c>
    </row>
    <row r="236" customFormat="false" ht="15" hidden="false" customHeight="true" outlineLevel="0" collapsed="false">
      <c r="A236" s="27" t="s">
        <v>512</v>
      </c>
      <c r="B236" s="27" t="s">
        <v>82</v>
      </c>
      <c r="C236" s="40" t="str">
        <f aca="false">IFERROR(INDEX('Sales Roster &amp; Quotas'!$C$6:$C$20,MATCH($B236,'Sales Roster &amp; Quotas'!$B$6:$B$20,0)),"")</f>
        <v>Sofia Rossi</v>
      </c>
      <c r="D236" s="40" t="str">
        <f aca="false">IFERROR(INDEX('Sales Roster &amp; Quotas'!$D$6:$D$20,MATCH($B236,'Sales Roster &amp; Quotas'!$B$6:$B$20,0)),"")</f>
        <v>SMB</v>
      </c>
      <c r="E236" s="28" t="n">
        <v>46176</v>
      </c>
      <c r="F236" s="41" t="str">
        <f aca="false">TEXT(E236,"yyyy-mm")</f>
        <v>2026-06</v>
      </c>
      <c r="G236" s="41" t="str">
        <f aca="false">IF(MONTH(E236)&lt;=3,"Q1","Q2")</f>
        <v>Q2</v>
      </c>
      <c r="H236" s="27" t="s">
        <v>40</v>
      </c>
      <c r="I236" s="27" t="s">
        <v>231</v>
      </c>
      <c r="J236" s="27" t="s">
        <v>137</v>
      </c>
      <c r="K236" s="29" t="n">
        <v>50500</v>
      </c>
      <c r="L236" s="42" t="n">
        <f aca="false">IFERROR(INDEX('Sales Roster &amp; Quotas'!$G$6:$G$20,MATCH($B236,'Sales Roster &amp; Quotas'!$B$6:$B$20,0)),0)</f>
        <v>152000</v>
      </c>
      <c r="M236" s="43" t="n">
        <f aca="false">SUMIFS($K$5:$K$274,$B$5:$B$274,$B236,$G$5:$G$274,$G236,$H$5:$H$274,"New Business")</f>
        <v>156500</v>
      </c>
      <c r="N236" s="44" t="n">
        <f aca="false">IFERROR(M236/L236,0)</f>
        <v>1.02960526315789</v>
      </c>
      <c r="O236" s="43" t="n">
        <f aca="false">MIN(M236,L236)</f>
        <v>152000</v>
      </c>
      <c r="P236" s="43" t="n">
        <f aca="false">MAX(MIN(M236,L236*1.25)-L236,0)</f>
        <v>4500</v>
      </c>
      <c r="Q236" s="43" t="n">
        <f aca="false">MAX(M236-L236*1.25,0)</f>
        <v>0</v>
      </c>
      <c r="R236" s="42" t="n">
        <f aca="false">O236*'Commission Plan Rules'!$F$6+P236*'Commission Plan Rules'!$F$7+Q236*'Commission Plan Rules'!$F$8</f>
        <v>12610</v>
      </c>
      <c r="S236" s="45" t="n">
        <f aca="false">IF(H236="New Business",IFERROR((K236/M236)*R236,0),IF(H236="Upsell",K236*'Commission Plan Rules'!$F$9,IF(H236="Renewal",K236*'Commission Plan Rules'!$F$10,0)))</f>
        <v>4069.04153354633</v>
      </c>
    </row>
    <row r="237" customFormat="false" ht="15" hidden="false" customHeight="true" outlineLevel="0" collapsed="false">
      <c r="A237" s="24" t="s">
        <v>513</v>
      </c>
      <c r="B237" s="24" t="s">
        <v>92</v>
      </c>
      <c r="C237" s="34" t="str">
        <f aca="false">IFERROR(INDEX('Sales Roster &amp; Quotas'!$C$6:$C$20,MATCH($B237,'Sales Roster &amp; Quotas'!$B$6:$B$20,0)),"")</f>
        <v>Tyler Alvarez</v>
      </c>
      <c r="D237" s="34" t="str">
        <f aca="false">IFERROR(INDEX('Sales Roster &amp; Quotas'!$D$6:$D$20,MATCH($B237,'Sales Roster &amp; Quotas'!$B$6:$B$20,0)),"")</f>
        <v>Mid-Market</v>
      </c>
      <c r="E237" s="25" t="n">
        <v>46176</v>
      </c>
      <c r="F237" s="35" t="str">
        <f aca="false">TEXT(E237,"yyyy-mm")</f>
        <v>2026-06</v>
      </c>
      <c r="G237" s="35" t="str">
        <f aca="false">IF(MONTH(E237)&lt;=3,"Q1","Q2")</f>
        <v>Q2</v>
      </c>
      <c r="H237" s="24" t="s">
        <v>48</v>
      </c>
      <c r="I237" s="24" t="s">
        <v>296</v>
      </c>
      <c r="J237" s="24" t="s">
        <v>142</v>
      </c>
      <c r="K237" s="26" t="n">
        <v>32000</v>
      </c>
      <c r="L237" s="36" t="n">
        <f aca="false">IFERROR(INDEX('Sales Roster &amp; Quotas'!$G$6:$G$20,MATCH($B237,'Sales Roster &amp; Quotas'!$B$6:$B$20,0)),0)</f>
        <v>275000</v>
      </c>
      <c r="M237" s="37" t="n">
        <f aca="false">SUMIFS($K$5:$K$274,$B$5:$B$274,$B237,$G$5:$G$274,$G237,$H$5:$H$274,"New Business")</f>
        <v>314500</v>
      </c>
      <c r="N237" s="38" t="n">
        <f aca="false">IFERROR(M237/L237,0)</f>
        <v>1.14363636363636</v>
      </c>
      <c r="O237" s="37" t="n">
        <f aca="false">MIN(M237,L237)</f>
        <v>275000</v>
      </c>
      <c r="P237" s="37" t="n">
        <f aca="false">MAX(MIN(M237,L237*1.25)-L237,0)</f>
        <v>39500</v>
      </c>
      <c r="Q237" s="37" t="n">
        <f aca="false">MAX(M237-L237*1.25,0)</f>
        <v>0</v>
      </c>
      <c r="R237" s="36" t="n">
        <f aca="false">O237*'Commission Plan Rules'!$F$6+P237*'Commission Plan Rules'!$F$7+Q237*'Commission Plan Rules'!$F$8</f>
        <v>25950</v>
      </c>
      <c r="S237" s="39" t="n">
        <f aca="false">IF(H237="New Business",IFERROR((K237/M237)*R237,0),IF(H237="Upsell",K237*'Commission Plan Rules'!$F$9,IF(H237="Renewal",K237*'Commission Plan Rules'!$F$10,0)))</f>
        <v>960</v>
      </c>
    </row>
    <row r="238" customFormat="false" ht="15" hidden="false" customHeight="true" outlineLevel="0" collapsed="false">
      <c r="A238" s="27" t="s">
        <v>514</v>
      </c>
      <c r="B238" s="27" t="s">
        <v>107</v>
      </c>
      <c r="C238" s="40" t="str">
        <f aca="false">IFERROR(INDEX('Sales Roster &amp; Quotas'!$C$6:$C$20,MATCH($B238,'Sales Roster &amp; Quotas'!$B$6:$B$20,0)),"")</f>
        <v>Grace Adeyemi</v>
      </c>
      <c r="D238" s="40" t="str">
        <f aca="false">IFERROR(INDEX('Sales Roster &amp; Quotas'!$D$6:$D$20,MATCH($B238,'Sales Roster &amp; Quotas'!$B$6:$B$20,0)),"")</f>
        <v>Enterprise</v>
      </c>
      <c r="E238" s="28" t="n">
        <v>46177</v>
      </c>
      <c r="F238" s="41" t="str">
        <f aca="false">TEXT(E238,"yyyy-mm")</f>
        <v>2026-06</v>
      </c>
      <c r="G238" s="41" t="str">
        <f aca="false">IF(MONTH(E238)&lt;=3,"Q1","Q2")</f>
        <v>Q2</v>
      </c>
      <c r="H238" s="27" t="s">
        <v>48</v>
      </c>
      <c r="I238" s="27" t="s">
        <v>515</v>
      </c>
      <c r="J238" s="27" t="s">
        <v>137</v>
      </c>
      <c r="K238" s="29" t="n">
        <v>179000</v>
      </c>
      <c r="L238" s="42" t="n">
        <f aca="false">IFERROR(INDEX('Sales Roster &amp; Quotas'!$G$6:$G$20,MATCH($B238,'Sales Roster &amp; Quotas'!$B$6:$B$20,0)),0)</f>
        <v>626000</v>
      </c>
      <c r="M238" s="43" t="n">
        <f aca="false">SUMIFS($K$5:$K$274,$B$5:$B$274,$B238,$G$5:$G$274,$G238,$H$5:$H$274,"New Business")</f>
        <v>374000</v>
      </c>
      <c r="N238" s="44" t="n">
        <f aca="false">IFERROR(M238/L238,0)</f>
        <v>0.597444089456869</v>
      </c>
      <c r="O238" s="43" t="n">
        <f aca="false">MIN(M238,L238)</f>
        <v>374000</v>
      </c>
      <c r="P238" s="43" t="n">
        <f aca="false">MAX(MIN(M238,L238*1.25)-L238,0)</f>
        <v>0</v>
      </c>
      <c r="Q238" s="43" t="n">
        <f aca="false">MAX(M238-L238*1.25,0)</f>
        <v>0</v>
      </c>
      <c r="R238" s="42" t="n">
        <f aca="false">O238*'Commission Plan Rules'!$F$6+P238*'Commission Plan Rules'!$F$7+Q238*'Commission Plan Rules'!$F$8</f>
        <v>29920</v>
      </c>
      <c r="S238" s="45" t="n">
        <f aca="false">IF(H238="New Business",IFERROR((K238/M238)*R238,0),IF(H238="Upsell",K238*'Commission Plan Rules'!$F$9,IF(H238="Renewal",K238*'Commission Plan Rules'!$F$10,0)))</f>
        <v>5370</v>
      </c>
    </row>
    <row r="239" customFormat="false" ht="15" hidden="false" customHeight="true" outlineLevel="0" collapsed="false">
      <c r="A239" s="24" t="s">
        <v>516</v>
      </c>
      <c r="B239" s="24" t="s">
        <v>75</v>
      </c>
      <c r="C239" s="34" t="str">
        <f aca="false">IFERROR(INDEX('Sales Roster &amp; Quotas'!$C$6:$C$20,MATCH($B239,'Sales Roster &amp; Quotas'!$B$6:$B$20,0)),"")</f>
        <v>Priya Patel</v>
      </c>
      <c r="D239" s="34" t="str">
        <f aca="false">IFERROR(INDEX('Sales Roster &amp; Quotas'!$D$6:$D$20,MATCH($B239,'Sales Roster &amp; Quotas'!$B$6:$B$20,0)),"")</f>
        <v>SMB</v>
      </c>
      <c r="E239" s="25" t="n">
        <v>46177</v>
      </c>
      <c r="F239" s="35" t="str">
        <f aca="false">TEXT(E239,"yyyy-mm")</f>
        <v>2026-06</v>
      </c>
      <c r="G239" s="35" t="str">
        <f aca="false">IF(MONTH(E239)&lt;=3,"Q1","Q2")</f>
        <v>Q2</v>
      </c>
      <c r="H239" s="24" t="s">
        <v>48</v>
      </c>
      <c r="I239" s="24" t="s">
        <v>475</v>
      </c>
      <c r="J239" s="24" t="s">
        <v>152</v>
      </c>
      <c r="K239" s="26" t="n">
        <v>27000</v>
      </c>
      <c r="L239" s="36" t="n">
        <f aca="false">IFERROR(INDEX('Sales Roster &amp; Quotas'!$G$6:$G$20,MATCH($B239,'Sales Roster &amp; Quotas'!$B$6:$B$20,0)),0)</f>
        <v>137000</v>
      </c>
      <c r="M239" s="37" t="n">
        <f aca="false">SUMIFS($K$5:$K$274,$B$5:$B$274,$B239,$G$5:$G$274,$G239,$H$5:$H$274,"New Business")</f>
        <v>119000</v>
      </c>
      <c r="N239" s="38" t="n">
        <f aca="false">IFERROR(M239/L239,0)</f>
        <v>0.868613138686131</v>
      </c>
      <c r="O239" s="37" t="n">
        <f aca="false">MIN(M239,L239)</f>
        <v>119000</v>
      </c>
      <c r="P239" s="37" t="n">
        <f aca="false">MAX(MIN(M239,L239*1.25)-L239,0)</f>
        <v>0</v>
      </c>
      <c r="Q239" s="37" t="n">
        <f aca="false">MAX(M239-L239*1.25,0)</f>
        <v>0</v>
      </c>
      <c r="R239" s="36" t="n">
        <f aca="false">O239*'Commission Plan Rules'!$F$6+P239*'Commission Plan Rules'!$F$7+Q239*'Commission Plan Rules'!$F$8</f>
        <v>9520</v>
      </c>
      <c r="S239" s="39" t="n">
        <f aca="false">IF(H239="New Business",IFERROR((K239/M239)*R239,0),IF(H239="Upsell",K239*'Commission Plan Rules'!$F$9,IF(H239="Renewal",K239*'Commission Plan Rules'!$F$10,0)))</f>
        <v>810</v>
      </c>
    </row>
    <row r="240" customFormat="false" ht="15" hidden="false" customHeight="true" outlineLevel="0" collapsed="false">
      <c r="A240" s="27" t="s">
        <v>517</v>
      </c>
      <c r="B240" s="27" t="s">
        <v>72</v>
      </c>
      <c r="C240" s="40" t="str">
        <f aca="false">IFERROR(INDEX('Sales Roster &amp; Quotas'!$C$6:$C$20,MATCH($B240,'Sales Roster &amp; Quotas'!$B$6:$B$20,0)),"")</f>
        <v>James Okafor</v>
      </c>
      <c r="D240" s="40" t="str">
        <f aca="false">IFERROR(INDEX('Sales Roster &amp; Quotas'!$D$6:$D$20,MATCH($B240,'Sales Roster &amp; Quotas'!$B$6:$B$20,0)),"")</f>
        <v>SMB</v>
      </c>
      <c r="E240" s="28" t="n">
        <v>46177</v>
      </c>
      <c r="F240" s="41" t="str">
        <f aca="false">TEXT(E240,"yyyy-mm")</f>
        <v>2026-06</v>
      </c>
      <c r="G240" s="41" t="str">
        <f aca="false">IF(MONTH(E240)&lt;=3,"Q1","Q2")</f>
        <v>Q2</v>
      </c>
      <c r="H240" s="27" t="s">
        <v>40</v>
      </c>
      <c r="I240" s="27" t="s">
        <v>235</v>
      </c>
      <c r="J240" s="27" t="s">
        <v>137</v>
      </c>
      <c r="K240" s="29" t="n">
        <v>66000</v>
      </c>
      <c r="L240" s="42" t="n">
        <f aca="false">IFERROR(INDEX('Sales Roster &amp; Quotas'!$G$6:$G$20,MATCH($B240,'Sales Roster &amp; Quotas'!$B$6:$B$20,0)),0)</f>
        <v>135000</v>
      </c>
      <c r="M240" s="43" t="n">
        <f aca="false">SUMIFS($K$5:$K$274,$B$5:$B$274,$B240,$G$5:$G$274,$G240,$H$5:$H$274,"New Business")</f>
        <v>144000</v>
      </c>
      <c r="N240" s="44" t="n">
        <f aca="false">IFERROR(M240/L240,0)</f>
        <v>1.06666666666667</v>
      </c>
      <c r="O240" s="43" t="n">
        <f aca="false">MIN(M240,L240)</f>
        <v>135000</v>
      </c>
      <c r="P240" s="43" t="n">
        <f aca="false">MAX(MIN(M240,L240*1.25)-L240,0)</f>
        <v>9000</v>
      </c>
      <c r="Q240" s="43" t="n">
        <f aca="false">MAX(M240-L240*1.25,0)</f>
        <v>0</v>
      </c>
      <c r="R240" s="42" t="n">
        <f aca="false">O240*'Commission Plan Rules'!$F$6+P240*'Commission Plan Rules'!$F$7+Q240*'Commission Plan Rules'!$F$8</f>
        <v>11700</v>
      </c>
      <c r="S240" s="45" t="n">
        <f aca="false">IF(H240="New Business",IFERROR((K240/M240)*R240,0),IF(H240="Upsell",K240*'Commission Plan Rules'!$F$9,IF(H240="Renewal",K240*'Commission Plan Rules'!$F$10,0)))</f>
        <v>5362.5</v>
      </c>
    </row>
    <row r="241" customFormat="false" ht="15" hidden="false" customHeight="true" outlineLevel="0" collapsed="false">
      <c r="A241" s="24" t="s">
        <v>518</v>
      </c>
      <c r="B241" s="24" t="s">
        <v>107</v>
      </c>
      <c r="C241" s="34" t="str">
        <f aca="false">IFERROR(INDEX('Sales Roster &amp; Quotas'!$C$6:$C$20,MATCH($B241,'Sales Roster &amp; Quotas'!$B$6:$B$20,0)),"")</f>
        <v>Grace Adeyemi</v>
      </c>
      <c r="D241" s="34" t="str">
        <f aca="false">IFERROR(INDEX('Sales Roster &amp; Quotas'!$D$6:$D$20,MATCH($B241,'Sales Roster &amp; Quotas'!$B$6:$B$20,0)),"")</f>
        <v>Enterprise</v>
      </c>
      <c r="E241" s="25" t="n">
        <v>46177</v>
      </c>
      <c r="F241" s="35" t="str">
        <f aca="false">TEXT(E241,"yyyy-mm")</f>
        <v>2026-06</v>
      </c>
      <c r="G241" s="35" t="str">
        <f aca="false">IF(MONTH(E241)&lt;=3,"Q1","Q2")</f>
        <v>Q2</v>
      </c>
      <c r="H241" s="24" t="s">
        <v>40</v>
      </c>
      <c r="I241" s="24" t="s">
        <v>519</v>
      </c>
      <c r="J241" s="24" t="s">
        <v>137</v>
      </c>
      <c r="K241" s="26" t="n">
        <v>322000</v>
      </c>
      <c r="L241" s="36" t="n">
        <f aca="false">IFERROR(INDEX('Sales Roster &amp; Quotas'!$G$6:$G$20,MATCH($B241,'Sales Roster &amp; Quotas'!$B$6:$B$20,0)),0)</f>
        <v>626000</v>
      </c>
      <c r="M241" s="37" t="n">
        <f aca="false">SUMIFS($K$5:$K$274,$B$5:$B$274,$B241,$G$5:$G$274,$G241,$H$5:$H$274,"New Business")</f>
        <v>374000</v>
      </c>
      <c r="N241" s="38" t="n">
        <f aca="false">IFERROR(M241/L241,0)</f>
        <v>0.597444089456869</v>
      </c>
      <c r="O241" s="37" t="n">
        <f aca="false">MIN(M241,L241)</f>
        <v>374000</v>
      </c>
      <c r="P241" s="37" t="n">
        <f aca="false">MAX(MIN(M241,L241*1.25)-L241,0)</f>
        <v>0</v>
      </c>
      <c r="Q241" s="37" t="n">
        <f aca="false">MAX(M241-L241*1.25,0)</f>
        <v>0</v>
      </c>
      <c r="R241" s="36" t="n">
        <f aca="false">O241*'Commission Plan Rules'!$F$6+P241*'Commission Plan Rules'!$F$7+Q241*'Commission Plan Rules'!$F$8</f>
        <v>29920</v>
      </c>
      <c r="S241" s="39" t="n">
        <f aca="false">IF(H241="New Business",IFERROR((K241/M241)*R241,0),IF(H241="Upsell",K241*'Commission Plan Rules'!$F$9,IF(H241="Renewal",K241*'Commission Plan Rules'!$F$10,0)))</f>
        <v>25760</v>
      </c>
    </row>
    <row r="242" customFormat="false" ht="15" hidden="false" customHeight="true" outlineLevel="0" collapsed="false">
      <c r="A242" s="27" t="s">
        <v>520</v>
      </c>
      <c r="B242" s="27" t="s">
        <v>82</v>
      </c>
      <c r="C242" s="40" t="str">
        <f aca="false">IFERROR(INDEX('Sales Roster &amp; Quotas'!$C$6:$C$20,MATCH($B242,'Sales Roster &amp; Quotas'!$B$6:$B$20,0)),"")</f>
        <v>Sofia Rossi</v>
      </c>
      <c r="D242" s="40" t="str">
        <f aca="false">IFERROR(INDEX('Sales Roster &amp; Quotas'!$D$6:$D$20,MATCH($B242,'Sales Roster &amp; Quotas'!$B$6:$B$20,0)),"")</f>
        <v>SMB</v>
      </c>
      <c r="E242" s="28" t="n">
        <v>46178</v>
      </c>
      <c r="F242" s="41" t="str">
        <f aca="false">TEXT(E242,"yyyy-mm")</f>
        <v>2026-06</v>
      </c>
      <c r="G242" s="41" t="str">
        <f aca="false">IF(MONTH(E242)&lt;=3,"Q1","Q2")</f>
        <v>Q2</v>
      </c>
      <c r="H242" s="27" t="s">
        <v>40</v>
      </c>
      <c r="I242" s="27" t="s">
        <v>242</v>
      </c>
      <c r="J242" s="27" t="s">
        <v>157</v>
      </c>
      <c r="K242" s="29" t="n">
        <v>67000</v>
      </c>
      <c r="L242" s="42" t="n">
        <f aca="false">IFERROR(INDEX('Sales Roster &amp; Quotas'!$G$6:$G$20,MATCH($B242,'Sales Roster &amp; Quotas'!$B$6:$B$20,0)),0)</f>
        <v>152000</v>
      </c>
      <c r="M242" s="43" t="n">
        <f aca="false">SUMIFS($K$5:$K$274,$B$5:$B$274,$B242,$G$5:$G$274,$G242,$H$5:$H$274,"New Business")</f>
        <v>156500</v>
      </c>
      <c r="N242" s="44" t="n">
        <f aca="false">IFERROR(M242/L242,0)</f>
        <v>1.02960526315789</v>
      </c>
      <c r="O242" s="43" t="n">
        <f aca="false">MIN(M242,L242)</f>
        <v>152000</v>
      </c>
      <c r="P242" s="43" t="n">
        <f aca="false">MAX(MIN(M242,L242*1.25)-L242,0)</f>
        <v>4500</v>
      </c>
      <c r="Q242" s="43" t="n">
        <f aca="false">MAX(M242-L242*1.25,0)</f>
        <v>0</v>
      </c>
      <c r="R242" s="42" t="n">
        <f aca="false">O242*'Commission Plan Rules'!$F$6+P242*'Commission Plan Rules'!$F$7+Q242*'Commission Plan Rules'!$F$8</f>
        <v>12610</v>
      </c>
      <c r="S242" s="45" t="n">
        <f aca="false">IF(H242="New Business",IFERROR((K242/M242)*R242,0),IF(H242="Upsell",K242*'Commission Plan Rules'!$F$9,IF(H242="Renewal",K242*'Commission Plan Rules'!$F$10,0)))</f>
        <v>5398.5303514377</v>
      </c>
    </row>
    <row r="243" customFormat="false" ht="15" hidden="false" customHeight="true" outlineLevel="0" collapsed="false">
      <c r="A243" s="24" t="s">
        <v>521</v>
      </c>
      <c r="B243" s="24" t="s">
        <v>114</v>
      </c>
      <c r="C243" s="34" t="str">
        <f aca="false">IFERROR(INDEX('Sales Roster &amp; Quotas'!$C$6:$C$20,MATCH($B243,'Sales Roster &amp; Quotas'!$B$6:$B$20,0)),"")</f>
        <v>Lucia Larsen</v>
      </c>
      <c r="D243" s="34" t="str">
        <f aca="false">IFERROR(INDEX('Sales Roster &amp; Quotas'!$D$6:$D$20,MATCH($B243,'Sales Roster &amp; Quotas'!$B$6:$B$20,0)),"")</f>
        <v>Enterprise</v>
      </c>
      <c r="E243" s="25" t="n">
        <v>46178</v>
      </c>
      <c r="F243" s="35" t="str">
        <f aca="false">TEXT(E243,"yyyy-mm")</f>
        <v>2026-06</v>
      </c>
      <c r="G243" s="35" t="str">
        <f aca="false">IF(MONTH(E243)&lt;=3,"Q1","Q2")</f>
        <v>Q2</v>
      </c>
      <c r="H243" s="24" t="s">
        <v>48</v>
      </c>
      <c r="I243" s="24" t="s">
        <v>163</v>
      </c>
      <c r="J243" s="24" t="s">
        <v>137</v>
      </c>
      <c r="K243" s="26" t="n">
        <v>71500</v>
      </c>
      <c r="L243" s="36" t="n">
        <f aca="false">IFERROR(INDEX('Sales Roster &amp; Quotas'!$G$6:$G$20,MATCH($B243,'Sales Roster &amp; Quotas'!$B$6:$B$20,0)),0)</f>
        <v>594000</v>
      </c>
      <c r="M243" s="37" t="n">
        <f aca="false">SUMIFS($K$5:$K$274,$B$5:$B$274,$B243,$G$5:$G$274,$G243,$H$5:$H$274,"New Business")</f>
        <v>596500</v>
      </c>
      <c r="N243" s="38" t="n">
        <f aca="false">IFERROR(M243/L243,0)</f>
        <v>1.00420875420875</v>
      </c>
      <c r="O243" s="37" t="n">
        <f aca="false">MIN(M243,L243)</f>
        <v>594000</v>
      </c>
      <c r="P243" s="37" t="n">
        <f aca="false">MAX(MIN(M243,L243*1.25)-L243,0)</f>
        <v>2500</v>
      </c>
      <c r="Q243" s="37" t="n">
        <f aca="false">MAX(M243-L243*1.25,0)</f>
        <v>0</v>
      </c>
      <c r="R243" s="36" t="n">
        <f aca="false">O243*'Commission Plan Rules'!$F$6+P243*'Commission Plan Rules'!$F$7+Q243*'Commission Plan Rules'!$F$8</f>
        <v>47770</v>
      </c>
      <c r="S243" s="39" t="n">
        <f aca="false">IF(H243="New Business",IFERROR((K243/M243)*R243,0),IF(H243="Upsell",K243*'Commission Plan Rules'!$F$9,IF(H243="Renewal",K243*'Commission Plan Rules'!$F$10,0)))</f>
        <v>2145</v>
      </c>
    </row>
    <row r="244" customFormat="false" ht="15" hidden="false" customHeight="true" outlineLevel="0" collapsed="false">
      <c r="A244" s="27" t="s">
        <v>522</v>
      </c>
      <c r="B244" s="27" t="s">
        <v>67</v>
      </c>
      <c r="C244" s="40" t="str">
        <f aca="false">IFERROR(INDEX('Sales Roster &amp; Quotas'!$C$6:$C$20,MATCH($B244,'Sales Roster &amp; Quotas'!$B$6:$B$20,0)),"")</f>
        <v>Maria Chen</v>
      </c>
      <c r="D244" s="40" t="str">
        <f aca="false">IFERROR(INDEX('Sales Roster &amp; Quotas'!$D$6:$D$20,MATCH($B244,'Sales Roster &amp; Quotas'!$B$6:$B$20,0)),"")</f>
        <v>SMB</v>
      </c>
      <c r="E244" s="28" t="n">
        <v>46179</v>
      </c>
      <c r="F244" s="41" t="str">
        <f aca="false">TEXT(E244,"yyyy-mm")</f>
        <v>2026-06</v>
      </c>
      <c r="G244" s="41" t="str">
        <f aca="false">IF(MONTH(E244)&lt;=3,"Q1","Q2")</f>
        <v>Q2</v>
      </c>
      <c r="H244" s="27" t="s">
        <v>40</v>
      </c>
      <c r="I244" s="27" t="s">
        <v>215</v>
      </c>
      <c r="J244" s="27" t="s">
        <v>142</v>
      </c>
      <c r="K244" s="29" t="n">
        <v>20500</v>
      </c>
      <c r="L244" s="42" t="n">
        <f aca="false">IFERROR(INDEX('Sales Roster &amp; Quotas'!$G$6:$G$20,MATCH($B244,'Sales Roster &amp; Quotas'!$B$6:$B$20,0)),0)</f>
        <v>160000</v>
      </c>
      <c r="M244" s="43" t="n">
        <f aca="false">SUMIFS($K$5:$K$274,$B$5:$B$274,$B244,$G$5:$G$274,$G244,$H$5:$H$274,"New Business")</f>
        <v>113500</v>
      </c>
      <c r="N244" s="44" t="n">
        <f aca="false">IFERROR(M244/L244,0)</f>
        <v>0.709375</v>
      </c>
      <c r="O244" s="43" t="n">
        <f aca="false">MIN(M244,L244)</f>
        <v>113500</v>
      </c>
      <c r="P244" s="43" t="n">
        <f aca="false">MAX(MIN(M244,L244*1.25)-L244,0)</f>
        <v>0</v>
      </c>
      <c r="Q244" s="43" t="n">
        <f aca="false">MAX(M244-L244*1.25,0)</f>
        <v>0</v>
      </c>
      <c r="R244" s="42" t="n">
        <f aca="false">O244*'Commission Plan Rules'!$F$6+P244*'Commission Plan Rules'!$F$7+Q244*'Commission Plan Rules'!$F$8</f>
        <v>9080</v>
      </c>
      <c r="S244" s="45" t="n">
        <f aca="false">IF(H244="New Business",IFERROR((K244/M244)*R244,0),IF(H244="Upsell",K244*'Commission Plan Rules'!$F$9,IF(H244="Renewal",K244*'Commission Plan Rules'!$F$10,0)))</f>
        <v>1640</v>
      </c>
    </row>
    <row r="245" customFormat="false" ht="15" hidden="false" customHeight="true" outlineLevel="0" collapsed="false">
      <c r="A245" s="24" t="s">
        <v>523</v>
      </c>
      <c r="B245" s="24" t="s">
        <v>82</v>
      </c>
      <c r="C245" s="34" t="str">
        <f aca="false">IFERROR(INDEX('Sales Roster &amp; Quotas'!$C$6:$C$20,MATCH($B245,'Sales Roster &amp; Quotas'!$B$6:$B$20,0)),"")</f>
        <v>Sofia Rossi</v>
      </c>
      <c r="D245" s="34" t="str">
        <f aca="false">IFERROR(INDEX('Sales Roster &amp; Quotas'!$D$6:$D$20,MATCH($B245,'Sales Roster &amp; Quotas'!$B$6:$B$20,0)),"")</f>
        <v>SMB</v>
      </c>
      <c r="E245" s="25" t="n">
        <v>46179</v>
      </c>
      <c r="F245" s="35" t="str">
        <f aca="false">TEXT(E245,"yyyy-mm")</f>
        <v>2026-06</v>
      </c>
      <c r="G245" s="35" t="str">
        <f aca="false">IF(MONTH(E245)&lt;=3,"Q1","Q2")</f>
        <v>Q2</v>
      </c>
      <c r="H245" s="24" t="s">
        <v>48</v>
      </c>
      <c r="I245" s="24" t="s">
        <v>154</v>
      </c>
      <c r="J245" s="24" t="s">
        <v>142</v>
      </c>
      <c r="K245" s="26" t="n">
        <v>28500</v>
      </c>
      <c r="L245" s="36" t="n">
        <f aca="false">IFERROR(INDEX('Sales Roster &amp; Quotas'!$G$6:$G$20,MATCH($B245,'Sales Roster &amp; Quotas'!$B$6:$B$20,0)),0)</f>
        <v>152000</v>
      </c>
      <c r="M245" s="37" t="n">
        <f aca="false">SUMIFS($K$5:$K$274,$B$5:$B$274,$B245,$G$5:$G$274,$G245,$H$5:$H$274,"New Business")</f>
        <v>156500</v>
      </c>
      <c r="N245" s="38" t="n">
        <f aca="false">IFERROR(M245/L245,0)</f>
        <v>1.02960526315789</v>
      </c>
      <c r="O245" s="37" t="n">
        <f aca="false">MIN(M245,L245)</f>
        <v>152000</v>
      </c>
      <c r="P245" s="37" t="n">
        <f aca="false">MAX(MIN(M245,L245*1.25)-L245,0)</f>
        <v>4500</v>
      </c>
      <c r="Q245" s="37" t="n">
        <f aca="false">MAX(M245-L245*1.25,0)</f>
        <v>0</v>
      </c>
      <c r="R245" s="36" t="n">
        <f aca="false">O245*'Commission Plan Rules'!$F$6+P245*'Commission Plan Rules'!$F$7+Q245*'Commission Plan Rules'!$F$8</f>
        <v>12610</v>
      </c>
      <c r="S245" s="39" t="n">
        <f aca="false">IF(H245="New Business",IFERROR((K245/M245)*R245,0),IF(H245="Upsell",K245*'Commission Plan Rules'!$F$9,IF(H245="Renewal",K245*'Commission Plan Rules'!$F$10,0)))</f>
        <v>855</v>
      </c>
    </row>
    <row r="246" customFormat="false" ht="15" hidden="false" customHeight="true" outlineLevel="0" collapsed="false">
      <c r="A246" s="27" t="s">
        <v>524</v>
      </c>
      <c r="B246" s="27" t="s">
        <v>95</v>
      </c>
      <c r="C246" s="40" t="str">
        <f aca="false">IFERROR(INDEX('Sales Roster &amp; Quotas'!$C$6:$C$20,MATCH($B246,'Sales Roster &amp; Quotas'!$B$6:$B$20,0)),"")</f>
        <v>Aisha Kim</v>
      </c>
      <c r="D246" s="40" t="str">
        <f aca="false">IFERROR(INDEX('Sales Roster &amp; Quotas'!$D$6:$D$20,MATCH($B246,'Sales Roster &amp; Quotas'!$B$6:$B$20,0)),"")</f>
        <v>Mid-Market</v>
      </c>
      <c r="E246" s="28" t="n">
        <v>46180</v>
      </c>
      <c r="F246" s="41" t="str">
        <f aca="false">TEXT(E246,"yyyy-mm")</f>
        <v>2026-06</v>
      </c>
      <c r="G246" s="41" t="str">
        <f aca="false">IF(MONTH(E246)&lt;=3,"Q1","Q2")</f>
        <v>Q2</v>
      </c>
      <c r="H246" s="27" t="s">
        <v>40</v>
      </c>
      <c r="I246" s="27" t="s">
        <v>177</v>
      </c>
      <c r="J246" s="27" t="s">
        <v>137</v>
      </c>
      <c r="K246" s="29" t="n">
        <v>238500</v>
      </c>
      <c r="L246" s="42" t="n">
        <f aca="false">IFERROR(INDEX('Sales Roster &amp; Quotas'!$G$6:$G$20,MATCH($B246,'Sales Roster &amp; Quotas'!$B$6:$B$20,0)),0)</f>
        <v>287000</v>
      </c>
      <c r="M246" s="43" t="n">
        <f aca="false">SUMIFS($K$5:$K$274,$B$5:$B$274,$B246,$G$5:$G$274,$G246,$H$5:$H$274,"New Business")</f>
        <v>253000</v>
      </c>
      <c r="N246" s="44" t="n">
        <f aca="false">IFERROR(M246/L246,0)</f>
        <v>0.881533101045296</v>
      </c>
      <c r="O246" s="43" t="n">
        <f aca="false">MIN(M246,L246)</f>
        <v>253000</v>
      </c>
      <c r="P246" s="43" t="n">
        <f aca="false">MAX(MIN(M246,L246*1.25)-L246,0)</f>
        <v>0</v>
      </c>
      <c r="Q246" s="43" t="n">
        <f aca="false">MAX(M246-L246*1.25,0)</f>
        <v>0</v>
      </c>
      <c r="R246" s="42" t="n">
        <f aca="false">O246*'Commission Plan Rules'!$F$6+P246*'Commission Plan Rules'!$F$7+Q246*'Commission Plan Rules'!$F$8</f>
        <v>20240</v>
      </c>
      <c r="S246" s="45" t="n">
        <f aca="false">IF(H246="New Business",IFERROR((K246/M246)*R246,0),IF(H246="Upsell",K246*'Commission Plan Rules'!$F$9,IF(H246="Renewal",K246*'Commission Plan Rules'!$F$10,0)))</f>
        <v>19080</v>
      </c>
    </row>
    <row r="247" customFormat="false" ht="15" hidden="false" customHeight="true" outlineLevel="0" collapsed="false">
      <c r="A247" s="24" t="s">
        <v>525</v>
      </c>
      <c r="B247" s="24" t="s">
        <v>114</v>
      </c>
      <c r="C247" s="34" t="str">
        <f aca="false">IFERROR(INDEX('Sales Roster &amp; Quotas'!$C$6:$C$20,MATCH($B247,'Sales Roster &amp; Quotas'!$B$6:$B$20,0)),"")</f>
        <v>Lucia Larsen</v>
      </c>
      <c r="D247" s="34" t="str">
        <f aca="false">IFERROR(INDEX('Sales Roster &amp; Quotas'!$D$6:$D$20,MATCH($B247,'Sales Roster &amp; Quotas'!$B$6:$B$20,0)),"")</f>
        <v>Enterprise</v>
      </c>
      <c r="E247" s="25" t="n">
        <v>46180</v>
      </c>
      <c r="F247" s="35" t="str">
        <f aca="false">TEXT(E247,"yyyy-mm")</f>
        <v>2026-06</v>
      </c>
      <c r="G247" s="35" t="str">
        <f aca="false">IF(MONTH(E247)&lt;=3,"Q1","Q2")</f>
        <v>Q2</v>
      </c>
      <c r="H247" s="24" t="s">
        <v>48</v>
      </c>
      <c r="I247" s="24" t="s">
        <v>364</v>
      </c>
      <c r="J247" s="24" t="s">
        <v>137</v>
      </c>
      <c r="K247" s="26" t="n">
        <v>112500</v>
      </c>
      <c r="L247" s="36" t="n">
        <f aca="false">IFERROR(INDEX('Sales Roster &amp; Quotas'!$G$6:$G$20,MATCH($B247,'Sales Roster &amp; Quotas'!$B$6:$B$20,0)),0)</f>
        <v>594000</v>
      </c>
      <c r="M247" s="37" t="n">
        <f aca="false">SUMIFS($K$5:$K$274,$B$5:$B$274,$B247,$G$5:$G$274,$G247,$H$5:$H$274,"New Business")</f>
        <v>596500</v>
      </c>
      <c r="N247" s="38" t="n">
        <f aca="false">IFERROR(M247/L247,0)</f>
        <v>1.00420875420875</v>
      </c>
      <c r="O247" s="37" t="n">
        <f aca="false">MIN(M247,L247)</f>
        <v>594000</v>
      </c>
      <c r="P247" s="37" t="n">
        <f aca="false">MAX(MIN(M247,L247*1.25)-L247,0)</f>
        <v>2500</v>
      </c>
      <c r="Q247" s="37" t="n">
        <f aca="false">MAX(M247-L247*1.25,0)</f>
        <v>0</v>
      </c>
      <c r="R247" s="36" t="n">
        <f aca="false">O247*'Commission Plan Rules'!$F$6+P247*'Commission Plan Rules'!$F$7+Q247*'Commission Plan Rules'!$F$8</f>
        <v>47770</v>
      </c>
      <c r="S247" s="39" t="n">
        <f aca="false">IF(H247="New Business",IFERROR((K247/M247)*R247,0),IF(H247="Upsell",K247*'Commission Plan Rules'!$F$9,IF(H247="Renewal",K247*'Commission Plan Rules'!$F$10,0)))</f>
        <v>3375</v>
      </c>
    </row>
    <row r="248" customFormat="false" ht="15" hidden="false" customHeight="true" outlineLevel="0" collapsed="false">
      <c r="A248" s="27" t="s">
        <v>526</v>
      </c>
      <c r="B248" s="27" t="s">
        <v>97</v>
      </c>
      <c r="C248" s="40" t="str">
        <f aca="false">IFERROR(INDEX('Sales Roster &amp; Quotas'!$C$6:$C$20,MATCH($B248,'Sales Roster &amp; Quotas'!$B$6:$B$20,0)),"")</f>
        <v>Ryan Sullivan</v>
      </c>
      <c r="D248" s="40" t="str">
        <f aca="false">IFERROR(INDEX('Sales Roster &amp; Quotas'!$D$6:$D$20,MATCH($B248,'Sales Roster &amp; Quotas'!$B$6:$B$20,0)),"")</f>
        <v>Mid-Market</v>
      </c>
      <c r="E248" s="28" t="n">
        <v>46180</v>
      </c>
      <c r="F248" s="41" t="str">
        <f aca="false">TEXT(E248,"yyyy-mm")</f>
        <v>2026-06</v>
      </c>
      <c r="G248" s="41" t="str">
        <f aca="false">IF(MONTH(E248)&lt;=3,"Q1","Q2")</f>
        <v>Q2</v>
      </c>
      <c r="H248" s="27" t="s">
        <v>40</v>
      </c>
      <c r="I248" s="27" t="s">
        <v>527</v>
      </c>
      <c r="J248" s="27" t="s">
        <v>137</v>
      </c>
      <c r="K248" s="29" t="n">
        <v>73500</v>
      </c>
      <c r="L248" s="42" t="n">
        <f aca="false">IFERROR(INDEX('Sales Roster &amp; Quotas'!$G$6:$G$20,MATCH($B248,'Sales Roster &amp; Quotas'!$B$6:$B$20,0)),0)</f>
        <v>273000</v>
      </c>
      <c r="M248" s="43" t="n">
        <f aca="false">SUMIFS($K$5:$K$274,$B$5:$B$274,$B248,$G$5:$G$274,$G248,$H$5:$H$274,"New Business")</f>
        <v>307000</v>
      </c>
      <c r="N248" s="44" t="n">
        <f aca="false">IFERROR(M248/L248,0)</f>
        <v>1.12454212454212</v>
      </c>
      <c r="O248" s="43" t="n">
        <f aca="false">MIN(M248,L248)</f>
        <v>273000</v>
      </c>
      <c r="P248" s="43" t="n">
        <f aca="false">MAX(MIN(M248,L248*1.25)-L248,0)</f>
        <v>34000</v>
      </c>
      <c r="Q248" s="43" t="n">
        <f aca="false">MAX(M248-L248*1.25,0)</f>
        <v>0</v>
      </c>
      <c r="R248" s="42" t="n">
        <f aca="false">O248*'Commission Plan Rules'!$F$6+P248*'Commission Plan Rules'!$F$7+Q248*'Commission Plan Rules'!$F$8</f>
        <v>25240</v>
      </c>
      <c r="S248" s="45" t="n">
        <f aca="false">IF(H248="New Business",IFERROR((K248/M248)*R248,0),IF(H248="Upsell",K248*'Commission Plan Rules'!$F$9,IF(H248="Renewal",K248*'Commission Plan Rules'!$F$10,0)))</f>
        <v>6042.8013029316</v>
      </c>
    </row>
    <row r="249" customFormat="false" ht="15" hidden="false" customHeight="true" outlineLevel="0" collapsed="false">
      <c r="A249" s="24" t="s">
        <v>528</v>
      </c>
      <c r="B249" s="24" t="s">
        <v>101</v>
      </c>
      <c r="C249" s="34" t="str">
        <f aca="false">IFERROR(INDEX('Sales Roster &amp; Quotas'!$C$6:$C$20,MATCH($B249,'Sales Roster &amp; Quotas'!$B$6:$B$20,0)),"")</f>
        <v>Natalie Reyes</v>
      </c>
      <c r="D249" s="34" t="str">
        <f aca="false">IFERROR(INDEX('Sales Roster &amp; Quotas'!$D$6:$D$20,MATCH($B249,'Sales Roster &amp; Quotas'!$B$6:$B$20,0)),"")</f>
        <v>Mid-Market</v>
      </c>
      <c r="E249" s="25" t="n">
        <v>46181</v>
      </c>
      <c r="F249" s="35" t="str">
        <f aca="false">TEXT(E249,"yyyy-mm")</f>
        <v>2026-06</v>
      </c>
      <c r="G249" s="35" t="str">
        <f aca="false">IF(MONTH(E249)&lt;=3,"Q1","Q2")</f>
        <v>Q2</v>
      </c>
      <c r="H249" s="24" t="s">
        <v>40</v>
      </c>
      <c r="I249" s="24" t="s">
        <v>257</v>
      </c>
      <c r="J249" s="24" t="s">
        <v>157</v>
      </c>
      <c r="K249" s="26" t="n">
        <v>72000</v>
      </c>
      <c r="L249" s="36" t="n">
        <f aca="false">IFERROR(INDEX('Sales Roster &amp; Quotas'!$G$6:$G$20,MATCH($B249,'Sales Roster &amp; Quotas'!$B$6:$B$20,0)),0)</f>
        <v>295000</v>
      </c>
      <c r="M249" s="37" t="n">
        <f aca="false">SUMIFS($K$5:$K$274,$B$5:$B$274,$B249,$G$5:$G$274,$G249,$H$5:$H$274,"New Business")</f>
        <v>293500</v>
      </c>
      <c r="N249" s="38" t="n">
        <f aca="false">IFERROR(M249/L249,0)</f>
        <v>0.994915254237288</v>
      </c>
      <c r="O249" s="37" t="n">
        <f aca="false">MIN(M249,L249)</f>
        <v>293500</v>
      </c>
      <c r="P249" s="37" t="n">
        <f aca="false">MAX(MIN(M249,L249*1.25)-L249,0)</f>
        <v>0</v>
      </c>
      <c r="Q249" s="37" t="n">
        <f aca="false">MAX(M249-L249*1.25,0)</f>
        <v>0</v>
      </c>
      <c r="R249" s="36" t="n">
        <f aca="false">O249*'Commission Plan Rules'!$F$6+P249*'Commission Plan Rules'!$F$7+Q249*'Commission Plan Rules'!$F$8</f>
        <v>23480</v>
      </c>
      <c r="S249" s="39" t="n">
        <f aca="false">IF(H249="New Business",IFERROR((K249/M249)*R249,0),IF(H249="Upsell",K249*'Commission Plan Rules'!$F$9,IF(H249="Renewal",K249*'Commission Plan Rules'!$F$10,0)))</f>
        <v>5760</v>
      </c>
    </row>
    <row r="250" customFormat="false" ht="15" hidden="false" customHeight="true" outlineLevel="0" collapsed="false">
      <c r="A250" s="27" t="s">
        <v>529</v>
      </c>
      <c r="B250" s="27" t="s">
        <v>67</v>
      </c>
      <c r="C250" s="40" t="str">
        <f aca="false">IFERROR(INDEX('Sales Roster &amp; Quotas'!$C$6:$C$20,MATCH($B250,'Sales Roster &amp; Quotas'!$B$6:$B$20,0)),"")</f>
        <v>Maria Chen</v>
      </c>
      <c r="D250" s="40" t="str">
        <f aca="false">IFERROR(INDEX('Sales Roster &amp; Quotas'!$D$6:$D$20,MATCH($B250,'Sales Roster &amp; Quotas'!$B$6:$B$20,0)),"")</f>
        <v>SMB</v>
      </c>
      <c r="E250" s="28" t="n">
        <v>46181</v>
      </c>
      <c r="F250" s="41" t="str">
        <f aca="false">TEXT(E250,"yyyy-mm")</f>
        <v>2026-06</v>
      </c>
      <c r="G250" s="41" t="str">
        <f aca="false">IF(MONTH(E250)&lt;=3,"Q1","Q2")</f>
        <v>Q2</v>
      </c>
      <c r="H250" s="27" t="s">
        <v>48</v>
      </c>
      <c r="I250" s="27" t="s">
        <v>503</v>
      </c>
      <c r="J250" s="27" t="s">
        <v>137</v>
      </c>
      <c r="K250" s="29" t="n">
        <v>5000</v>
      </c>
      <c r="L250" s="42" t="n">
        <f aca="false">IFERROR(INDEX('Sales Roster &amp; Quotas'!$G$6:$G$20,MATCH($B250,'Sales Roster &amp; Quotas'!$B$6:$B$20,0)),0)</f>
        <v>160000</v>
      </c>
      <c r="M250" s="43" t="n">
        <f aca="false">SUMIFS($K$5:$K$274,$B$5:$B$274,$B250,$G$5:$G$274,$G250,$H$5:$H$274,"New Business")</f>
        <v>113500</v>
      </c>
      <c r="N250" s="44" t="n">
        <f aca="false">IFERROR(M250/L250,0)</f>
        <v>0.709375</v>
      </c>
      <c r="O250" s="43" t="n">
        <f aca="false">MIN(M250,L250)</f>
        <v>113500</v>
      </c>
      <c r="P250" s="43" t="n">
        <f aca="false">MAX(MIN(M250,L250*1.25)-L250,0)</f>
        <v>0</v>
      </c>
      <c r="Q250" s="43" t="n">
        <f aca="false">MAX(M250-L250*1.25,0)</f>
        <v>0</v>
      </c>
      <c r="R250" s="42" t="n">
        <f aca="false">O250*'Commission Plan Rules'!$F$6+P250*'Commission Plan Rules'!$F$7+Q250*'Commission Plan Rules'!$F$8</f>
        <v>9080</v>
      </c>
      <c r="S250" s="45" t="n">
        <f aca="false">IF(H250="New Business",IFERROR((K250/M250)*R250,0),IF(H250="Upsell",K250*'Commission Plan Rules'!$F$9,IF(H250="Renewal",K250*'Commission Plan Rules'!$F$10,0)))</f>
        <v>150</v>
      </c>
    </row>
    <row r="251" customFormat="false" ht="15" hidden="false" customHeight="true" outlineLevel="0" collapsed="false">
      <c r="A251" s="24" t="s">
        <v>530</v>
      </c>
      <c r="B251" s="24" t="s">
        <v>85</v>
      </c>
      <c r="C251" s="34" t="str">
        <f aca="false">IFERROR(INDEX('Sales Roster &amp; Quotas'!$C$6:$C$20,MATCH($B251,'Sales Roster &amp; Quotas'!$B$6:$B$20,0)),"")</f>
        <v>Marcus Bennett</v>
      </c>
      <c r="D251" s="34" t="str">
        <f aca="false">IFERROR(INDEX('Sales Roster &amp; Quotas'!$D$6:$D$20,MATCH($B251,'Sales Roster &amp; Quotas'!$B$6:$B$20,0)),"")</f>
        <v>SMB</v>
      </c>
      <c r="E251" s="25" t="n">
        <v>46183</v>
      </c>
      <c r="F251" s="35" t="str">
        <f aca="false">TEXT(E251,"yyyy-mm")</f>
        <v>2026-06</v>
      </c>
      <c r="G251" s="35" t="str">
        <f aca="false">IF(MONTH(E251)&lt;=3,"Q1","Q2")</f>
        <v>Q2</v>
      </c>
      <c r="H251" s="24" t="s">
        <v>48</v>
      </c>
      <c r="I251" s="24" t="s">
        <v>330</v>
      </c>
      <c r="J251" s="24" t="s">
        <v>137</v>
      </c>
      <c r="K251" s="26" t="n">
        <v>1500</v>
      </c>
      <c r="L251" s="36" t="n">
        <f aca="false">IFERROR(INDEX('Sales Roster &amp; Quotas'!$G$6:$G$20,MATCH($B251,'Sales Roster &amp; Quotas'!$B$6:$B$20,0)),0)</f>
        <v>159000</v>
      </c>
      <c r="M251" s="37" t="n">
        <f aca="false">SUMIFS($K$5:$K$274,$B$5:$B$274,$B251,$G$5:$G$274,$G251,$H$5:$H$274,"New Business")</f>
        <v>200000</v>
      </c>
      <c r="N251" s="38" t="n">
        <f aca="false">IFERROR(M251/L251,0)</f>
        <v>1.25786163522013</v>
      </c>
      <c r="O251" s="37" t="n">
        <f aca="false">MIN(M251,L251)</f>
        <v>159000</v>
      </c>
      <c r="P251" s="37" t="n">
        <f aca="false">MAX(MIN(M251,L251*1.25)-L251,0)</f>
        <v>39750</v>
      </c>
      <c r="Q251" s="37" t="n">
        <f aca="false">MAX(M251-L251*1.25,0)</f>
        <v>1250</v>
      </c>
      <c r="R251" s="36" t="n">
        <f aca="false">O251*'Commission Plan Rules'!$F$6+P251*'Commission Plan Rules'!$F$7+Q251*'Commission Plan Rules'!$F$8</f>
        <v>16845</v>
      </c>
      <c r="S251" s="39" t="n">
        <f aca="false">IF(H251="New Business",IFERROR((K251/M251)*R251,0),IF(H251="Upsell",K251*'Commission Plan Rules'!$F$9,IF(H251="Renewal",K251*'Commission Plan Rules'!$F$10,0)))</f>
        <v>45</v>
      </c>
    </row>
    <row r="252" customFormat="false" ht="15" hidden="false" customHeight="true" outlineLevel="0" collapsed="false">
      <c r="A252" s="27" t="s">
        <v>531</v>
      </c>
      <c r="B252" s="27" t="s">
        <v>75</v>
      </c>
      <c r="C252" s="40" t="str">
        <f aca="false">IFERROR(INDEX('Sales Roster &amp; Quotas'!$C$6:$C$20,MATCH($B252,'Sales Roster &amp; Quotas'!$B$6:$B$20,0)),"")</f>
        <v>Priya Patel</v>
      </c>
      <c r="D252" s="40" t="str">
        <f aca="false">IFERROR(INDEX('Sales Roster &amp; Quotas'!$D$6:$D$20,MATCH($B252,'Sales Roster &amp; Quotas'!$B$6:$B$20,0)),"")</f>
        <v>SMB</v>
      </c>
      <c r="E252" s="28" t="n">
        <v>46183</v>
      </c>
      <c r="F252" s="41" t="str">
        <f aca="false">TEXT(E252,"yyyy-mm")</f>
        <v>2026-06</v>
      </c>
      <c r="G252" s="41" t="str">
        <f aca="false">IF(MONTH(E252)&lt;=3,"Q1","Q2")</f>
        <v>Q2</v>
      </c>
      <c r="H252" s="27" t="s">
        <v>40</v>
      </c>
      <c r="I252" s="27" t="s">
        <v>515</v>
      </c>
      <c r="J252" s="27" t="s">
        <v>152</v>
      </c>
      <c r="K252" s="29" t="n">
        <v>45500</v>
      </c>
      <c r="L252" s="42" t="n">
        <f aca="false">IFERROR(INDEX('Sales Roster &amp; Quotas'!$G$6:$G$20,MATCH($B252,'Sales Roster &amp; Quotas'!$B$6:$B$20,0)),0)</f>
        <v>137000</v>
      </c>
      <c r="M252" s="43" t="n">
        <f aca="false">SUMIFS($K$5:$K$274,$B$5:$B$274,$B252,$G$5:$G$274,$G252,$H$5:$H$274,"New Business")</f>
        <v>119000</v>
      </c>
      <c r="N252" s="44" t="n">
        <f aca="false">IFERROR(M252/L252,0)</f>
        <v>0.868613138686131</v>
      </c>
      <c r="O252" s="43" t="n">
        <f aca="false">MIN(M252,L252)</f>
        <v>119000</v>
      </c>
      <c r="P252" s="43" t="n">
        <f aca="false">MAX(MIN(M252,L252*1.25)-L252,0)</f>
        <v>0</v>
      </c>
      <c r="Q252" s="43" t="n">
        <f aca="false">MAX(M252-L252*1.25,0)</f>
        <v>0</v>
      </c>
      <c r="R252" s="42" t="n">
        <f aca="false">O252*'Commission Plan Rules'!$F$6+P252*'Commission Plan Rules'!$F$7+Q252*'Commission Plan Rules'!$F$8</f>
        <v>9520</v>
      </c>
      <c r="S252" s="45" t="n">
        <f aca="false">IF(H252="New Business",IFERROR((K252/M252)*R252,0),IF(H252="Upsell",K252*'Commission Plan Rules'!$F$9,IF(H252="Renewal",K252*'Commission Plan Rules'!$F$10,0)))</f>
        <v>3640</v>
      </c>
    </row>
    <row r="253" customFormat="false" ht="15" hidden="false" customHeight="true" outlineLevel="0" collapsed="false">
      <c r="A253" s="24" t="s">
        <v>532</v>
      </c>
      <c r="B253" s="24" t="s">
        <v>92</v>
      </c>
      <c r="C253" s="34" t="str">
        <f aca="false">IFERROR(INDEX('Sales Roster &amp; Quotas'!$C$6:$C$20,MATCH($B253,'Sales Roster &amp; Quotas'!$B$6:$B$20,0)),"")</f>
        <v>Tyler Alvarez</v>
      </c>
      <c r="D253" s="34" t="str">
        <f aca="false">IFERROR(INDEX('Sales Roster &amp; Quotas'!$D$6:$D$20,MATCH($B253,'Sales Roster &amp; Quotas'!$B$6:$B$20,0)),"")</f>
        <v>Mid-Market</v>
      </c>
      <c r="E253" s="25" t="n">
        <v>46184</v>
      </c>
      <c r="F253" s="35" t="str">
        <f aca="false">TEXT(E253,"yyyy-mm")</f>
        <v>2026-06</v>
      </c>
      <c r="G253" s="35" t="str">
        <f aca="false">IF(MONTH(E253)&lt;=3,"Q1","Q2")</f>
        <v>Q2</v>
      </c>
      <c r="H253" s="24" t="s">
        <v>40</v>
      </c>
      <c r="I253" s="24" t="s">
        <v>495</v>
      </c>
      <c r="J253" s="24" t="s">
        <v>137</v>
      </c>
      <c r="K253" s="26" t="n">
        <v>32500</v>
      </c>
      <c r="L253" s="36" t="n">
        <f aca="false">IFERROR(INDEX('Sales Roster &amp; Quotas'!$G$6:$G$20,MATCH($B253,'Sales Roster &amp; Quotas'!$B$6:$B$20,0)),0)</f>
        <v>275000</v>
      </c>
      <c r="M253" s="37" t="n">
        <f aca="false">SUMIFS($K$5:$K$274,$B$5:$B$274,$B253,$G$5:$G$274,$G253,$H$5:$H$274,"New Business")</f>
        <v>314500</v>
      </c>
      <c r="N253" s="38" t="n">
        <f aca="false">IFERROR(M253/L253,0)</f>
        <v>1.14363636363636</v>
      </c>
      <c r="O253" s="37" t="n">
        <f aca="false">MIN(M253,L253)</f>
        <v>275000</v>
      </c>
      <c r="P253" s="37" t="n">
        <f aca="false">MAX(MIN(M253,L253*1.25)-L253,0)</f>
        <v>39500</v>
      </c>
      <c r="Q253" s="37" t="n">
        <f aca="false">MAX(M253-L253*1.25,0)</f>
        <v>0</v>
      </c>
      <c r="R253" s="36" t="n">
        <f aca="false">O253*'Commission Plan Rules'!$F$6+P253*'Commission Plan Rules'!$F$7+Q253*'Commission Plan Rules'!$F$8</f>
        <v>25950</v>
      </c>
      <c r="S253" s="39" t="n">
        <f aca="false">IF(H253="New Business",IFERROR((K253/M253)*R253,0),IF(H253="Upsell",K253*'Commission Plan Rules'!$F$9,IF(H253="Renewal",K253*'Commission Plan Rules'!$F$10,0)))</f>
        <v>2681.63751987281</v>
      </c>
    </row>
    <row r="254" customFormat="false" ht="15" hidden="false" customHeight="true" outlineLevel="0" collapsed="false">
      <c r="A254" s="27" t="s">
        <v>533</v>
      </c>
      <c r="B254" s="27" t="s">
        <v>104</v>
      </c>
      <c r="C254" s="40" t="str">
        <f aca="false">IFERROR(INDEX('Sales Roster &amp; Quotas'!$C$6:$C$20,MATCH($B254,'Sales Roster &amp; Quotas'!$B$6:$B$20,0)),"")</f>
        <v>Omar Fischer</v>
      </c>
      <c r="D254" s="40" t="str">
        <f aca="false">IFERROR(INDEX('Sales Roster &amp; Quotas'!$D$6:$D$20,MATCH($B254,'Sales Roster &amp; Quotas'!$B$6:$B$20,0)),"")</f>
        <v>Mid-Market</v>
      </c>
      <c r="E254" s="28" t="n">
        <v>46185</v>
      </c>
      <c r="F254" s="41" t="str">
        <f aca="false">TEXT(E254,"yyyy-mm")</f>
        <v>2026-06</v>
      </c>
      <c r="G254" s="41" t="str">
        <f aca="false">IF(MONTH(E254)&lt;=3,"Q1","Q2")</f>
        <v>Q2</v>
      </c>
      <c r="H254" s="27" t="s">
        <v>48</v>
      </c>
      <c r="I254" s="27" t="s">
        <v>391</v>
      </c>
      <c r="J254" s="27" t="s">
        <v>152</v>
      </c>
      <c r="K254" s="29" t="n">
        <v>50000</v>
      </c>
      <c r="L254" s="42" t="n">
        <f aca="false">IFERROR(INDEX('Sales Roster &amp; Quotas'!$G$6:$G$20,MATCH($B254,'Sales Roster &amp; Quotas'!$B$6:$B$20,0)),0)</f>
        <v>324000</v>
      </c>
      <c r="M254" s="43" t="n">
        <f aca="false">SUMIFS($K$5:$K$274,$B$5:$B$274,$B254,$G$5:$G$274,$G254,$H$5:$H$274,"New Business")</f>
        <v>575500</v>
      </c>
      <c r="N254" s="44" t="n">
        <f aca="false">IFERROR(M254/L254,0)</f>
        <v>1.77623456790123</v>
      </c>
      <c r="O254" s="43" t="n">
        <f aca="false">MIN(M254,L254)</f>
        <v>324000</v>
      </c>
      <c r="P254" s="43" t="n">
        <f aca="false">MAX(MIN(M254,L254*1.25)-L254,0)</f>
        <v>81000</v>
      </c>
      <c r="Q254" s="43" t="n">
        <f aca="false">MAX(M254-L254*1.25,0)</f>
        <v>170500</v>
      </c>
      <c r="R254" s="42" t="n">
        <f aca="false">O254*'Commission Plan Rules'!$F$6+P254*'Commission Plan Rules'!$F$7+Q254*'Commission Plan Rules'!$F$8</f>
        <v>54480</v>
      </c>
      <c r="S254" s="45" t="n">
        <f aca="false">IF(H254="New Business",IFERROR((K254/M254)*R254,0),IF(H254="Upsell",K254*'Commission Plan Rules'!$F$9,IF(H254="Renewal",K254*'Commission Plan Rules'!$F$10,0)))</f>
        <v>1500</v>
      </c>
    </row>
    <row r="255" customFormat="false" ht="15" hidden="false" customHeight="true" outlineLevel="0" collapsed="false">
      <c r="A255" s="24" t="s">
        <v>534</v>
      </c>
      <c r="B255" s="24" t="s">
        <v>82</v>
      </c>
      <c r="C255" s="34" t="str">
        <f aca="false">IFERROR(INDEX('Sales Roster &amp; Quotas'!$C$6:$C$20,MATCH($B255,'Sales Roster &amp; Quotas'!$B$6:$B$20,0)),"")</f>
        <v>Sofia Rossi</v>
      </c>
      <c r="D255" s="34" t="str">
        <f aca="false">IFERROR(INDEX('Sales Roster &amp; Quotas'!$D$6:$D$20,MATCH($B255,'Sales Roster &amp; Quotas'!$B$6:$B$20,0)),"")</f>
        <v>SMB</v>
      </c>
      <c r="E255" s="25" t="n">
        <v>46185</v>
      </c>
      <c r="F255" s="35" t="str">
        <f aca="false">TEXT(E255,"yyyy-mm")</f>
        <v>2026-06</v>
      </c>
      <c r="G255" s="35" t="str">
        <f aca="false">IF(MONTH(E255)&lt;=3,"Q1","Q2")</f>
        <v>Q2</v>
      </c>
      <c r="H255" s="24" t="s">
        <v>48</v>
      </c>
      <c r="I255" s="24" t="s">
        <v>535</v>
      </c>
      <c r="J255" s="24" t="s">
        <v>137</v>
      </c>
      <c r="K255" s="26" t="n">
        <v>13000</v>
      </c>
      <c r="L255" s="36" t="n">
        <f aca="false">IFERROR(INDEX('Sales Roster &amp; Quotas'!$G$6:$G$20,MATCH($B255,'Sales Roster &amp; Quotas'!$B$6:$B$20,0)),0)</f>
        <v>152000</v>
      </c>
      <c r="M255" s="37" t="n">
        <f aca="false">SUMIFS($K$5:$K$274,$B$5:$B$274,$B255,$G$5:$G$274,$G255,$H$5:$H$274,"New Business")</f>
        <v>156500</v>
      </c>
      <c r="N255" s="38" t="n">
        <f aca="false">IFERROR(M255/L255,0)</f>
        <v>1.02960526315789</v>
      </c>
      <c r="O255" s="37" t="n">
        <f aca="false">MIN(M255,L255)</f>
        <v>152000</v>
      </c>
      <c r="P255" s="37" t="n">
        <f aca="false">MAX(MIN(M255,L255*1.25)-L255,0)</f>
        <v>4500</v>
      </c>
      <c r="Q255" s="37" t="n">
        <f aca="false">MAX(M255-L255*1.25,0)</f>
        <v>0</v>
      </c>
      <c r="R255" s="36" t="n">
        <f aca="false">O255*'Commission Plan Rules'!$F$6+P255*'Commission Plan Rules'!$F$7+Q255*'Commission Plan Rules'!$F$8</f>
        <v>12610</v>
      </c>
      <c r="S255" s="39" t="n">
        <f aca="false">IF(H255="New Business",IFERROR((K255/M255)*R255,0),IF(H255="Upsell",K255*'Commission Plan Rules'!$F$9,IF(H255="Renewal",K255*'Commission Plan Rules'!$F$10,0)))</f>
        <v>390</v>
      </c>
    </row>
    <row r="256" customFormat="false" ht="15" hidden="false" customHeight="true" outlineLevel="0" collapsed="false">
      <c r="A256" s="27" t="s">
        <v>536</v>
      </c>
      <c r="B256" s="27" t="s">
        <v>85</v>
      </c>
      <c r="C256" s="40" t="str">
        <f aca="false">IFERROR(INDEX('Sales Roster &amp; Quotas'!$C$6:$C$20,MATCH($B256,'Sales Roster &amp; Quotas'!$B$6:$B$20,0)),"")</f>
        <v>Marcus Bennett</v>
      </c>
      <c r="D256" s="40" t="str">
        <f aca="false">IFERROR(INDEX('Sales Roster &amp; Quotas'!$D$6:$D$20,MATCH($B256,'Sales Roster &amp; Quotas'!$B$6:$B$20,0)),"")</f>
        <v>SMB</v>
      </c>
      <c r="E256" s="28" t="n">
        <v>46186</v>
      </c>
      <c r="F256" s="41" t="str">
        <f aca="false">TEXT(E256,"yyyy-mm")</f>
        <v>2026-06</v>
      </c>
      <c r="G256" s="41" t="str">
        <f aca="false">IF(MONTH(E256)&lt;=3,"Q1","Q2")</f>
        <v>Q2</v>
      </c>
      <c r="H256" s="27" t="s">
        <v>48</v>
      </c>
      <c r="I256" s="27" t="s">
        <v>537</v>
      </c>
      <c r="J256" s="27" t="s">
        <v>157</v>
      </c>
      <c r="K256" s="29" t="n">
        <v>25000</v>
      </c>
      <c r="L256" s="42" t="n">
        <f aca="false">IFERROR(INDEX('Sales Roster &amp; Quotas'!$G$6:$G$20,MATCH($B256,'Sales Roster &amp; Quotas'!$B$6:$B$20,0)),0)</f>
        <v>159000</v>
      </c>
      <c r="M256" s="43" t="n">
        <f aca="false">SUMIFS($K$5:$K$274,$B$5:$B$274,$B256,$G$5:$G$274,$G256,$H$5:$H$274,"New Business")</f>
        <v>200000</v>
      </c>
      <c r="N256" s="44" t="n">
        <f aca="false">IFERROR(M256/L256,0)</f>
        <v>1.25786163522013</v>
      </c>
      <c r="O256" s="43" t="n">
        <f aca="false">MIN(M256,L256)</f>
        <v>159000</v>
      </c>
      <c r="P256" s="43" t="n">
        <f aca="false">MAX(MIN(M256,L256*1.25)-L256,0)</f>
        <v>39750</v>
      </c>
      <c r="Q256" s="43" t="n">
        <f aca="false">MAX(M256-L256*1.25,0)</f>
        <v>1250</v>
      </c>
      <c r="R256" s="42" t="n">
        <f aca="false">O256*'Commission Plan Rules'!$F$6+P256*'Commission Plan Rules'!$F$7+Q256*'Commission Plan Rules'!$F$8</f>
        <v>16845</v>
      </c>
      <c r="S256" s="45" t="n">
        <f aca="false">IF(H256="New Business",IFERROR((K256/M256)*R256,0),IF(H256="Upsell",K256*'Commission Plan Rules'!$F$9,IF(H256="Renewal",K256*'Commission Plan Rules'!$F$10,0)))</f>
        <v>750</v>
      </c>
    </row>
    <row r="257" customFormat="false" ht="15" hidden="false" customHeight="true" outlineLevel="0" collapsed="false">
      <c r="A257" s="24" t="s">
        <v>538</v>
      </c>
      <c r="B257" s="24" t="s">
        <v>88</v>
      </c>
      <c r="C257" s="34" t="str">
        <f aca="false">IFERROR(INDEX('Sales Roster &amp; Quotas'!$C$6:$C$20,MATCH($B257,'Sales Roster &amp; Quotas'!$B$6:$B$20,0)),"")</f>
        <v>Elena Kowalski</v>
      </c>
      <c r="D257" s="34" t="str">
        <f aca="false">IFERROR(INDEX('Sales Roster &amp; Quotas'!$D$6:$D$20,MATCH($B257,'Sales Roster &amp; Quotas'!$B$6:$B$20,0)),"")</f>
        <v>Mid-Market</v>
      </c>
      <c r="E257" s="25" t="n">
        <v>46187</v>
      </c>
      <c r="F257" s="35" t="str">
        <f aca="false">TEXT(E257,"yyyy-mm")</f>
        <v>2026-06</v>
      </c>
      <c r="G257" s="35" t="str">
        <f aca="false">IF(MONTH(E257)&lt;=3,"Q1","Q2")</f>
        <v>Q2</v>
      </c>
      <c r="H257" s="24" t="s">
        <v>40</v>
      </c>
      <c r="I257" s="24" t="s">
        <v>298</v>
      </c>
      <c r="J257" s="24" t="s">
        <v>137</v>
      </c>
      <c r="K257" s="26" t="n">
        <v>132500</v>
      </c>
      <c r="L257" s="36" t="n">
        <f aca="false">IFERROR(INDEX('Sales Roster &amp; Quotas'!$G$6:$G$20,MATCH($B257,'Sales Roster &amp; Quotas'!$B$6:$B$20,0)),0)</f>
        <v>320000</v>
      </c>
      <c r="M257" s="37" t="n">
        <f aca="false">SUMIFS($K$5:$K$274,$B$5:$B$274,$B257,$G$5:$G$274,$G257,$H$5:$H$274,"New Business")</f>
        <v>250500</v>
      </c>
      <c r="N257" s="38" t="n">
        <f aca="false">IFERROR(M257/L257,0)</f>
        <v>0.7828125</v>
      </c>
      <c r="O257" s="37" t="n">
        <f aca="false">MIN(M257,L257)</f>
        <v>250500</v>
      </c>
      <c r="P257" s="37" t="n">
        <f aca="false">MAX(MIN(M257,L257*1.25)-L257,0)</f>
        <v>0</v>
      </c>
      <c r="Q257" s="37" t="n">
        <f aca="false">MAX(M257-L257*1.25,0)</f>
        <v>0</v>
      </c>
      <c r="R257" s="36" t="n">
        <f aca="false">O257*'Commission Plan Rules'!$F$6+P257*'Commission Plan Rules'!$F$7+Q257*'Commission Plan Rules'!$F$8</f>
        <v>20040</v>
      </c>
      <c r="S257" s="39" t="n">
        <f aca="false">IF(H257="New Business",IFERROR((K257/M257)*R257,0),IF(H257="Upsell",K257*'Commission Plan Rules'!$F$9,IF(H257="Renewal",K257*'Commission Plan Rules'!$F$10,0)))</f>
        <v>10600</v>
      </c>
    </row>
    <row r="258" customFormat="false" ht="15" hidden="false" customHeight="true" outlineLevel="0" collapsed="false">
      <c r="A258" s="27" t="s">
        <v>539</v>
      </c>
      <c r="B258" s="27" t="s">
        <v>114</v>
      </c>
      <c r="C258" s="40" t="str">
        <f aca="false">IFERROR(INDEX('Sales Roster &amp; Quotas'!$C$6:$C$20,MATCH($B258,'Sales Roster &amp; Quotas'!$B$6:$B$20,0)),"")</f>
        <v>Lucia Larsen</v>
      </c>
      <c r="D258" s="40" t="str">
        <f aca="false">IFERROR(INDEX('Sales Roster &amp; Quotas'!$D$6:$D$20,MATCH($B258,'Sales Roster &amp; Quotas'!$B$6:$B$20,0)),"")</f>
        <v>Enterprise</v>
      </c>
      <c r="E258" s="28" t="n">
        <v>46187</v>
      </c>
      <c r="F258" s="41" t="str">
        <f aca="false">TEXT(E258,"yyyy-mm")</f>
        <v>2026-06</v>
      </c>
      <c r="G258" s="41" t="str">
        <f aca="false">IF(MONTH(E258)&lt;=3,"Q1","Q2")</f>
        <v>Q2</v>
      </c>
      <c r="H258" s="27" t="s">
        <v>48</v>
      </c>
      <c r="I258" s="27" t="s">
        <v>364</v>
      </c>
      <c r="J258" s="27" t="s">
        <v>137</v>
      </c>
      <c r="K258" s="29" t="n">
        <v>59000</v>
      </c>
      <c r="L258" s="42" t="n">
        <f aca="false">IFERROR(INDEX('Sales Roster &amp; Quotas'!$G$6:$G$20,MATCH($B258,'Sales Roster &amp; Quotas'!$B$6:$B$20,0)),0)</f>
        <v>594000</v>
      </c>
      <c r="M258" s="43" t="n">
        <f aca="false">SUMIFS($K$5:$K$274,$B$5:$B$274,$B258,$G$5:$G$274,$G258,$H$5:$H$274,"New Business")</f>
        <v>596500</v>
      </c>
      <c r="N258" s="44" t="n">
        <f aca="false">IFERROR(M258/L258,0)</f>
        <v>1.00420875420875</v>
      </c>
      <c r="O258" s="43" t="n">
        <f aca="false">MIN(M258,L258)</f>
        <v>594000</v>
      </c>
      <c r="P258" s="43" t="n">
        <f aca="false">MAX(MIN(M258,L258*1.25)-L258,0)</f>
        <v>2500</v>
      </c>
      <c r="Q258" s="43" t="n">
        <f aca="false">MAX(M258-L258*1.25,0)</f>
        <v>0</v>
      </c>
      <c r="R258" s="42" t="n">
        <f aca="false">O258*'Commission Plan Rules'!$F$6+P258*'Commission Plan Rules'!$F$7+Q258*'Commission Plan Rules'!$F$8</f>
        <v>47770</v>
      </c>
      <c r="S258" s="45" t="n">
        <f aca="false">IF(H258="New Business",IFERROR((K258/M258)*R258,0),IF(H258="Upsell",K258*'Commission Plan Rules'!$F$9,IF(H258="Renewal",K258*'Commission Plan Rules'!$F$10,0)))</f>
        <v>1770</v>
      </c>
    </row>
    <row r="259" customFormat="false" ht="15" hidden="false" customHeight="true" outlineLevel="0" collapsed="false">
      <c r="A259" s="24" t="s">
        <v>540</v>
      </c>
      <c r="B259" s="24" t="s">
        <v>114</v>
      </c>
      <c r="C259" s="34" t="str">
        <f aca="false">IFERROR(INDEX('Sales Roster &amp; Quotas'!$C$6:$C$20,MATCH($B259,'Sales Roster &amp; Quotas'!$B$6:$B$20,0)),"")</f>
        <v>Lucia Larsen</v>
      </c>
      <c r="D259" s="34" t="str">
        <f aca="false">IFERROR(INDEX('Sales Roster &amp; Quotas'!$D$6:$D$20,MATCH($B259,'Sales Roster &amp; Quotas'!$B$6:$B$20,0)),"")</f>
        <v>Enterprise</v>
      </c>
      <c r="E259" s="25" t="n">
        <v>46189</v>
      </c>
      <c r="F259" s="35" t="str">
        <f aca="false">TEXT(E259,"yyyy-mm")</f>
        <v>2026-06</v>
      </c>
      <c r="G259" s="35" t="str">
        <f aca="false">IF(MONTH(E259)&lt;=3,"Q1","Q2")</f>
        <v>Q2</v>
      </c>
      <c r="H259" s="24" t="s">
        <v>48</v>
      </c>
      <c r="I259" s="24" t="s">
        <v>161</v>
      </c>
      <c r="J259" s="24" t="s">
        <v>137</v>
      </c>
      <c r="K259" s="26" t="n">
        <v>5000</v>
      </c>
      <c r="L259" s="36" t="n">
        <f aca="false">IFERROR(INDEX('Sales Roster &amp; Quotas'!$G$6:$G$20,MATCH($B259,'Sales Roster &amp; Quotas'!$B$6:$B$20,0)),0)</f>
        <v>594000</v>
      </c>
      <c r="M259" s="37" t="n">
        <f aca="false">SUMIFS($K$5:$K$274,$B$5:$B$274,$B259,$G$5:$G$274,$G259,$H$5:$H$274,"New Business")</f>
        <v>596500</v>
      </c>
      <c r="N259" s="38" t="n">
        <f aca="false">IFERROR(M259/L259,0)</f>
        <v>1.00420875420875</v>
      </c>
      <c r="O259" s="37" t="n">
        <f aca="false">MIN(M259,L259)</f>
        <v>594000</v>
      </c>
      <c r="P259" s="37" t="n">
        <f aca="false">MAX(MIN(M259,L259*1.25)-L259,0)</f>
        <v>2500</v>
      </c>
      <c r="Q259" s="37" t="n">
        <f aca="false">MAX(M259-L259*1.25,0)</f>
        <v>0</v>
      </c>
      <c r="R259" s="36" t="n">
        <f aca="false">O259*'Commission Plan Rules'!$F$6+P259*'Commission Plan Rules'!$F$7+Q259*'Commission Plan Rules'!$F$8</f>
        <v>47770</v>
      </c>
      <c r="S259" s="39" t="n">
        <f aca="false">IF(H259="New Business",IFERROR((K259/M259)*R259,0),IF(H259="Upsell",K259*'Commission Plan Rules'!$F$9,IF(H259="Renewal",K259*'Commission Plan Rules'!$F$10,0)))</f>
        <v>150</v>
      </c>
    </row>
    <row r="260" customFormat="false" ht="15" hidden="false" customHeight="true" outlineLevel="0" collapsed="false">
      <c r="A260" s="27" t="s">
        <v>541</v>
      </c>
      <c r="B260" s="27" t="s">
        <v>75</v>
      </c>
      <c r="C260" s="40" t="str">
        <f aca="false">IFERROR(INDEX('Sales Roster &amp; Quotas'!$C$6:$C$20,MATCH($B260,'Sales Roster &amp; Quotas'!$B$6:$B$20,0)),"")</f>
        <v>Priya Patel</v>
      </c>
      <c r="D260" s="40" t="str">
        <f aca="false">IFERROR(INDEX('Sales Roster &amp; Quotas'!$D$6:$D$20,MATCH($B260,'Sales Roster &amp; Quotas'!$B$6:$B$20,0)),"")</f>
        <v>SMB</v>
      </c>
      <c r="E260" s="28" t="n">
        <v>46189</v>
      </c>
      <c r="F260" s="41" t="str">
        <f aca="false">TEXT(E260,"yyyy-mm")</f>
        <v>2026-06</v>
      </c>
      <c r="G260" s="41" t="str">
        <f aca="false">IF(MONTH(E260)&lt;=3,"Q1","Q2")</f>
        <v>Q2</v>
      </c>
      <c r="H260" s="27" t="s">
        <v>48</v>
      </c>
      <c r="I260" s="27" t="s">
        <v>486</v>
      </c>
      <c r="J260" s="27" t="s">
        <v>137</v>
      </c>
      <c r="K260" s="29" t="n">
        <v>18500</v>
      </c>
      <c r="L260" s="42" t="n">
        <f aca="false">IFERROR(INDEX('Sales Roster &amp; Quotas'!$G$6:$G$20,MATCH($B260,'Sales Roster &amp; Quotas'!$B$6:$B$20,0)),0)</f>
        <v>137000</v>
      </c>
      <c r="M260" s="43" t="n">
        <f aca="false">SUMIFS($K$5:$K$274,$B$5:$B$274,$B260,$G$5:$G$274,$G260,$H$5:$H$274,"New Business")</f>
        <v>119000</v>
      </c>
      <c r="N260" s="44" t="n">
        <f aca="false">IFERROR(M260/L260,0)</f>
        <v>0.868613138686131</v>
      </c>
      <c r="O260" s="43" t="n">
        <f aca="false">MIN(M260,L260)</f>
        <v>119000</v>
      </c>
      <c r="P260" s="43" t="n">
        <f aca="false">MAX(MIN(M260,L260*1.25)-L260,0)</f>
        <v>0</v>
      </c>
      <c r="Q260" s="43" t="n">
        <f aca="false">MAX(M260-L260*1.25,0)</f>
        <v>0</v>
      </c>
      <c r="R260" s="42" t="n">
        <f aca="false">O260*'Commission Plan Rules'!$F$6+P260*'Commission Plan Rules'!$F$7+Q260*'Commission Plan Rules'!$F$8</f>
        <v>9520</v>
      </c>
      <c r="S260" s="45" t="n">
        <f aca="false">IF(H260="New Business",IFERROR((K260/M260)*R260,0),IF(H260="Upsell",K260*'Commission Plan Rules'!$F$9,IF(H260="Renewal",K260*'Commission Plan Rules'!$F$10,0)))</f>
        <v>555</v>
      </c>
    </row>
    <row r="261" customFormat="false" ht="15" hidden="false" customHeight="true" outlineLevel="0" collapsed="false">
      <c r="A261" s="24" t="s">
        <v>542</v>
      </c>
      <c r="B261" s="24" t="s">
        <v>88</v>
      </c>
      <c r="C261" s="34" t="str">
        <f aca="false">IFERROR(INDEX('Sales Roster &amp; Quotas'!$C$6:$C$20,MATCH($B261,'Sales Roster &amp; Quotas'!$B$6:$B$20,0)),"")</f>
        <v>Elena Kowalski</v>
      </c>
      <c r="D261" s="34" t="str">
        <f aca="false">IFERROR(INDEX('Sales Roster &amp; Quotas'!$D$6:$D$20,MATCH($B261,'Sales Roster &amp; Quotas'!$B$6:$B$20,0)),"")</f>
        <v>Mid-Market</v>
      </c>
      <c r="E261" s="25" t="n">
        <v>46193</v>
      </c>
      <c r="F261" s="35" t="str">
        <f aca="false">TEXT(E261,"yyyy-mm")</f>
        <v>2026-06</v>
      </c>
      <c r="G261" s="35" t="str">
        <f aca="false">IF(MONTH(E261)&lt;=3,"Q1","Q2")</f>
        <v>Q2</v>
      </c>
      <c r="H261" s="24" t="s">
        <v>48</v>
      </c>
      <c r="I261" s="24" t="s">
        <v>203</v>
      </c>
      <c r="J261" s="24" t="s">
        <v>137</v>
      </c>
      <c r="K261" s="26" t="n">
        <v>80500</v>
      </c>
      <c r="L261" s="36" t="n">
        <f aca="false">IFERROR(INDEX('Sales Roster &amp; Quotas'!$G$6:$G$20,MATCH($B261,'Sales Roster &amp; Quotas'!$B$6:$B$20,0)),0)</f>
        <v>320000</v>
      </c>
      <c r="M261" s="37" t="n">
        <f aca="false">SUMIFS($K$5:$K$274,$B$5:$B$274,$B261,$G$5:$G$274,$G261,$H$5:$H$274,"New Business")</f>
        <v>250500</v>
      </c>
      <c r="N261" s="38" t="n">
        <f aca="false">IFERROR(M261/L261,0)</f>
        <v>0.7828125</v>
      </c>
      <c r="O261" s="37" t="n">
        <f aca="false">MIN(M261,L261)</f>
        <v>250500</v>
      </c>
      <c r="P261" s="37" t="n">
        <f aca="false">MAX(MIN(M261,L261*1.25)-L261,0)</f>
        <v>0</v>
      </c>
      <c r="Q261" s="37" t="n">
        <f aca="false">MAX(M261-L261*1.25,0)</f>
        <v>0</v>
      </c>
      <c r="R261" s="36" t="n">
        <f aca="false">O261*'Commission Plan Rules'!$F$6+P261*'Commission Plan Rules'!$F$7+Q261*'Commission Plan Rules'!$F$8</f>
        <v>20040</v>
      </c>
      <c r="S261" s="39" t="n">
        <f aca="false">IF(H261="New Business",IFERROR((K261/M261)*R261,0),IF(H261="Upsell",K261*'Commission Plan Rules'!$F$9,IF(H261="Renewal",K261*'Commission Plan Rules'!$F$10,0)))</f>
        <v>2415</v>
      </c>
    </row>
    <row r="262" customFormat="false" ht="15" hidden="false" customHeight="true" outlineLevel="0" collapsed="false">
      <c r="A262" s="27" t="s">
        <v>543</v>
      </c>
      <c r="B262" s="27" t="s">
        <v>104</v>
      </c>
      <c r="C262" s="40" t="str">
        <f aca="false">IFERROR(INDEX('Sales Roster &amp; Quotas'!$C$6:$C$20,MATCH($B262,'Sales Roster &amp; Quotas'!$B$6:$B$20,0)),"")</f>
        <v>Omar Fischer</v>
      </c>
      <c r="D262" s="40" t="str">
        <f aca="false">IFERROR(INDEX('Sales Roster &amp; Quotas'!$D$6:$D$20,MATCH($B262,'Sales Roster &amp; Quotas'!$B$6:$B$20,0)),"")</f>
        <v>Mid-Market</v>
      </c>
      <c r="E262" s="28" t="n">
        <v>46194</v>
      </c>
      <c r="F262" s="41" t="str">
        <f aca="false">TEXT(E262,"yyyy-mm")</f>
        <v>2026-06</v>
      </c>
      <c r="G262" s="41" t="str">
        <f aca="false">IF(MONTH(E262)&lt;=3,"Q1","Q2")</f>
        <v>Q2</v>
      </c>
      <c r="H262" s="27" t="s">
        <v>45</v>
      </c>
      <c r="I262" s="27" t="s">
        <v>330</v>
      </c>
      <c r="J262" s="27" t="s">
        <v>137</v>
      </c>
      <c r="K262" s="29" t="n">
        <v>16500</v>
      </c>
      <c r="L262" s="42" t="n">
        <f aca="false">IFERROR(INDEX('Sales Roster &amp; Quotas'!$G$6:$G$20,MATCH($B262,'Sales Roster &amp; Quotas'!$B$6:$B$20,0)),0)</f>
        <v>324000</v>
      </c>
      <c r="M262" s="43" t="n">
        <f aca="false">SUMIFS($K$5:$K$274,$B$5:$B$274,$B262,$G$5:$G$274,$G262,$H$5:$H$274,"New Business")</f>
        <v>575500</v>
      </c>
      <c r="N262" s="44" t="n">
        <f aca="false">IFERROR(M262/L262,0)</f>
        <v>1.77623456790123</v>
      </c>
      <c r="O262" s="43" t="n">
        <f aca="false">MIN(M262,L262)</f>
        <v>324000</v>
      </c>
      <c r="P262" s="43" t="n">
        <f aca="false">MAX(MIN(M262,L262*1.25)-L262,0)</f>
        <v>81000</v>
      </c>
      <c r="Q262" s="43" t="n">
        <f aca="false">MAX(M262-L262*1.25,0)</f>
        <v>170500</v>
      </c>
      <c r="R262" s="42" t="n">
        <f aca="false">O262*'Commission Plan Rules'!$F$6+P262*'Commission Plan Rules'!$F$7+Q262*'Commission Plan Rules'!$F$8</f>
        <v>54480</v>
      </c>
      <c r="S262" s="45" t="n">
        <f aca="false">IF(H262="New Business",IFERROR((K262/M262)*R262,0),IF(H262="Upsell",K262*'Commission Plan Rules'!$F$9,IF(H262="Renewal",K262*'Commission Plan Rules'!$F$10,0)))</f>
        <v>990</v>
      </c>
    </row>
    <row r="263" customFormat="false" ht="15" hidden="false" customHeight="true" outlineLevel="0" collapsed="false">
      <c r="A263" s="24" t="s">
        <v>544</v>
      </c>
      <c r="B263" s="24" t="s">
        <v>101</v>
      </c>
      <c r="C263" s="34" t="str">
        <f aca="false">IFERROR(INDEX('Sales Roster &amp; Quotas'!$C$6:$C$20,MATCH($B263,'Sales Roster &amp; Quotas'!$B$6:$B$20,0)),"")</f>
        <v>Natalie Reyes</v>
      </c>
      <c r="D263" s="34" t="str">
        <f aca="false">IFERROR(INDEX('Sales Roster &amp; Quotas'!$D$6:$D$20,MATCH($B263,'Sales Roster &amp; Quotas'!$B$6:$B$20,0)),"")</f>
        <v>Mid-Market</v>
      </c>
      <c r="E263" s="25" t="n">
        <v>46195</v>
      </c>
      <c r="F263" s="35" t="str">
        <f aca="false">TEXT(E263,"yyyy-mm")</f>
        <v>2026-06</v>
      </c>
      <c r="G263" s="35" t="str">
        <f aca="false">IF(MONTH(E263)&lt;=3,"Q1","Q2")</f>
        <v>Q2</v>
      </c>
      <c r="H263" s="24" t="s">
        <v>40</v>
      </c>
      <c r="I263" s="24" t="s">
        <v>309</v>
      </c>
      <c r="J263" s="24" t="s">
        <v>137</v>
      </c>
      <c r="K263" s="26" t="n">
        <v>76500</v>
      </c>
      <c r="L263" s="36" t="n">
        <f aca="false">IFERROR(INDEX('Sales Roster &amp; Quotas'!$G$6:$G$20,MATCH($B263,'Sales Roster &amp; Quotas'!$B$6:$B$20,0)),0)</f>
        <v>295000</v>
      </c>
      <c r="M263" s="37" t="n">
        <f aca="false">SUMIFS($K$5:$K$274,$B$5:$B$274,$B263,$G$5:$G$274,$G263,$H$5:$H$274,"New Business")</f>
        <v>293500</v>
      </c>
      <c r="N263" s="38" t="n">
        <f aca="false">IFERROR(M263/L263,0)</f>
        <v>0.994915254237288</v>
      </c>
      <c r="O263" s="37" t="n">
        <f aca="false">MIN(M263,L263)</f>
        <v>293500</v>
      </c>
      <c r="P263" s="37" t="n">
        <f aca="false">MAX(MIN(M263,L263*1.25)-L263,0)</f>
        <v>0</v>
      </c>
      <c r="Q263" s="37" t="n">
        <f aca="false">MAX(M263-L263*1.25,0)</f>
        <v>0</v>
      </c>
      <c r="R263" s="36" t="n">
        <f aca="false">O263*'Commission Plan Rules'!$F$6+P263*'Commission Plan Rules'!$F$7+Q263*'Commission Plan Rules'!$F$8</f>
        <v>23480</v>
      </c>
      <c r="S263" s="39" t="n">
        <f aca="false">IF(H263="New Business",IFERROR((K263/M263)*R263,0),IF(H263="Upsell",K263*'Commission Plan Rules'!$F$9,IF(H263="Renewal",K263*'Commission Plan Rules'!$F$10,0)))</f>
        <v>6120</v>
      </c>
    </row>
    <row r="264" customFormat="false" ht="15" hidden="false" customHeight="true" outlineLevel="0" collapsed="false">
      <c r="A264" s="27" t="s">
        <v>545</v>
      </c>
      <c r="B264" s="27" t="s">
        <v>72</v>
      </c>
      <c r="C264" s="40" t="str">
        <f aca="false">IFERROR(INDEX('Sales Roster &amp; Quotas'!$C$6:$C$20,MATCH($B264,'Sales Roster &amp; Quotas'!$B$6:$B$20,0)),"")</f>
        <v>James Okafor</v>
      </c>
      <c r="D264" s="40" t="str">
        <f aca="false">IFERROR(INDEX('Sales Roster &amp; Quotas'!$D$6:$D$20,MATCH($B264,'Sales Roster &amp; Quotas'!$B$6:$B$20,0)),"")</f>
        <v>SMB</v>
      </c>
      <c r="E264" s="28" t="n">
        <v>46195</v>
      </c>
      <c r="F264" s="41" t="str">
        <f aca="false">TEXT(E264,"yyyy-mm")</f>
        <v>2026-06</v>
      </c>
      <c r="G264" s="41" t="str">
        <f aca="false">IF(MONTH(E264)&lt;=3,"Q1","Q2")</f>
        <v>Q2</v>
      </c>
      <c r="H264" s="27" t="s">
        <v>48</v>
      </c>
      <c r="I264" s="27" t="s">
        <v>270</v>
      </c>
      <c r="J264" s="27" t="s">
        <v>137</v>
      </c>
      <c r="K264" s="29" t="n">
        <v>1500</v>
      </c>
      <c r="L264" s="42" t="n">
        <f aca="false">IFERROR(INDEX('Sales Roster &amp; Quotas'!$G$6:$G$20,MATCH($B264,'Sales Roster &amp; Quotas'!$B$6:$B$20,0)),0)</f>
        <v>135000</v>
      </c>
      <c r="M264" s="43" t="n">
        <f aca="false">SUMIFS($K$5:$K$274,$B$5:$B$274,$B264,$G$5:$G$274,$G264,$H$5:$H$274,"New Business")</f>
        <v>144000</v>
      </c>
      <c r="N264" s="44" t="n">
        <f aca="false">IFERROR(M264/L264,0)</f>
        <v>1.06666666666667</v>
      </c>
      <c r="O264" s="43" t="n">
        <f aca="false">MIN(M264,L264)</f>
        <v>135000</v>
      </c>
      <c r="P264" s="43" t="n">
        <f aca="false">MAX(MIN(M264,L264*1.25)-L264,0)</f>
        <v>9000</v>
      </c>
      <c r="Q264" s="43" t="n">
        <f aca="false">MAX(M264-L264*1.25,0)</f>
        <v>0</v>
      </c>
      <c r="R264" s="42" t="n">
        <f aca="false">O264*'Commission Plan Rules'!$F$6+P264*'Commission Plan Rules'!$F$7+Q264*'Commission Plan Rules'!$F$8</f>
        <v>11700</v>
      </c>
      <c r="S264" s="45" t="n">
        <f aca="false">IF(H264="New Business",IFERROR((K264/M264)*R264,0),IF(H264="Upsell",K264*'Commission Plan Rules'!$F$9,IF(H264="Renewal",K264*'Commission Plan Rules'!$F$10,0)))</f>
        <v>45</v>
      </c>
    </row>
    <row r="265" customFormat="false" ht="15" hidden="false" customHeight="true" outlineLevel="0" collapsed="false">
      <c r="A265" s="24" t="s">
        <v>546</v>
      </c>
      <c r="B265" s="24" t="s">
        <v>79</v>
      </c>
      <c r="C265" s="34" t="str">
        <f aca="false">IFERROR(INDEX('Sales Roster &amp; Quotas'!$C$6:$C$20,MATCH($B265,'Sales Roster &amp; Quotas'!$B$6:$B$20,0)),"")</f>
        <v>David Nguyen</v>
      </c>
      <c r="D265" s="34" t="str">
        <f aca="false">IFERROR(INDEX('Sales Roster &amp; Quotas'!$D$6:$D$20,MATCH($B265,'Sales Roster &amp; Quotas'!$B$6:$B$20,0)),"")</f>
        <v>SMB</v>
      </c>
      <c r="E265" s="25" t="n">
        <v>46196</v>
      </c>
      <c r="F265" s="35" t="str">
        <f aca="false">TEXT(E265,"yyyy-mm")</f>
        <v>2026-06</v>
      </c>
      <c r="G265" s="35" t="str">
        <f aca="false">IF(MONTH(E265)&lt;=3,"Q1","Q2")</f>
        <v>Q2</v>
      </c>
      <c r="H265" s="24" t="s">
        <v>40</v>
      </c>
      <c r="I265" s="24" t="s">
        <v>324</v>
      </c>
      <c r="J265" s="24" t="s">
        <v>152</v>
      </c>
      <c r="K265" s="26" t="n">
        <v>3000</v>
      </c>
      <c r="L265" s="36" t="n">
        <f aca="false">IFERROR(INDEX('Sales Roster &amp; Quotas'!$G$6:$G$20,MATCH($B265,'Sales Roster &amp; Quotas'!$B$6:$B$20,0)),0)</f>
        <v>155000</v>
      </c>
      <c r="M265" s="37" t="n">
        <f aca="false">SUMIFS($K$5:$K$274,$B$5:$B$274,$B265,$G$5:$G$274,$G265,$H$5:$H$274,"New Business")</f>
        <v>26000</v>
      </c>
      <c r="N265" s="38" t="n">
        <f aca="false">IFERROR(M265/L265,0)</f>
        <v>0.167741935483871</v>
      </c>
      <c r="O265" s="37" t="n">
        <f aca="false">MIN(M265,L265)</f>
        <v>26000</v>
      </c>
      <c r="P265" s="37" t="n">
        <f aca="false">MAX(MIN(M265,L265*1.25)-L265,0)</f>
        <v>0</v>
      </c>
      <c r="Q265" s="37" t="n">
        <f aca="false">MAX(M265-L265*1.25,0)</f>
        <v>0</v>
      </c>
      <c r="R265" s="36" t="n">
        <f aca="false">O265*'Commission Plan Rules'!$F$6+P265*'Commission Plan Rules'!$F$7+Q265*'Commission Plan Rules'!$F$8</f>
        <v>2080</v>
      </c>
      <c r="S265" s="39" t="n">
        <f aca="false">IF(H265="New Business",IFERROR((K265/M265)*R265,0),IF(H265="Upsell",K265*'Commission Plan Rules'!$F$9,IF(H265="Renewal",K265*'Commission Plan Rules'!$F$10,0)))</f>
        <v>240</v>
      </c>
    </row>
    <row r="266" customFormat="false" ht="15" hidden="false" customHeight="true" outlineLevel="0" collapsed="false">
      <c r="A266" s="27" t="s">
        <v>547</v>
      </c>
      <c r="B266" s="27" t="s">
        <v>92</v>
      </c>
      <c r="C266" s="40" t="str">
        <f aca="false">IFERROR(INDEX('Sales Roster &amp; Quotas'!$C$6:$C$20,MATCH($B266,'Sales Roster &amp; Quotas'!$B$6:$B$20,0)),"")</f>
        <v>Tyler Alvarez</v>
      </c>
      <c r="D266" s="40" t="str">
        <f aca="false">IFERROR(INDEX('Sales Roster &amp; Quotas'!$D$6:$D$20,MATCH($B266,'Sales Roster &amp; Quotas'!$B$6:$B$20,0)),"")</f>
        <v>Mid-Market</v>
      </c>
      <c r="E266" s="28" t="n">
        <v>46197</v>
      </c>
      <c r="F266" s="41" t="str">
        <f aca="false">TEXT(E266,"yyyy-mm")</f>
        <v>2026-06</v>
      </c>
      <c r="G266" s="41" t="str">
        <f aca="false">IF(MONTH(E266)&lt;=3,"Q1","Q2")</f>
        <v>Q2</v>
      </c>
      <c r="H266" s="27" t="s">
        <v>48</v>
      </c>
      <c r="I266" s="27" t="s">
        <v>548</v>
      </c>
      <c r="J266" s="27" t="s">
        <v>137</v>
      </c>
      <c r="K266" s="29" t="n">
        <v>14000</v>
      </c>
      <c r="L266" s="42" t="n">
        <f aca="false">IFERROR(INDEX('Sales Roster &amp; Quotas'!$G$6:$G$20,MATCH($B266,'Sales Roster &amp; Quotas'!$B$6:$B$20,0)),0)</f>
        <v>275000</v>
      </c>
      <c r="M266" s="43" t="n">
        <f aca="false">SUMIFS($K$5:$K$274,$B$5:$B$274,$B266,$G$5:$G$274,$G266,$H$5:$H$274,"New Business")</f>
        <v>314500</v>
      </c>
      <c r="N266" s="44" t="n">
        <f aca="false">IFERROR(M266/L266,0)</f>
        <v>1.14363636363636</v>
      </c>
      <c r="O266" s="43" t="n">
        <f aca="false">MIN(M266,L266)</f>
        <v>275000</v>
      </c>
      <c r="P266" s="43" t="n">
        <f aca="false">MAX(MIN(M266,L266*1.25)-L266,0)</f>
        <v>39500</v>
      </c>
      <c r="Q266" s="43" t="n">
        <f aca="false">MAX(M266-L266*1.25,0)</f>
        <v>0</v>
      </c>
      <c r="R266" s="42" t="n">
        <f aca="false">O266*'Commission Plan Rules'!$F$6+P266*'Commission Plan Rules'!$F$7+Q266*'Commission Plan Rules'!$F$8</f>
        <v>25950</v>
      </c>
      <c r="S266" s="45" t="n">
        <f aca="false">IF(H266="New Business",IFERROR((K266/M266)*R266,0),IF(H266="Upsell",K266*'Commission Plan Rules'!$F$9,IF(H266="Renewal",K266*'Commission Plan Rules'!$F$10,0)))</f>
        <v>420</v>
      </c>
    </row>
    <row r="267" customFormat="false" ht="15" hidden="false" customHeight="true" outlineLevel="0" collapsed="false">
      <c r="A267" s="24" t="s">
        <v>549</v>
      </c>
      <c r="B267" s="24" t="s">
        <v>111</v>
      </c>
      <c r="C267" s="34" t="str">
        <f aca="false">IFERROR(INDEX('Sales Roster &amp; Quotas'!$C$6:$C$20,MATCH($B267,'Sales Roster &amp; Quotas'!$B$6:$B$20,0)),"")</f>
        <v>Kevin Novak</v>
      </c>
      <c r="D267" s="34" t="str">
        <f aca="false">IFERROR(INDEX('Sales Roster &amp; Quotas'!$D$6:$D$20,MATCH($B267,'Sales Roster &amp; Quotas'!$B$6:$B$20,0)),"")</f>
        <v>Enterprise</v>
      </c>
      <c r="E267" s="25" t="n">
        <v>46198</v>
      </c>
      <c r="F267" s="35" t="str">
        <f aca="false">TEXT(E267,"yyyy-mm")</f>
        <v>2026-06</v>
      </c>
      <c r="G267" s="35" t="str">
        <f aca="false">IF(MONTH(E267)&lt;=3,"Q1","Q2")</f>
        <v>Q2</v>
      </c>
      <c r="H267" s="24" t="s">
        <v>48</v>
      </c>
      <c r="I267" s="24" t="s">
        <v>550</v>
      </c>
      <c r="J267" s="24" t="s">
        <v>137</v>
      </c>
      <c r="K267" s="26" t="n">
        <v>12500</v>
      </c>
      <c r="L267" s="36" t="n">
        <f aca="false">IFERROR(INDEX('Sales Roster &amp; Quotas'!$G$6:$G$20,MATCH($B267,'Sales Roster &amp; Quotas'!$B$6:$B$20,0)),0)</f>
        <v>641000</v>
      </c>
      <c r="M267" s="37" t="n">
        <f aca="false">SUMIFS($K$5:$K$274,$B$5:$B$274,$B267,$G$5:$G$274,$G267,$H$5:$H$274,"New Business")</f>
        <v>570000</v>
      </c>
      <c r="N267" s="38" t="n">
        <f aca="false">IFERROR(M267/L267,0)</f>
        <v>0.889235569422777</v>
      </c>
      <c r="O267" s="37" t="n">
        <f aca="false">MIN(M267,L267)</f>
        <v>570000</v>
      </c>
      <c r="P267" s="37" t="n">
        <f aca="false">MAX(MIN(M267,L267*1.25)-L267,0)</f>
        <v>0</v>
      </c>
      <c r="Q267" s="37" t="n">
        <f aca="false">MAX(M267-L267*1.25,0)</f>
        <v>0</v>
      </c>
      <c r="R267" s="36" t="n">
        <f aca="false">O267*'Commission Plan Rules'!$F$6+P267*'Commission Plan Rules'!$F$7+Q267*'Commission Plan Rules'!$F$8</f>
        <v>45600</v>
      </c>
      <c r="S267" s="39" t="n">
        <f aca="false">IF(H267="New Business",IFERROR((K267/M267)*R267,0),IF(H267="Upsell",K267*'Commission Plan Rules'!$F$9,IF(H267="Renewal",K267*'Commission Plan Rules'!$F$10,0)))</f>
        <v>375</v>
      </c>
    </row>
    <row r="268" customFormat="false" ht="15" hidden="false" customHeight="true" outlineLevel="0" collapsed="false">
      <c r="A268" s="27" t="s">
        <v>551</v>
      </c>
      <c r="B268" s="27" t="s">
        <v>72</v>
      </c>
      <c r="C268" s="40" t="str">
        <f aca="false">IFERROR(INDEX('Sales Roster &amp; Quotas'!$C$6:$C$20,MATCH($B268,'Sales Roster &amp; Quotas'!$B$6:$B$20,0)),"")</f>
        <v>James Okafor</v>
      </c>
      <c r="D268" s="40" t="str">
        <f aca="false">IFERROR(INDEX('Sales Roster &amp; Quotas'!$D$6:$D$20,MATCH($B268,'Sales Roster &amp; Quotas'!$B$6:$B$20,0)),"")</f>
        <v>SMB</v>
      </c>
      <c r="E268" s="28" t="n">
        <v>46198</v>
      </c>
      <c r="F268" s="41" t="str">
        <f aca="false">TEXT(E268,"yyyy-mm")</f>
        <v>2026-06</v>
      </c>
      <c r="G268" s="41" t="str">
        <f aca="false">IF(MONTH(E268)&lt;=3,"Q1","Q2")</f>
        <v>Q2</v>
      </c>
      <c r="H268" s="27" t="s">
        <v>48</v>
      </c>
      <c r="I268" s="27" t="s">
        <v>552</v>
      </c>
      <c r="J268" s="27" t="s">
        <v>137</v>
      </c>
      <c r="K268" s="29" t="n">
        <v>5000</v>
      </c>
      <c r="L268" s="42" t="n">
        <f aca="false">IFERROR(INDEX('Sales Roster &amp; Quotas'!$G$6:$G$20,MATCH($B268,'Sales Roster &amp; Quotas'!$B$6:$B$20,0)),0)</f>
        <v>135000</v>
      </c>
      <c r="M268" s="43" t="n">
        <f aca="false">SUMIFS($K$5:$K$274,$B$5:$B$274,$B268,$G$5:$G$274,$G268,$H$5:$H$274,"New Business")</f>
        <v>144000</v>
      </c>
      <c r="N268" s="44" t="n">
        <f aca="false">IFERROR(M268/L268,0)</f>
        <v>1.06666666666667</v>
      </c>
      <c r="O268" s="43" t="n">
        <f aca="false">MIN(M268,L268)</f>
        <v>135000</v>
      </c>
      <c r="P268" s="43" t="n">
        <f aca="false">MAX(MIN(M268,L268*1.25)-L268,0)</f>
        <v>9000</v>
      </c>
      <c r="Q268" s="43" t="n">
        <f aca="false">MAX(M268-L268*1.25,0)</f>
        <v>0</v>
      </c>
      <c r="R268" s="42" t="n">
        <f aca="false">O268*'Commission Plan Rules'!$F$6+P268*'Commission Plan Rules'!$F$7+Q268*'Commission Plan Rules'!$F$8</f>
        <v>11700</v>
      </c>
      <c r="S268" s="45" t="n">
        <f aca="false">IF(H268="New Business",IFERROR((K268/M268)*R268,0),IF(H268="Upsell",K268*'Commission Plan Rules'!$F$9,IF(H268="Renewal",K268*'Commission Plan Rules'!$F$10,0)))</f>
        <v>150</v>
      </c>
    </row>
    <row r="269" customFormat="false" ht="15" hidden="false" customHeight="true" outlineLevel="0" collapsed="false">
      <c r="A269" s="24" t="s">
        <v>553</v>
      </c>
      <c r="B269" s="24" t="s">
        <v>92</v>
      </c>
      <c r="C269" s="34" t="str">
        <f aca="false">IFERROR(INDEX('Sales Roster &amp; Quotas'!$C$6:$C$20,MATCH($B269,'Sales Roster &amp; Quotas'!$B$6:$B$20,0)),"")</f>
        <v>Tyler Alvarez</v>
      </c>
      <c r="D269" s="34" t="str">
        <f aca="false">IFERROR(INDEX('Sales Roster &amp; Quotas'!$D$6:$D$20,MATCH($B269,'Sales Roster &amp; Quotas'!$B$6:$B$20,0)),"")</f>
        <v>Mid-Market</v>
      </c>
      <c r="E269" s="25" t="n">
        <v>46198</v>
      </c>
      <c r="F269" s="35" t="str">
        <f aca="false">TEXT(E269,"yyyy-mm")</f>
        <v>2026-06</v>
      </c>
      <c r="G269" s="35" t="str">
        <f aca="false">IF(MONTH(E269)&lt;=3,"Q1","Q2")</f>
        <v>Q2</v>
      </c>
      <c r="H269" s="24" t="s">
        <v>48</v>
      </c>
      <c r="I269" s="24" t="s">
        <v>477</v>
      </c>
      <c r="J269" s="24" t="s">
        <v>142</v>
      </c>
      <c r="K269" s="26" t="n">
        <v>13000</v>
      </c>
      <c r="L269" s="36" t="n">
        <f aca="false">IFERROR(INDEX('Sales Roster &amp; Quotas'!$G$6:$G$20,MATCH($B269,'Sales Roster &amp; Quotas'!$B$6:$B$20,0)),0)</f>
        <v>275000</v>
      </c>
      <c r="M269" s="37" t="n">
        <f aca="false">SUMIFS($K$5:$K$274,$B$5:$B$274,$B269,$G$5:$G$274,$G269,$H$5:$H$274,"New Business")</f>
        <v>314500</v>
      </c>
      <c r="N269" s="38" t="n">
        <f aca="false">IFERROR(M269/L269,0)</f>
        <v>1.14363636363636</v>
      </c>
      <c r="O269" s="37" t="n">
        <f aca="false">MIN(M269,L269)</f>
        <v>275000</v>
      </c>
      <c r="P269" s="37" t="n">
        <f aca="false">MAX(MIN(M269,L269*1.25)-L269,0)</f>
        <v>39500</v>
      </c>
      <c r="Q269" s="37" t="n">
        <f aca="false">MAX(M269-L269*1.25,0)</f>
        <v>0</v>
      </c>
      <c r="R269" s="36" t="n">
        <f aca="false">O269*'Commission Plan Rules'!$F$6+P269*'Commission Plan Rules'!$F$7+Q269*'Commission Plan Rules'!$F$8</f>
        <v>25950</v>
      </c>
      <c r="S269" s="39" t="n">
        <f aca="false">IF(H269="New Business",IFERROR((K269/M269)*R269,0),IF(H269="Upsell",K269*'Commission Plan Rules'!$F$9,IF(H269="Renewal",K269*'Commission Plan Rules'!$F$10,0)))</f>
        <v>390</v>
      </c>
    </row>
    <row r="270" customFormat="false" ht="15" hidden="false" customHeight="true" outlineLevel="0" collapsed="false">
      <c r="A270" s="27" t="s">
        <v>554</v>
      </c>
      <c r="B270" s="27" t="s">
        <v>95</v>
      </c>
      <c r="C270" s="40" t="str">
        <f aca="false">IFERROR(INDEX('Sales Roster &amp; Quotas'!$C$6:$C$20,MATCH($B270,'Sales Roster &amp; Quotas'!$B$6:$B$20,0)),"")</f>
        <v>Aisha Kim</v>
      </c>
      <c r="D270" s="40" t="str">
        <f aca="false">IFERROR(INDEX('Sales Roster &amp; Quotas'!$D$6:$D$20,MATCH($B270,'Sales Roster &amp; Quotas'!$B$6:$B$20,0)),"")</f>
        <v>Mid-Market</v>
      </c>
      <c r="E270" s="28" t="n">
        <v>46199</v>
      </c>
      <c r="F270" s="41" t="str">
        <f aca="false">TEXT(E270,"yyyy-mm")</f>
        <v>2026-06</v>
      </c>
      <c r="G270" s="41" t="str">
        <f aca="false">IF(MONTH(E270)&lt;=3,"Q1","Q2")</f>
        <v>Q2</v>
      </c>
      <c r="H270" s="27" t="s">
        <v>48</v>
      </c>
      <c r="I270" s="27" t="s">
        <v>278</v>
      </c>
      <c r="J270" s="27" t="s">
        <v>157</v>
      </c>
      <c r="K270" s="29" t="n">
        <v>18500</v>
      </c>
      <c r="L270" s="42" t="n">
        <f aca="false">IFERROR(INDEX('Sales Roster &amp; Quotas'!$G$6:$G$20,MATCH($B270,'Sales Roster &amp; Quotas'!$B$6:$B$20,0)),0)</f>
        <v>287000</v>
      </c>
      <c r="M270" s="43" t="n">
        <f aca="false">SUMIFS($K$5:$K$274,$B$5:$B$274,$B270,$G$5:$G$274,$G270,$H$5:$H$274,"New Business")</f>
        <v>253000</v>
      </c>
      <c r="N270" s="44" t="n">
        <f aca="false">IFERROR(M270/L270,0)</f>
        <v>0.881533101045296</v>
      </c>
      <c r="O270" s="43" t="n">
        <f aca="false">MIN(M270,L270)</f>
        <v>253000</v>
      </c>
      <c r="P270" s="43" t="n">
        <f aca="false">MAX(MIN(M270,L270*1.25)-L270,0)</f>
        <v>0</v>
      </c>
      <c r="Q270" s="43" t="n">
        <f aca="false">MAX(M270-L270*1.25,0)</f>
        <v>0</v>
      </c>
      <c r="R270" s="42" t="n">
        <f aca="false">O270*'Commission Plan Rules'!$F$6+P270*'Commission Plan Rules'!$F$7+Q270*'Commission Plan Rules'!$F$8</f>
        <v>20240</v>
      </c>
      <c r="S270" s="45" t="n">
        <f aca="false">IF(H270="New Business",IFERROR((K270/M270)*R270,0),IF(H270="Upsell",K270*'Commission Plan Rules'!$F$9,IF(H270="Renewal",K270*'Commission Plan Rules'!$F$10,0)))</f>
        <v>555</v>
      </c>
    </row>
    <row r="271" customFormat="false" ht="15" hidden="false" customHeight="true" outlineLevel="0" collapsed="false">
      <c r="A271" s="24" t="s">
        <v>555</v>
      </c>
      <c r="B271" s="24" t="s">
        <v>85</v>
      </c>
      <c r="C271" s="34" t="str">
        <f aca="false">IFERROR(INDEX('Sales Roster &amp; Quotas'!$C$6:$C$20,MATCH($B271,'Sales Roster &amp; Quotas'!$B$6:$B$20,0)),"")</f>
        <v>Marcus Bennett</v>
      </c>
      <c r="D271" s="34" t="str">
        <f aca="false">IFERROR(INDEX('Sales Roster &amp; Quotas'!$D$6:$D$20,MATCH($B271,'Sales Roster &amp; Quotas'!$B$6:$B$20,0)),"")</f>
        <v>SMB</v>
      </c>
      <c r="E271" s="25" t="n">
        <v>46199</v>
      </c>
      <c r="F271" s="35" t="str">
        <f aca="false">TEXT(E271,"yyyy-mm")</f>
        <v>2026-06</v>
      </c>
      <c r="G271" s="35" t="str">
        <f aca="false">IF(MONTH(E271)&lt;=3,"Q1","Q2")</f>
        <v>Q2</v>
      </c>
      <c r="H271" s="24" t="s">
        <v>45</v>
      </c>
      <c r="I271" s="24" t="s">
        <v>274</v>
      </c>
      <c r="J271" s="24" t="s">
        <v>137</v>
      </c>
      <c r="K271" s="26" t="n">
        <v>29500</v>
      </c>
      <c r="L271" s="36" t="n">
        <f aca="false">IFERROR(INDEX('Sales Roster &amp; Quotas'!$G$6:$G$20,MATCH($B271,'Sales Roster &amp; Quotas'!$B$6:$B$20,0)),0)</f>
        <v>159000</v>
      </c>
      <c r="M271" s="37" t="n">
        <f aca="false">SUMIFS($K$5:$K$274,$B$5:$B$274,$B271,$G$5:$G$274,$G271,$H$5:$H$274,"New Business")</f>
        <v>200000</v>
      </c>
      <c r="N271" s="38" t="n">
        <f aca="false">IFERROR(M271/L271,0)</f>
        <v>1.25786163522013</v>
      </c>
      <c r="O271" s="37" t="n">
        <f aca="false">MIN(M271,L271)</f>
        <v>159000</v>
      </c>
      <c r="P271" s="37" t="n">
        <f aca="false">MAX(MIN(M271,L271*1.25)-L271,0)</f>
        <v>39750</v>
      </c>
      <c r="Q271" s="37" t="n">
        <f aca="false">MAX(M271-L271*1.25,0)</f>
        <v>1250</v>
      </c>
      <c r="R271" s="36" t="n">
        <f aca="false">O271*'Commission Plan Rules'!$F$6+P271*'Commission Plan Rules'!$F$7+Q271*'Commission Plan Rules'!$F$8</f>
        <v>16845</v>
      </c>
      <c r="S271" s="39" t="n">
        <f aca="false">IF(H271="New Business",IFERROR((K271/M271)*R271,0),IF(H271="Upsell",K271*'Commission Plan Rules'!$F$9,IF(H271="Renewal",K271*'Commission Plan Rules'!$F$10,0)))</f>
        <v>1770</v>
      </c>
    </row>
    <row r="272" customFormat="false" ht="15" hidden="false" customHeight="true" outlineLevel="0" collapsed="false">
      <c r="A272" s="27" t="s">
        <v>556</v>
      </c>
      <c r="B272" s="27" t="s">
        <v>75</v>
      </c>
      <c r="C272" s="40" t="str">
        <f aca="false">IFERROR(INDEX('Sales Roster &amp; Quotas'!$C$6:$C$20,MATCH($B272,'Sales Roster &amp; Quotas'!$B$6:$B$20,0)),"")</f>
        <v>Priya Patel</v>
      </c>
      <c r="D272" s="40" t="str">
        <f aca="false">IFERROR(INDEX('Sales Roster &amp; Quotas'!$D$6:$D$20,MATCH($B272,'Sales Roster &amp; Quotas'!$B$6:$B$20,0)),"")</f>
        <v>SMB</v>
      </c>
      <c r="E272" s="28" t="n">
        <v>46200</v>
      </c>
      <c r="F272" s="41" t="str">
        <f aca="false">TEXT(E272,"yyyy-mm")</f>
        <v>2026-06</v>
      </c>
      <c r="G272" s="41" t="str">
        <f aca="false">IF(MONTH(E272)&lt;=3,"Q1","Q2")</f>
        <v>Q2</v>
      </c>
      <c r="H272" s="27" t="s">
        <v>40</v>
      </c>
      <c r="I272" s="27" t="s">
        <v>557</v>
      </c>
      <c r="J272" s="27" t="s">
        <v>137</v>
      </c>
      <c r="K272" s="29" t="n">
        <v>43500</v>
      </c>
      <c r="L272" s="42" t="n">
        <f aca="false">IFERROR(INDEX('Sales Roster &amp; Quotas'!$G$6:$G$20,MATCH($B272,'Sales Roster &amp; Quotas'!$B$6:$B$20,0)),0)</f>
        <v>137000</v>
      </c>
      <c r="M272" s="43" t="n">
        <f aca="false">SUMIFS($K$5:$K$274,$B$5:$B$274,$B272,$G$5:$G$274,$G272,$H$5:$H$274,"New Business")</f>
        <v>119000</v>
      </c>
      <c r="N272" s="44" t="n">
        <f aca="false">IFERROR(M272/L272,0)</f>
        <v>0.868613138686131</v>
      </c>
      <c r="O272" s="43" t="n">
        <f aca="false">MIN(M272,L272)</f>
        <v>119000</v>
      </c>
      <c r="P272" s="43" t="n">
        <f aca="false">MAX(MIN(M272,L272*1.25)-L272,0)</f>
        <v>0</v>
      </c>
      <c r="Q272" s="43" t="n">
        <f aca="false">MAX(M272-L272*1.25,0)</f>
        <v>0</v>
      </c>
      <c r="R272" s="42" t="n">
        <f aca="false">O272*'Commission Plan Rules'!$F$6+P272*'Commission Plan Rules'!$F$7+Q272*'Commission Plan Rules'!$F$8</f>
        <v>9520</v>
      </c>
      <c r="S272" s="45" t="n">
        <f aca="false">IF(H272="New Business",IFERROR((K272/M272)*R272,0),IF(H272="Upsell",K272*'Commission Plan Rules'!$F$9,IF(H272="Renewal",K272*'Commission Plan Rules'!$F$10,0)))</f>
        <v>3480</v>
      </c>
    </row>
    <row r="273" customFormat="false" ht="15" hidden="false" customHeight="true" outlineLevel="0" collapsed="false">
      <c r="A273" s="24" t="s">
        <v>558</v>
      </c>
      <c r="B273" s="24" t="s">
        <v>104</v>
      </c>
      <c r="C273" s="34" t="str">
        <f aca="false">IFERROR(INDEX('Sales Roster &amp; Quotas'!$C$6:$C$20,MATCH($B273,'Sales Roster &amp; Quotas'!$B$6:$B$20,0)),"")</f>
        <v>Omar Fischer</v>
      </c>
      <c r="D273" s="34" t="str">
        <f aca="false">IFERROR(INDEX('Sales Roster &amp; Quotas'!$D$6:$D$20,MATCH($B273,'Sales Roster &amp; Quotas'!$B$6:$B$20,0)),"")</f>
        <v>Mid-Market</v>
      </c>
      <c r="E273" s="25" t="n">
        <v>46201</v>
      </c>
      <c r="F273" s="35" t="str">
        <f aca="false">TEXT(E273,"yyyy-mm")</f>
        <v>2026-06</v>
      </c>
      <c r="G273" s="35" t="str">
        <f aca="false">IF(MONTH(E273)&lt;=3,"Q1","Q2")</f>
        <v>Q2</v>
      </c>
      <c r="H273" s="24" t="s">
        <v>48</v>
      </c>
      <c r="I273" s="24" t="s">
        <v>559</v>
      </c>
      <c r="J273" s="24" t="s">
        <v>137</v>
      </c>
      <c r="K273" s="26" t="n">
        <v>13500</v>
      </c>
      <c r="L273" s="36" t="n">
        <f aca="false">IFERROR(INDEX('Sales Roster &amp; Quotas'!$G$6:$G$20,MATCH($B273,'Sales Roster &amp; Quotas'!$B$6:$B$20,0)),0)</f>
        <v>324000</v>
      </c>
      <c r="M273" s="37" t="n">
        <f aca="false">SUMIFS($K$5:$K$274,$B$5:$B$274,$B273,$G$5:$G$274,$G273,$H$5:$H$274,"New Business")</f>
        <v>575500</v>
      </c>
      <c r="N273" s="38" t="n">
        <f aca="false">IFERROR(M273/L273,0)</f>
        <v>1.77623456790123</v>
      </c>
      <c r="O273" s="37" t="n">
        <f aca="false">MIN(M273,L273)</f>
        <v>324000</v>
      </c>
      <c r="P273" s="37" t="n">
        <f aca="false">MAX(MIN(M273,L273*1.25)-L273,0)</f>
        <v>81000</v>
      </c>
      <c r="Q273" s="37" t="n">
        <f aca="false">MAX(M273-L273*1.25,0)</f>
        <v>170500</v>
      </c>
      <c r="R273" s="36" t="n">
        <f aca="false">O273*'Commission Plan Rules'!$F$6+P273*'Commission Plan Rules'!$F$7+Q273*'Commission Plan Rules'!$F$8</f>
        <v>54480</v>
      </c>
      <c r="S273" s="39" t="n">
        <f aca="false">IF(H273="New Business",IFERROR((K273/M273)*R273,0),IF(H273="Upsell",K273*'Commission Plan Rules'!$F$9,IF(H273="Renewal",K273*'Commission Plan Rules'!$F$10,0)))</f>
        <v>405</v>
      </c>
    </row>
    <row r="274" customFormat="false" ht="15" hidden="false" customHeight="true" outlineLevel="0" collapsed="false">
      <c r="A274" s="27" t="s">
        <v>560</v>
      </c>
      <c r="B274" s="27" t="s">
        <v>85</v>
      </c>
      <c r="C274" s="40" t="str">
        <f aca="false">IFERROR(INDEX('Sales Roster &amp; Quotas'!$C$6:$C$20,MATCH($B274,'Sales Roster &amp; Quotas'!$B$6:$B$20,0)),"")</f>
        <v>Marcus Bennett</v>
      </c>
      <c r="D274" s="40" t="str">
        <f aca="false">IFERROR(INDEX('Sales Roster &amp; Quotas'!$D$6:$D$20,MATCH($B274,'Sales Roster &amp; Quotas'!$B$6:$B$20,0)),"")</f>
        <v>SMB</v>
      </c>
      <c r="E274" s="28" t="n">
        <v>46201</v>
      </c>
      <c r="F274" s="41" t="str">
        <f aca="false">TEXT(E274,"yyyy-mm")</f>
        <v>2026-06</v>
      </c>
      <c r="G274" s="41" t="str">
        <f aca="false">IF(MONTH(E274)&lt;=3,"Q1","Q2")</f>
        <v>Q2</v>
      </c>
      <c r="H274" s="27" t="s">
        <v>40</v>
      </c>
      <c r="I274" s="27" t="s">
        <v>244</v>
      </c>
      <c r="J274" s="27" t="s">
        <v>157</v>
      </c>
      <c r="K274" s="29" t="n">
        <v>65500</v>
      </c>
      <c r="L274" s="42" t="n">
        <f aca="false">IFERROR(INDEX('Sales Roster &amp; Quotas'!$G$6:$G$20,MATCH($B274,'Sales Roster &amp; Quotas'!$B$6:$B$20,0)),0)</f>
        <v>159000</v>
      </c>
      <c r="M274" s="43" t="n">
        <f aca="false">SUMIFS($K$5:$K$274,$B$5:$B$274,$B274,$G$5:$G$274,$G274,$H$5:$H$274,"New Business")</f>
        <v>200000</v>
      </c>
      <c r="N274" s="44" t="n">
        <f aca="false">IFERROR(M274/L274,0)</f>
        <v>1.25786163522013</v>
      </c>
      <c r="O274" s="43" t="n">
        <f aca="false">MIN(M274,L274)</f>
        <v>159000</v>
      </c>
      <c r="P274" s="43" t="n">
        <f aca="false">MAX(MIN(M274,L274*1.25)-L274,0)</f>
        <v>39750</v>
      </c>
      <c r="Q274" s="43" t="n">
        <f aca="false">MAX(M274-L274*1.25,0)</f>
        <v>1250</v>
      </c>
      <c r="R274" s="42" t="n">
        <f aca="false">O274*'Commission Plan Rules'!$F$6+P274*'Commission Plan Rules'!$F$7+Q274*'Commission Plan Rules'!$F$8</f>
        <v>16845</v>
      </c>
      <c r="S274" s="45" t="n">
        <f aca="false">IF(H274="New Business",IFERROR((K274/M274)*R274,0),IF(H274="Upsell",K274*'Commission Plan Rules'!$F$9,IF(H274="Renewal",K274*'Commission Plan Rules'!$F$10,0)))</f>
        <v>5516.7375</v>
      </c>
    </row>
    <row r="275" customFormat="false" ht="15" hidden="false" customHeight="true" outlineLevel="0" collapsed="false">
      <c r="A275" s="46"/>
      <c r="B275" s="46"/>
      <c r="C275" s="46"/>
      <c r="D275" s="46"/>
      <c r="E275" s="46"/>
      <c r="F275" s="46"/>
      <c r="G275" s="46"/>
      <c r="H275" s="46"/>
      <c r="I275" s="47" t="s">
        <v>561</v>
      </c>
      <c r="J275" s="46"/>
      <c r="K275" s="48" t="n">
        <f aca="false">SUM(K5:K274)</f>
        <v>14074500</v>
      </c>
      <c r="L275" s="46"/>
      <c r="M275" s="46"/>
      <c r="N275" s="46"/>
      <c r="O275" s="46"/>
      <c r="P275" s="46"/>
      <c r="Q275" s="46"/>
      <c r="R275" s="46"/>
      <c r="S275" s="48" t="n">
        <f aca="false">SUM(S5:S274)</f>
        <v>916935</v>
      </c>
    </row>
  </sheetData>
  <mergeCells count="1">
    <mergeCell ref="A2:S2"/>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M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6"/>
    <col collapsed="false" customWidth="true" hidden="false" outlineLevel="0" max="3" min="3" style="1" width="12"/>
    <col collapsed="false" customWidth="true" hidden="false" outlineLevel="0" max="4" min="4" style="1" width="9"/>
    <col collapsed="false" customWidth="true" hidden="false" outlineLevel="0" max="5" min="5" style="1" width="8"/>
    <col collapsed="false" customWidth="true" hidden="false" outlineLevel="0" max="6" min="6" style="1" width="13"/>
    <col collapsed="false" customWidth="true" hidden="false" outlineLevel="0" max="7" min="7" style="1" width="12"/>
    <col collapsed="false" customWidth="true" hidden="false" outlineLevel="0" max="8" min="8" style="1" width="13"/>
    <col collapsed="false" customWidth="true" hidden="false" outlineLevel="0" max="9" min="9" style="1" width="15"/>
    <col collapsed="false" customWidth="true" hidden="false" outlineLevel="0" max="10" min="10" style="1" width="13"/>
    <col collapsed="false" customWidth="true" hidden="false" outlineLevel="0" max="11" min="11" style="1" width="11"/>
    <col collapsed="false" customWidth="true" hidden="false" outlineLevel="0" max="12" min="12" style="1" width="15"/>
    <col collapsed="false" customWidth="true" hidden="false" outlineLevel="0" max="13" min="13" style="1" width="10"/>
  </cols>
  <sheetData>
    <row r="1" customFormat="false" ht="17.25" hidden="false" customHeight="true" outlineLevel="0" collapsed="false">
      <c r="A1" s="13" t="s">
        <v>562</v>
      </c>
    </row>
    <row r="2" customFormat="false" ht="15" hidden="false" customHeight="true" outlineLevel="0" collapsed="false">
      <c r="A2" s="33" t="s">
        <v>563</v>
      </c>
      <c r="B2" s="33"/>
      <c r="C2" s="33"/>
      <c r="D2" s="33"/>
      <c r="E2" s="33"/>
      <c r="F2" s="33"/>
      <c r="G2" s="33"/>
      <c r="H2" s="33"/>
      <c r="I2" s="33"/>
      <c r="J2" s="33"/>
      <c r="K2" s="33"/>
      <c r="L2" s="33"/>
    </row>
    <row r="4" customFormat="false" ht="23.25" hidden="false" customHeight="true" outlineLevel="0" collapsed="false">
      <c r="A4" s="14" t="s">
        <v>60</v>
      </c>
      <c r="B4" s="14" t="s">
        <v>61</v>
      </c>
      <c r="C4" s="14" t="s">
        <v>62</v>
      </c>
      <c r="D4" s="14" t="s">
        <v>63</v>
      </c>
      <c r="E4" s="14" t="s">
        <v>122</v>
      </c>
      <c r="F4" s="14" t="s">
        <v>564</v>
      </c>
      <c r="G4" s="14" t="s">
        <v>565</v>
      </c>
      <c r="H4" s="14" t="s">
        <v>566</v>
      </c>
      <c r="I4" s="14" t="s">
        <v>567</v>
      </c>
      <c r="J4" s="14" t="s">
        <v>568</v>
      </c>
      <c r="K4" s="14" t="s">
        <v>129</v>
      </c>
      <c r="L4" s="14" t="s">
        <v>569</v>
      </c>
      <c r="M4" s="14" t="s">
        <v>570</v>
      </c>
    </row>
    <row r="5" customFormat="false" ht="15" hidden="false" customHeight="true" outlineLevel="0" collapsed="false">
      <c r="A5" s="24" t="s">
        <v>67</v>
      </c>
      <c r="B5" s="34" t="str">
        <f aca="false">INDEX('Sales Roster &amp; Quotas'!$C$6:$C$20,MATCH($A5,'Sales Roster &amp; Quotas'!$B$6:$B$20,0))</f>
        <v>Maria Chen</v>
      </c>
      <c r="C5" s="34" t="str">
        <f aca="false">INDEX('Sales Roster &amp; Quotas'!$D$6:$D$20,MATCH($A5,'Sales Roster &amp; Quotas'!$B$6:$B$20,0))</f>
        <v>SMB</v>
      </c>
      <c r="D5" s="34" t="str">
        <f aca="false">INDEX('Sales Roster &amp; Quotas'!$E$6:$E$20,MATCH($A5,'Sales Roster &amp; Quotas'!$B$6:$B$20,0))</f>
        <v>West</v>
      </c>
      <c r="E5" s="24" t="s">
        <v>571</v>
      </c>
      <c r="F5" s="36" t="n">
        <f aca="false">SUMIFS('Bookings Detail'!$K$5:$K$274,'Bookings Detail'!$B$5:$B$274,$A5,'Bookings Detail'!$G$5:$G$274,$E5,'Bookings Detail'!$H$5:$H$274,"New Business")</f>
        <v>142000</v>
      </c>
      <c r="G5" s="36" t="n">
        <f aca="false">SUMIFS('Bookings Detail'!$K$5:$K$274,'Bookings Detail'!$B$5:$B$274,$A5,'Bookings Detail'!$G$5:$G$274,$E5,'Bookings Detail'!$H$5:$H$274,"Upsell")</f>
        <v>53500</v>
      </c>
      <c r="H5" s="36" t="n">
        <f aca="false">SUMIFS('Bookings Detail'!$K$5:$K$274,'Bookings Detail'!$B$5:$B$274,$A5,'Bookings Detail'!$G$5:$G$274,$E5,'Bookings Detail'!$H$5:$H$274,"Renewal")</f>
        <v>74000</v>
      </c>
      <c r="I5" s="37" t="n">
        <f aca="false">F5+G5+H5</f>
        <v>269500</v>
      </c>
      <c r="J5" s="36" t="n">
        <f aca="false">INDEX('Sales Roster &amp; Quotas'!$G$6:$G$20,MATCH($A5,'Sales Roster &amp; Quotas'!$B$6:$B$20,0))</f>
        <v>160000</v>
      </c>
      <c r="K5" s="38" t="n">
        <f aca="false">IFERROR(F5/J5,0)</f>
        <v>0.8875</v>
      </c>
      <c r="L5" s="49" t="n">
        <f aca="false">SUMIFS('Bookings Detail'!$S$5:$S$274,'Bookings Detail'!$B$5:$B$274,$A5,'Bookings Detail'!$G$5:$G$274,$E5)</f>
        <v>16790</v>
      </c>
      <c r="M5" s="50" t="n">
        <f aca="false">SUMPRODUCT((('Bookings Detail'!$B$5:$B$274=$A5))*(('Bookings Detail'!$G$5:$G$274=$E5)))</f>
        <v>13</v>
      </c>
    </row>
    <row r="6" customFormat="false" ht="15" hidden="false" customHeight="true" outlineLevel="0" collapsed="false">
      <c r="A6" s="27" t="s">
        <v>67</v>
      </c>
      <c r="B6" s="40" t="str">
        <f aca="false">INDEX('Sales Roster &amp; Quotas'!$C$6:$C$20,MATCH($A6,'Sales Roster &amp; Quotas'!$B$6:$B$20,0))</f>
        <v>Maria Chen</v>
      </c>
      <c r="C6" s="40" t="str">
        <f aca="false">INDEX('Sales Roster &amp; Quotas'!$D$6:$D$20,MATCH($A6,'Sales Roster &amp; Quotas'!$B$6:$B$20,0))</f>
        <v>SMB</v>
      </c>
      <c r="D6" s="40" t="str">
        <f aca="false">INDEX('Sales Roster &amp; Quotas'!$E$6:$E$20,MATCH($A6,'Sales Roster &amp; Quotas'!$B$6:$B$20,0))</f>
        <v>West</v>
      </c>
      <c r="E6" s="27" t="s">
        <v>572</v>
      </c>
      <c r="F6" s="42" t="n">
        <f aca="false">SUMIFS('Bookings Detail'!$K$5:$K$274,'Bookings Detail'!$B$5:$B$274,$A6,'Bookings Detail'!$G$5:$G$274,$E6,'Bookings Detail'!$H$5:$H$274,"New Business")</f>
        <v>113500</v>
      </c>
      <c r="G6" s="42" t="n">
        <f aca="false">SUMIFS('Bookings Detail'!$K$5:$K$274,'Bookings Detail'!$B$5:$B$274,$A6,'Bookings Detail'!$G$5:$G$274,$E6,'Bookings Detail'!$H$5:$H$274,"Upsell")</f>
        <v>84000</v>
      </c>
      <c r="H6" s="42" t="n">
        <f aca="false">SUMIFS('Bookings Detail'!$K$5:$K$274,'Bookings Detail'!$B$5:$B$274,$A6,'Bookings Detail'!$G$5:$G$274,$E6,'Bookings Detail'!$H$5:$H$274,"Renewal")</f>
        <v>79500</v>
      </c>
      <c r="I6" s="43" t="n">
        <f aca="false">F6+G6+H6</f>
        <v>277000</v>
      </c>
      <c r="J6" s="42" t="n">
        <f aca="false">INDEX('Sales Roster &amp; Quotas'!$G$6:$G$20,MATCH($A6,'Sales Roster &amp; Quotas'!$B$6:$B$20,0))</f>
        <v>160000</v>
      </c>
      <c r="K6" s="44" t="n">
        <f aca="false">IFERROR(F6/J6,0)</f>
        <v>0.709375</v>
      </c>
      <c r="L6" s="51" t="n">
        <f aca="false">SUMIFS('Bookings Detail'!$S$5:$S$274,'Bookings Detail'!$B$5:$B$274,$A6,'Bookings Detail'!$G$5:$G$274,$E6)</f>
        <v>16505</v>
      </c>
      <c r="M6" s="52" t="n">
        <f aca="false">SUMPRODUCT((('Bookings Detail'!$B$5:$B$274=$A6))*(('Bookings Detail'!$G$5:$G$274=$E6)))</f>
        <v>11</v>
      </c>
    </row>
    <row r="7" customFormat="false" ht="15" hidden="false" customHeight="true" outlineLevel="0" collapsed="false">
      <c r="A7" s="24" t="s">
        <v>72</v>
      </c>
      <c r="B7" s="34" t="str">
        <f aca="false">INDEX('Sales Roster &amp; Quotas'!$C$6:$C$20,MATCH($A7,'Sales Roster &amp; Quotas'!$B$6:$B$20,0))</f>
        <v>James Okafor</v>
      </c>
      <c r="C7" s="34" t="str">
        <f aca="false">INDEX('Sales Roster &amp; Quotas'!$D$6:$D$20,MATCH($A7,'Sales Roster &amp; Quotas'!$B$6:$B$20,0))</f>
        <v>SMB</v>
      </c>
      <c r="D7" s="34" t="str">
        <f aca="false">INDEX('Sales Roster &amp; Quotas'!$E$6:$E$20,MATCH($A7,'Sales Roster &amp; Quotas'!$B$6:$B$20,0))</f>
        <v>West</v>
      </c>
      <c r="E7" s="24" t="s">
        <v>571</v>
      </c>
      <c r="F7" s="36" t="n">
        <f aca="false">SUMIFS('Bookings Detail'!$K$5:$K$274,'Bookings Detail'!$B$5:$B$274,$A7,'Bookings Detail'!$G$5:$G$274,$E7,'Bookings Detail'!$H$5:$H$274,"New Business")</f>
        <v>170500</v>
      </c>
      <c r="G7" s="36" t="n">
        <f aca="false">SUMIFS('Bookings Detail'!$K$5:$K$274,'Bookings Detail'!$B$5:$B$274,$A7,'Bookings Detail'!$G$5:$G$274,$E7,'Bookings Detail'!$H$5:$H$274,"Upsell")</f>
        <v>4500</v>
      </c>
      <c r="H7" s="36" t="n">
        <f aca="false">SUMIFS('Bookings Detail'!$K$5:$K$274,'Bookings Detail'!$B$5:$B$274,$A7,'Bookings Detail'!$G$5:$G$274,$E7,'Bookings Detail'!$H$5:$H$274,"Renewal")</f>
        <v>10000</v>
      </c>
      <c r="I7" s="37" t="n">
        <f aca="false">F7+G7+H7</f>
        <v>185000</v>
      </c>
      <c r="J7" s="36" t="n">
        <f aca="false">INDEX('Sales Roster &amp; Quotas'!$G$6:$G$20,MATCH($A7,'Sales Roster &amp; Quotas'!$B$6:$B$20,0))</f>
        <v>135000</v>
      </c>
      <c r="K7" s="38" t="n">
        <f aca="false">IFERROR(F7/J7,0)</f>
        <v>1.26296296296296</v>
      </c>
      <c r="L7" s="49" t="n">
        <f aca="false">SUMIFS('Bookings Detail'!$S$5:$S$274,'Bookings Detail'!$B$5:$B$274,$A7,'Bookings Detail'!$G$5:$G$274,$E7)</f>
        <v>14955</v>
      </c>
      <c r="M7" s="50" t="n">
        <f aca="false">SUMPRODUCT((('Bookings Detail'!$B$5:$B$274=$A7))*(('Bookings Detail'!$G$5:$G$274=$E7)))</f>
        <v>9</v>
      </c>
    </row>
    <row r="8" customFormat="false" ht="15" hidden="false" customHeight="true" outlineLevel="0" collapsed="false">
      <c r="A8" s="27" t="s">
        <v>72</v>
      </c>
      <c r="B8" s="40" t="str">
        <f aca="false">INDEX('Sales Roster &amp; Quotas'!$C$6:$C$20,MATCH($A8,'Sales Roster &amp; Quotas'!$B$6:$B$20,0))</f>
        <v>James Okafor</v>
      </c>
      <c r="C8" s="40" t="str">
        <f aca="false">INDEX('Sales Roster &amp; Quotas'!$D$6:$D$20,MATCH($A8,'Sales Roster &amp; Quotas'!$B$6:$B$20,0))</f>
        <v>SMB</v>
      </c>
      <c r="D8" s="40" t="str">
        <f aca="false">INDEX('Sales Roster &amp; Quotas'!$E$6:$E$20,MATCH($A8,'Sales Roster &amp; Quotas'!$B$6:$B$20,0))</f>
        <v>West</v>
      </c>
      <c r="E8" s="27" t="s">
        <v>572</v>
      </c>
      <c r="F8" s="42" t="n">
        <f aca="false">SUMIFS('Bookings Detail'!$K$5:$K$274,'Bookings Detail'!$B$5:$B$274,$A8,'Bookings Detail'!$G$5:$G$274,$E8,'Bookings Detail'!$H$5:$H$274,"New Business")</f>
        <v>144000</v>
      </c>
      <c r="G8" s="42" t="n">
        <f aca="false">SUMIFS('Bookings Detail'!$K$5:$K$274,'Bookings Detail'!$B$5:$B$274,$A8,'Bookings Detail'!$G$5:$G$274,$E8,'Bookings Detail'!$H$5:$H$274,"Upsell")</f>
        <v>0</v>
      </c>
      <c r="H8" s="42" t="n">
        <f aca="false">SUMIFS('Bookings Detail'!$K$5:$K$274,'Bookings Detail'!$B$5:$B$274,$A8,'Bookings Detail'!$G$5:$G$274,$E8,'Bookings Detail'!$H$5:$H$274,"Renewal")</f>
        <v>13500</v>
      </c>
      <c r="I8" s="43" t="n">
        <f aca="false">F8+G8+H8</f>
        <v>157500</v>
      </c>
      <c r="J8" s="42" t="n">
        <f aca="false">INDEX('Sales Roster &amp; Quotas'!$G$6:$G$20,MATCH($A8,'Sales Roster &amp; Quotas'!$B$6:$B$20,0))</f>
        <v>135000</v>
      </c>
      <c r="K8" s="44" t="n">
        <f aca="false">IFERROR(F8/J8,0)</f>
        <v>1.06666666666667</v>
      </c>
      <c r="L8" s="51" t="n">
        <f aca="false">SUMIFS('Bookings Detail'!$S$5:$S$274,'Bookings Detail'!$B$5:$B$274,$A8,'Bookings Detail'!$G$5:$G$274,$E8)</f>
        <v>12105</v>
      </c>
      <c r="M8" s="52" t="n">
        <f aca="false">SUMPRODUCT((('Bookings Detail'!$B$5:$B$274=$A8))*(('Bookings Detail'!$G$5:$G$274=$E8)))</f>
        <v>8</v>
      </c>
    </row>
    <row r="9" customFormat="false" ht="15" hidden="false" customHeight="true" outlineLevel="0" collapsed="false">
      <c r="A9" s="24" t="s">
        <v>75</v>
      </c>
      <c r="B9" s="34" t="str">
        <f aca="false">INDEX('Sales Roster &amp; Quotas'!$C$6:$C$20,MATCH($A9,'Sales Roster &amp; Quotas'!$B$6:$B$20,0))</f>
        <v>Priya Patel</v>
      </c>
      <c r="C9" s="34" t="str">
        <f aca="false">INDEX('Sales Roster &amp; Quotas'!$D$6:$D$20,MATCH($A9,'Sales Roster &amp; Quotas'!$B$6:$B$20,0))</f>
        <v>SMB</v>
      </c>
      <c r="D9" s="34" t="str">
        <f aca="false">INDEX('Sales Roster &amp; Quotas'!$E$6:$E$20,MATCH($A9,'Sales Roster &amp; Quotas'!$B$6:$B$20,0))</f>
        <v>East</v>
      </c>
      <c r="E9" s="24" t="s">
        <v>571</v>
      </c>
      <c r="F9" s="36" t="n">
        <f aca="false">SUMIFS('Bookings Detail'!$K$5:$K$274,'Bookings Detail'!$B$5:$B$274,$A9,'Bookings Detail'!$G$5:$G$274,$E9,'Bookings Detail'!$H$5:$H$274,"New Business")</f>
        <v>118500</v>
      </c>
      <c r="G9" s="36" t="n">
        <f aca="false">SUMIFS('Bookings Detail'!$K$5:$K$274,'Bookings Detail'!$B$5:$B$274,$A9,'Bookings Detail'!$G$5:$G$274,$E9,'Bookings Detail'!$H$5:$H$274,"Upsell")</f>
        <v>36000</v>
      </c>
      <c r="H9" s="36" t="n">
        <f aca="false">SUMIFS('Bookings Detail'!$K$5:$K$274,'Bookings Detail'!$B$5:$B$274,$A9,'Bookings Detail'!$G$5:$G$274,$E9,'Bookings Detail'!$H$5:$H$274,"Renewal")</f>
        <v>79500</v>
      </c>
      <c r="I9" s="37" t="n">
        <f aca="false">F9+G9+H9</f>
        <v>234000</v>
      </c>
      <c r="J9" s="36" t="n">
        <f aca="false">INDEX('Sales Roster &amp; Quotas'!$G$6:$G$20,MATCH($A9,'Sales Roster &amp; Quotas'!$B$6:$B$20,0))</f>
        <v>137000</v>
      </c>
      <c r="K9" s="38" t="n">
        <f aca="false">IFERROR(F9/J9,0)</f>
        <v>0.864963503649635</v>
      </c>
      <c r="L9" s="49" t="n">
        <f aca="false">SUMIFS('Bookings Detail'!$S$5:$S$274,'Bookings Detail'!$B$5:$B$274,$A9,'Bookings Detail'!$G$5:$G$274,$E9)</f>
        <v>14025</v>
      </c>
      <c r="M9" s="50" t="n">
        <f aca="false">SUMPRODUCT((('Bookings Detail'!$B$5:$B$274=$A9))*(('Bookings Detail'!$G$5:$G$274=$E9)))</f>
        <v>11</v>
      </c>
    </row>
    <row r="10" customFormat="false" ht="15" hidden="false" customHeight="true" outlineLevel="0" collapsed="false">
      <c r="A10" s="27" t="s">
        <v>75</v>
      </c>
      <c r="B10" s="40" t="str">
        <f aca="false">INDEX('Sales Roster &amp; Quotas'!$C$6:$C$20,MATCH($A10,'Sales Roster &amp; Quotas'!$B$6:$B$20,0))</f>
        <v>Priya Patel</v>
      </c>
      <c r="C10" s="40" t="str">
        <f aca="false">INDEX('Sales Roster &amp; Quotas'!$D$6:$D$20,MATCH($A10,'Sales Roster &amp; Quotas'!$B$6:$B$20,0))</f>
        <v>SMB</v>
      </c>
      <c r="D10" s="40" t="str">
        <f aca="false">INDEX('Sales Roster &amp; Quotas'!$E$6:$E$20,MATCH($A10,'Sales Roster &amp; Quotas'!$B$6:$B$20,0))</f>
        <v>East</v>
      </c>
      <c r="E10" s="27" t="s">
        <v>572</v>
      </c>
      <c r="F10" s="42" t="n">
        <f aca="false">SUMIFS('Bookings Detail'!$K$5:$K$274,'Bookings Detail'!$B$5:$B$274,$A10,'Bookings Detail'!$G$5:$G$274,$E10,'Bookings Detail'!$H$5:$H$274,"New Business")</f>
        <v>119000</v>
      </c>
      <c r="G10" s="42" t="n">
        <f aca="false">SUMIFS('Bookings Detail'!$K$5:$K$274,'Bookings Detail'!$B$5:$B$274,$A10,'Bookings Detail'!$G$5:$G$274,$E10,'Bookings Detail'!$H$5:$H$274,"Upsell")</f>
        <v>54500</v>
      </c>
      <c r="H10" s="42" t="n">
        <f aca="false">SUMIFS('Bookings Detail'!$K$5:$K$274,'Bookings Detail'!$B$5:$B$274,$A10,'Bookings Detail'!$G$5:$G$274,$E10,'Bookings Detail'!$H$5:$H$274,"Renewal")</f>
        <v>92500</v>
      </c>
      <c r="I10" s="43" t="n">
        <f aca="false">F10+G10+H10</f>
        <v>266000</v>
      </c>
      <c r="J10" s="42" t="n">
        <f aca="false">INDEX('Sales Roster &amp; Quotas'!$G$6:$G$20,MATCH($A10,'Sales Roster &amp; Quotas'!$B$6:$B$20,0))</f>
        <v>137000</v>
      </c>
      <c r="K10" s="44" t="n">
        <f aca="false">IFERROR(F10/J10,0)</f>
        <v>0.868613138686131</v>
      </c>
      <c r="L10" s="51" t="n">
        <f aca="false">SUMIFS('Bookings Detail'!$S$5:$S$274,'Bookings Detail'!$B$5:$B$274,$A10,'Bookings Detail'!$G$5:$G$274,$E10)</f>
        <v>15565</v>
      </c>
      <c r="M10" s="52" t="n">
        <f aca="false">SUMPRODUCT((('Bookings Detail'!$B$5:$B$274=$A10))*(('Bookings Detail'!$G$5:$G$274=$E10)))</f>
        <v>11</v>
      </c>
    </row>
    <row r="11" customFormat="false" ht="15" hidden="false" customHeight="true" outlineLevel="0" collapsed="false">
      <c r="A11" s="24" t="s">
        <v>79</v>
      </c>
      <c r="B11" s="34" t="str">
        <f aca="false">INDEX('Sales Roster &amp; Quotas'!$C$6:$C$20,MATCH($A11,'Sales Roster &amp; Quotas'!$B$6:$B$20,0))</f>
        <v>David Nguyen</v>
      </c>
      <c r="C11" s="34" t="str">
        <f aca="false">INDEX('Sales Roster &amp; Quotas'!$D$6:$D$20,MATCH($A11,'Sales Roster &amp; Quotas'!$B$6:$B$20,0))</f>
        <v>SMB</v>
      </c>
      <c r="D11" s="34" t="str">
        <f aca="false">INDEX('Sales Roster &amp; Quotas'!$E$6:$E$20,MATCH($A11,'Sales Roster &amp; Quotas'!$B$6:$B$20,0))</f>
        <v>East</v>
      </c>
      <c r="E11" s="24" t="s">
        <v>571</v>
      </c>
      <c r="F11" s="36" t="n">
        <f aca="false">SUMIFS('Bookings Detail'!$K$5:$K$274,'Bookings Detail'!$B$5:$B$274,$A11,'Bookings Detail'!$G$5:$G$274,$E11,'Bookings Detail'!$H$5:$H$274,"New Business")</f>
        <v>196500</v>
      </c>
      <c r="G11" s="36" t="n">
        <f aca="false">SUMIFS('Bookings Detail'!$K$5:$K$274,'Bookings Detail'!$B$5:$B$274,$A11,'Bookings Detail'!$G$5:$G$274,$E11,'Bookings Detail'!$H$5:$H$274,"Upsell")</f>
        <v>37000</v>
      </c>
      <c r="H11" s="36" t="n">
        <f aca="false">SUMIFS('Bookings Detail'!$K$5:$K$274,'Bookings Detail'!$B$5:$B$274,$A11,'Bookings Detail'!$G$5:$G$274,$E11,'Bookings Detail'!$H$5:$H$274,"Renewal")</f>
        <v>38500</v>
      </c>
      <c r="I11" s="37" t="n">
        <f aca="false">F11+G11+H11</f>
        <v>272000</v>
      </c>
      <c r="J11" s="36" t="n">
        <f aca="false">INDEX('Sales Roster &amp; Quotas'!$G$6:$G$20,MATCH($A11,'Sales Roster &amp; Quotas'!$B$6:$B$20,0))</f>
        <v>155000</v>
      </c>
      <c r="K11" s="38" t="n">
        <f aca="false">IFERROR(F11/J11,0)</f>
        <v>1.26774193548387</v>
      </c>
      <c r="L11" s="49" t="n">
        <f aca="false">SUMIFS('Bookings Detail'!$S$5:$S$274,'Bookings Detail'!$B$5:$B$274,$A11,'Bookings Detail'!$G$5:$G$274,$E11)</f>
        <v>19980</v>
      </c>
      <c r="M11" s="50" t="n">
        <f aca="false">SUMPRODUCT((('Bookings Detail'!$B$5:$B$274=$A11))*(('Bookings Detail'!$G$5:$G$274=$E11)))</f>
        <v>11</v>
      </c>
    </row>
    <row r="12" customFormat="false" ht="15" hidden="false" customHeight="true" outlineLevel="0" collapsed="false">
      <c r="A12" s="27" t="s">
        <v>79</v>
      </c>
      <c r="B12" s="40" t="str">
        <f aca="false">INDEX('Sales Roster &amp; Quotas'!$C$6:$C$20,MATCH($A12,'Sales Roster &amp; Quotas'!$B$6:$B$20,0))</f>
        <v>David Nguyen</v>
      </c>
      <c r="C12" s="40" t="str">
        <f aca="false">INDEX('Sales Roster &amp; Quotas'!$D$6:$D$20,MATCH($A12,'Sales Roster &amp; Quotas'!$B$6:$B$20,0))</f>
        <v>SMB</v>
      </c>
      <c r="D12" s="40" t="str">
        <f aca="false">INDEX('Sales Roster &amp; Quotas'!$E$6:$E$20,MATCH($A12,'Sales Roster &amp; Quotas'!$B$6:$B$20,0))</f>
        <v>East</v>
      </c>
      <c r="E12" s="27" t="s">
        <v>572</v>
      </c>
      <c r="F12" s="42" t="n">
        <f aca="false">SUMIFS('Bookings Detail'!$K$5:$K$274,'Bookings Detail'!$B$5:$B$274,$A12,'Bookings Detail'!$G$5:$G$274,$E12,'Bookings Detail'!$H$5:$H$274,"New Business")</f>
        <v>26000</v>
      </c>
      <c r="G12" s="42" t="n">
        <f aca="false">SUMIFS('Bookings Detail'!$K$5:$K$274,'Bookings Detail'!$B$5:$B$274,$A12,'Bookings Detail'!$G$5:$G$274,$E12,'Bookings Detail'!$H$5:$H$274,"Upsell")</f>
        <v>6500</v>
      </c>
      <c r="H12" s="42" t="n">
        <f aca="false">SUMIFS('Bookings Detail'!$K$5:$K$274,'Bookings Detail'!$B$5:$B$274,$A12,'Bookings Detail'!$G$5:$G$274,$E12,'Bookings Detail'!$H$5:$H$274,"Renewal")</f>
        <v>171500</v>
      </c>
      <c r="I12" s="43" t="n">
        <f aca="false">F12+G12+H12</f>
        <v>204000</v>
      </c>
      <c r="J12" s="42" t="n">
        <f aca="false">INDEX('Sales Roster &amp; Quotas'!$G$6:$G$20,MATCH($A12,'Sales Roster &amp; Quotas'!$B$6:$B$20,0))</f>
        <v>155000</v>
      </c>
      <c r="K12" s="44" t="n">
        <f aca="false">IFERROR(F12/J12,0)</f>
        <v>0.167741935483871</v>
      </c>
      <c r="L12" s="51" t="n">
        <f aca="false">SUMIFS('Bookings Detail'!$S$5:$S$274,'Bookings Detail'!$B$5:$B$274,$A12,'Bookings Detail'!$G$5:$G$274,$E12)</f>
        <v>7615</v>
      </c>
      <c r="M12" s="52" t="n">
        <f aca="false">SUMPRODUCT((('Bookings Detail'!$B$5:$B$274=$A12))*(('Bookings Detail'!$G$5:$G$274=$E12)))</f>
        <v>8</v>
      </c>
    </row>
    <row r="13" customFormat="false" ht="15" hidden="false" customHeight="true" outlineLevel="0" collapsed="false">
      <c r="A13" s="24" t="s">
        <v>82</v>
      </c>
      <c r="B13" s="34" t="str">
        <f aca="false">INDEX('Sales Roster &amp; Quotas'!$C$6:$C$20,MATCH($A13,'Sales Roster &amp; Quotas'!$B$6:$B$20,0))</f>
        <v>Sofia Rossi</v>
      </c>
      <c r="C13" s="34" t="str">
        <f aca="false">INDEX('Sales Roster &amp; Quotas'!$D$6:$D$20,MATCH($A13,'Sales Roster &amp; Quotas'!$B$6:$B$20,0))</f>
        <v>SMB</v>
      </c>
      <c r="D13" s="34" t="str">
        <f aca="false">INDEX('Sales Roster &amp; Quotas'!$E$6:$E$20,MATCH($A13,'Sales Roster &amp; Quotas'!$B$6:$B$20,0))</f>
        <v>West</v>
      </c>
      <c r="E13" s="24" t="s">
        <v>571</v>
      </c>
      <c r="F13" s="36" t="n">
        <f aca="false">SUMIFS('Bookings Detail'!$K$5:$K$274,'Bookings Detail'!$B$5:$B$274,$A13,'Bookings Detail'!$G$5:$G$274,$E13,'Bookings Detail'!$H$5:$H$274,"New Business")</f>
        <v>153500</v>
      </c>
      <c r="G13" s="36" t="n">
        <f aca="false">SUMIFS('Bookings Detail'!$K$5:$K$274,'Bookings Detail'!$B$5:$B$274,$A13,'Bookings Detail'!$G$5:$G$274,$E13,'Bookings Detail'!$H$5:$H$274,"Upsell")</f>
        <v>37500</v>
      </c>
      <c r="H13" s="36" t="n">
        <f aca="false">SUMIFS('Bookings Detail'!$K$5:$K$274,'Bookings Detail'!$B$5:$B$274,$A13,'Bookings Detail'!$G$5:$G$274,$E13,'Bookings Detail'!$H$5:$H$274,"Renewal")</f>
        <v>86000</v>
      </c>
      <c r="I13" s="37" t="n">
        <f aca="false">F13+G13+H13</f>
        <v>277000</v>
      </c>
      <c r="J13" s="36" t="n">
        <f aca="false">INDEX('Sales Roster &amp; Quotas'!$G$6:$G$20,MATCH($A13,'Sales Roster &amp; Quotas'!$B$6:$B$20,0))</f>
        <v>152000</v>
      </c>
      <c r="K13" s="38" t="n">
        <f aca="false">IFERROR(F13/J13,0)</f>
        <v>1.00986842105263</v>
      </c>
      <c r="L13" s="49" t="n">
        <f aca="false">SUMIFS('Bookings Detail'!$S$5:$S$274,'Bookings Detail'!$B$5:$B$274,$A13,'Bookings Detail'!$G$5:$G$274,$E13)</f>
        <v>17140</v>
      </c>
      <c r="M13" s="50" t="n">
        <f aca="false">SUMPRODUCT((('Bookings Detail'!$B$5:$B$274=$A13))*(('Bookings Detail'!$G$5:$G$274=$E13)))</f>
        <v>9</v>
      </c>
    </row>
    <row r="14" customFormat="false" ht="15" hidden="false" customHeight="true" outlineLevel="0" collapsed="false">
      <c r="A14" s="27" t="s">
        <v>82</v>
      </c>
      <c r="B14" s="40" t="str">
        <f aca="false">INDEX('Sales Roster &amp; Quotas'!$C$6:$C$20,MATCH($A14,'Sales Roster &amp; Quotas'!$B$6:$B$20,0))</f>
        <v>Sofia Rossi</v>
      </c>
      <c r="C14" s="40" t="str">
        <f aca="false">INDEX('Sales Roster &amp; Quotas'!$D$6:$D$20,MATCH($A14,'Sales Roster &amp; Quotas'!$B$6:$B$20,0))</f>
        <v>SMB</v>
      </c>
      <c r="D14" s="40" t="str">
        <f aca="false">INDEX('Sales Roster &amp; Quotas'!$E$6:$E$20,MATCH($A14,'Sales Roster &amp; Quotas'!$B$6:$B$20,0))</f>
        <v>West</v>
      </c>
      <c r="E14" s="27" t="s">
        <v>572</v>
      </c>
      <c r="F14" s="42" t="n">
        <f aca="false">SUMIFS('Bookings Detail'!$K$5:$K$274,'Bookings Detail'!$B$5:$B$274,$A14,'Bookings Detail'!$G$5:$G$274,$E14,'Bookings Detail'!$H$5:$H$274,"New Business")</f>
        <v>156500</v>
      </c>
      <c r="G14" s="42" t="n">
        <f aca="false">SUMIFS('Bookings Detail'!$K$5:$K$274,'Bookings Detail'!$B$5:$B$274,$A14,'Bookings Detail'!$G$5:$G$274,$E14,'Bookings Detail'!$H$5:$H$274,"Upsell")</f>
        <v>0</v>
      </c>
      <c r="H14" s="42" t="n">
        <f aca="false">SUMIFS('Bookings Detail'!$K$5:$K$274,'Bookings Detail'!$B$5:$B$274,$A14,'Bookings Detail'!$G$5:$G$274,$E14,'Bookings Detail'!$H$5:$H$274,"Renewal")</f>
        <v>87500</v>
      </c>
      <c r="I14" s="43" t="n">
        <f aca="false">F14+G14+H14</f>
        <v>244000</v>
      </c>
      <c r="J14" s="42" t="n">
        <f aca="false">INDEX('Sales Roster &amp; Quotas'!$G$6:$G$20,MATCH($A14,'Sales Roster &amp; Quotas'!$B$6:$B$20,0))</f>
        <v>152000</v>
      </c>
      <c r="K14" s="44" t="n">
        <f aca="false">IFERROR(F14/J14,0)</f>
        <v>1.02960526315789</v>
      </c>
      <c r="L14" s="51" t="n">
        <f aca="false">SUMIFS('Bookings Detail'!$S$5:$S$274,'Bookings Detail'!$B$5:$B$274,$A14,'Bookings Detail'!$G$5:$G$274,$E14)</f>
        <v>15235</v>
      </c>
      <c r="M14" s="52" t="n">
        <f aca="false">SUMPRODUCT((('Bookings Detail'!$B$5:$B$274=$A14))*(('Bookings Detail'!$G$5:$G$274=$E14)))</f>
        <v>10</v>
      </c>
    </row>
    <row r="15" customFormat="false" ht="15" hidden="false" customHeight="true" outlineLevel="0" collapsed="false">
      <c r="A15" s="24" t="s">
        <v>85</v>
      </c>
      <c r="B15" s="34" t="str">
        <f aca="false">INDEX('Sales Roster &amp; Quotas'!$C$6:$C$20,MATCH($A15,'Sales Roster &amp; Quotas'!$B$6:$B$20,0))</f>
        <v>Marcus Bennett</v>
      </c>
      <c r="C15" s="34" t="str">
        <f aca="false">INDEX('Sales Roster &amp; Quotas'!$D$6:$D$20,MATCH($A15,'Sales Roster &amp; Quotas'!$B$6:$B$20,0))</f>
        <v>SMB</v>
      </c>
      <c r="D15" s="34" t="str">
        <f aca="false">INDEX('Sales Roster &amp; Quotas'!$E$6:$E$20,MATCH($A15,'Sales Roster &amp; Quotas'!$B$6:$B$20,0))</f>
        <v>West</v>
      </c>
      <c r="E15" s="24" t="s">
        <v>571</v>
      </c>
      <c r="F15" s="36" t="n">
        <f aca="false">SUMIFS('Bookings Detail'!$K$5:$K$274,'Bookings Detail'!$B$5:$B$274,$A15,'Bookings Detail'!$G$5:$G$274,$E15,'Bookings Detail'!$H$5:$H$274,"New Business")</f>
        <v>174500</v>
      </c>
      <c r="G15" s="36" t="n">
        <f aca="false">SUMIFS('Bookings Detail'!$K$5:$K$274,'Bookings Detail'!$B$5:$B$274,$A15,'Bookings Detail'!$G$5:$G$274,$E15,'Bookings Detail'!$H$5:$H$274,"Upsell")</f>
        <v>64500</v>
      </c>
      <c r="H15" s="36" t="n">
        <f aca="false">SUMIFS('Bookings Detail'!$K$5:$K$274,'Bookings Detail'!$B$5:$B$274,$A15,'Bookings Detail'!$G$5:$G$274,$E15,'Bookings Detail'!$H$5:$H$274,"Renewal")</f>
        <v>97500</v>
      </c>
      <c r="I15" s="37" t="n">
        <f aca="false">F15+G15+H15</f>
        <v>336500</v>
      </c>
      <c r="J15" s="36" t="n">
        <f aca="false">INDEX('Sales Roster &amp; Quotas'!$G$6:$G$20,MATCH($A15,'Sales Roster &amp; Quotas'!$B$6:$B$20,0))</f>
        <v>159000</v>
      </c>
      <c r="K15" s="38" t="n">
        <f aca="false">IFERROR(F15/J15,0)</f>
        <v>1.09748427672956</v>
      </c>
      <c r="L15" s="49" t="n">
        <f aca="false">SUMIFS('Bookings Detail'!$S$5:$S$274,'Bookings Detail'!$B$5:$B$274,$A15,'Bookings Detail'!$G$5:$G$274,$E15)</f>
        <v>21065</v>
      </c>
      <c r="M15" s="50" t="n">
        <f aca="false">SUMPRODUCT((('Bookings Detail'!$B$5:$B$274=$A15))*(('Bookings Detail'!$G$5:$G$274=$E15)))</f>
        <v>12</v>
      </c>
    </row>
    <row r="16" customFormat="false" ht="15" hidden="false" customHeight="true" outlineLevel="0" collapsed="false">
      <c r="A16" s="27" t="s">
        <v>85</v>
      </c>
      <c r="B16" s="40" t="str">
        <f aca="false">INDEX('Sales Roster &amp; Quotas'!$C$6:$C$20,MATCH($A16,'Sales Roster &amp; Quotas'!$B$6:$B$20,0))</f>
        <v>Marcus Bennett</v>
      </c>
      <c r="C16" s="40" t="str">
        <f aca="false">INDEX('Sales Roster &amp; Quotas'!$D$6:$D$20,MATCH($A16,'Sales Roster &amp; Quotas'!$B$6:$B$20,0))</f>
        <v>SMB</v>
      </c>
      <c r="D16" s="40" t="str">
        <f aca="false">INDEX('Sales Roster &amp; Quotas'!$E$6:$E$20,MATCH($A16,'Sales Roster &amp; Quotas'!$B$6:$B$20,0))</f>
        <v>West</v>
      </c>
      <c r="E16" s="27" t="s">
        <v>572</v>
      </c>
      <c r="F16" s="42" t="n">
        <f aca="false">SUMIFS('Bookings Detail'!$K$5:$K$274,'Bookings Detail'!$B$5:$B$274,$A16,'Bookings Detail'!$G$5:$G$274,$E16,'Bookings Detail'!$H$5:$H$274,"New Business")</f>
        <v>200000</v>
      </c>
      <c r="G16" s="42" t="n">
        <f aca="false">SUMIFS('Bookings Detail'!$K$5:$K$274,'Bookings Detail'!$B$5:$B$274,$A16,'Bookings Detail'!$G$5:$G$274,$E16,'Bookings Detail'!$H$5:$H$274,"Upsell")</f>
        <v>93500</v>
      </c>
      <c r="H16" s="42" t="n">
        <f aca="false">SUMIFS('Bookings Detail'!$K$5:$K$274,'Bookings Detail'!$B$5:$B$274,$A16,'Bookings Detail'!$G$5:$G$274,$E16,'Bookings Detail'!$H$5:$H$274,"Renewal")</f>
        <v>85000</v>
      </c>
      <c r="I16" s="43" t="n">
        <f aca="false">F16+G16+H16</f>
        <v>378500</v>
      </c>
      <c r="J16" s="42" t="n">
        <f aca="false">INDEX('Sales Roster &amp; Quotas'!$G$6:$G$20,MATCH($A16,'Sales Roster &amp; Quotas'!$B$6:$B$20,0))</f>
        <v>159000</v>
      </c>
      <c r="K16" s="44" t="n">
        <f aca="false">IFERROR(F16/J16,0)</f>
        <v>1.25786163522013</v>
      </c>
      <c r="L16" s="51" t="n">
        <f aca="false">SUMIFS('Bookings Detail'!$S$5:$S$274,'Bookings Detail'!$B$5:$B$274,$A16,'Bookings Detail'!$G$5:$G$274,$E16)</f>
        <v>25005</v>
      </c>
      <c r="M16" s="52" t="n">
        <f aca="false">SUMPRODUCT((('Bookings Detail'!$B$5:$B$274=$A16))*(('Bookings Detail'!$G$5:$G$274=$E16)))</f>
        <v>13</v>
      </c>
    </row>
    <row r="17" customFormat="false" ht="15" hidden="false" customHeight="true" outlineLevel="0" collapsed="false">
      <c r="A17" s="24" t="s">
        <v>88</v>
      </c>
      <c r="B17" s="34" t="str">
        <f aca="false">INDEX('Sales Roster &amp; Quotas'!$C$6:$C$20,MATCH($A17,'Sales Roster &amp; Quotas'!$B$6:$B$20,0))</f>
        <v>Elena Kowalski</v>
      </c>
      <c r="C17" s="34" t="str">
        <f aca="false">INDEX('Sales Roster &amp; Quotas'!$D$6:$D$20,MATCH($A17,'Sales Roster &amp; Quotas'!$B$6:$B$20,0))</f>
        <v>Mid-Market</v>
      </c>
      <c r="D17" s="34" t="str">
        <f aca="false">INDEX('Sales Roster &amp; Quotas'!$E$6:$E$20,MATCH($A17,'Sales Roster &amp; Quotas'!$B$6:$B$20,0))</f>
        <v>East</v>
      </c>
      <c r="E17" s="24" t="s">
        <v>571</v>
      </c>
      <c r="F17" s="36" t="n">
        <f aca="false">SUMIFS('Bookings Detail'!$K$5:$K$274,'Bookings Detail'!$B$5:$B$274,$A17,'Bookings Detail'!$G$5:$G$274,$E17,'Bookings Detail'!$H$5:$H$274,"New Business")</f>
        <v>259000</v>
      </c>
      <c r="G17" s="36" t="n">
        <f aca="false">SUMIFS('Bookings Detail'!$K$5:$K$274,'Bookings Detail'!$B$5:$B$274,$A17,'Bookings Detail'!$G$5:$G$274,$E17,'Bookings Detail'!$H$5:$H$274,"Upsell")</f>
        <v>149000</v>
      </c>
      <c r="H17" s="36" t="n">
        <f aca="false">SUMIFS('Bookings Detail'!$K$5:$K$274,'Bookings Detail'!$B$5:$B$274,$A17,'Bookings Detail'!$G$5:$G$274,$E17,'Bookings Detail'!$H$5:$H$274,"Renewal")</f>
        <v>154000</v>
      </c>
      <c r="I17" s="37" t="n">
        <f aca="false">F17+G17+H17</f>
        <v>562000</v>
      </c>
      <c r="J17" s="36" t="n">
        <f aca="false">INDEX('Sales Roster &amp; Quotas'!$G$6:$G$20,MATCH($A17,'Sales Roster &amp; Quotas'!$B$6:$B$20,0))</f>
        <v>320000</v>
      </c>
      <c r="K17" s="38" t="n">
        <f aca="false">IFERROR(F17/J17,0)</f>
        <v>0.809375</v>
      </c>
      <c r="L17" s="49" t="n">
        <f aca="false">SUMIFS('Bookings Detail'!$S$5:$S$274,'Bookings Detail'!$B$5:$B$274,$A17,'Bookings Detail'!$G$5:$G$274,$E17)</f>
        <v>34280</v>
      </c>
      <c r="M17" s="50" t="n">
        <f aca="false">SUMPRODUCT((('Bookings Detail'!$B$5:$B$274=$A17))*(('Bookings Detail'!$G$5:$G$274=$E17)))</f>
        <v>8</v>
      </c>
    </row>
    <row r="18" customFormat="false" ht="15" hidden="false" customHeight="true" outlineLevel="0" collapsed="false">
      <c r="A18" s="27" t="s">
        <v>88</v>
      </c>
      <c r="B18" s="40" t="str">
        <f aca="false">INDEX('Sales Roster &amp; Quotas'!$C$6:$C$20,MATCH($A18,'Sales Roster &amp; Quotas'!$B$6:$B$20,0))</f>
        <v>Elena Kowalski</v>
      </c>
      <c r="C18" s="40" t="str">
        <f aca="false">INDEX('Sales Roster &amp; Quotas'!$D$6:$D$20,MATCH($A18,'Sales Roster &amp; Quotas'!$B$6:$B$20,0))</f>
        <v>Mid-Market</v>
      </c>
      <c r="D18" s="40" t="str">
        <f aca="false">INDEX('Sales Roster &amp; Quotas'!$E$6:$E$20,MATCH($A18,'Sales Roster &amp; Quotas'!$B$6:$B$20,0))</f>
        <v>East</v>
      </c>
      <c r="E18" s="27" t="s">
        <v>572</v>
      </c>
      <c r="F18" s="42" t="n">
        <f aca="false">SUMIFS('Bookings Detail'!$K$5:$K$274,'Bookings Detail'!$B$5:$B$274,$A18,'Bookings Detail'!$G$5:$G$274,$E18,'Bookings Detail'!$H$5:$H$274,"New Business")</f>
        <v>250500</v>
      </c>
      <c r="G18" s="42" t="n">
        <f aca="false">SUMIFS('Bookings Detail'!$K$5:$K$274,'Bookings Detail'!$B$5:$B$274,$A18,'Bookings Detail'!$G$5:$G$274,$E18,'Bookings Detail'!$H$5:$H$274,"Upsell")</f>
        <v>0</v>
      </c>
      <c r="H18" s="42" t="n">
        <f aca="false">SUMIFS('Bookings Detail'!$K$5:$K$274,'Bookings Detail'!$B$5:$B$274,$A18,'Bookings Detail'!$G$5:$G$274,$E18,'Bookings Detail'!$H$5:$H$274,"Renewal")</f>
        <v>115500</v>
      </c>
      <c r="I18" s="43" t="n">
        <f aca="false">F18+G18+H18</f>
        <v>366000</v>
      </c>
      <c r="J18" s="42" t="n">
        <f aca="false">INDEX('Sales Roster &amp; Quotas'!$G$6:$G$20,MATCH($A18,'Sales Roster &amp; Quotas'!$B$6:$B$20,0))</f>
        <v>320000</v>
      </c>
      <c r="K18" s="44" t="n">
        <f aca="false">IFERROR(F18/J18,0)</f>
        <v>0.7828125</v>
      </c>
      <c r="L18" s="51" t="n">
        <f aca="false">SUMIFS('Bookings Detail'!$S$5:$S$274,'Bookings Detail'!$B$5:$B$274,$A18,'Bookings Detail'!$G$5:$G$274,$E18)</f>
        <v>23505</v>
      </c>
      <c r="M18" s="52" t="n">
        <f aca="false">SUMPRODUCT((('Bookings Detail'!$B$5:$B$274=$A18))*(('Bookings Detail'!$G$5:$G$274=$E18)))</f>
        <v>6</v>
      </c>
    </row>
    <row r="19" customFormat="false" ht="15" hidden="false" customHeight="true" outlineLevel="0" collapsed="false">
      <c r="A19" s="24" t="s">
        <v>92</v>
      </c>
      <c r="B19" s="34" t="str">
        <f aca="false">INDEX('Sales Roster &amp; Quotas'!$C$6:$C$20,MATCH($A19,'Sales Roster &amp; Quotas'!$B$6:$B$20,0))</f>
        <v>Tyler Alvarez</v>
      </c>
      <c r="C19" s="34" t="str">
        <f aca="false">INDEX('Sales Roster &amp; Quotas'!$D$6:$D$20,MATCH($A19,'Sales Roster &amp; Quotas'!$B$6:$B$20,0))</f>
        <v>Mid-Market</v>
      </c>
      <c r="D19" s="34" t="str">
        <f aca="false">INDEX('Sales Roster &amp; Quotas'!$E$6:$E$20,MATCH($A19,'Sales Roster &amp; Quotas'!$B$6:$B$20,0))</f>
        <v>West</v>
      </c>
      <c r="E19" s="24" t="s">
        <v>571</v>
      </c>
      <c r="F19" s="36" t="n">
        <f aca="false">SUMIFS('Bookings Detail'!$K$5:$K$274,'Bookings Detail'!$B$5:$B$274,$A19,'Bookings Detail'!$G$5:$G$274,$E19,'Bookings Detail'!$H$5:$H$274,"New Business")</f>
        <v>260500</v>
      </c>
      <c r="G19" s="36" t="n">
        <f aca="false">SUMIFS('Bookings Detail'!$K$5:$K$274,'Bookings Detail'!$B$5:$B$274,$A19,'Bookings Detail'!$G$5:$G$274,$E19,'Bookings Detail'!$H$5:$H$274,"Upsell")</f>
        <v>73500</v>
      </c>
      <c r="H19" s="36" t="n">
        <f aca="false">SUMIFS('Bookings Detail'!$K$5:$K$274,'Bookings Detail'!$B$5:$B$274,$A19,'Bookings Detail'!$G$5:$G$274,$E19,'Bookings Detail'!$H$5:$H$274,"Renewal")</f>
        <v>80500</v>
      </c>
      <c r="I19" s="37" t="n">
        <f aca="false">F19+G19+H19</f>
        <v>414500</v>
      </c>
      <c r="J19" s="36" t="n">
        <f aca="false">INDEX('Sales Roster &amp; Quotas'!$G$6:$G$20,MATCH($A19,'Sales Roster &amp; Quotas'!$B$6:$B$20,0))</f>
        <v>275000</v>
      </c>
      <c r="K19" s="38" t="n">
        <f aca="false">IFERROR(F19/J19,0)</f>
        <v>0.947272727272727</v>
      </c>
      <c r="L19" s="49" t="n">
        <f aca="false">SUMIFS('Bookings Detail'!$S$5:$S$274,'Bookings Detail'!$B$5:$B$274,$A19,'Bookings Detail'!$G$5:$G$274,$E19)</f>
        <v>27665</v>
      </c>
      <c r="M19" s="50" t="n">
        <f aca="false">SUMPRODUCT((('Bookings Detail'!$B$5:$B$274=$A19))*(('Bookings Detail'!$G$5:$G$274=$E19)))</f>
        <v>8</v>
      </c>
    </row>
    <row r="20" customFormat="false" ht="15" hidden="false" customHeight="true" outlineLevel="0" collapsed="false">
      <c r="A20" s="27" t="s">
        <v>92</v>
      </c>
      <c r="B20" s="40" t="str">
        <f aca="false">INDEX('Sales Roster &amp; Quotas'!$C$6:$C$20,MATCH($A20,'Sales Roster &amp; Quotas'!$B$6:$B$20,0))</f>
        <v>Tyler Alvarez</v>
      </c>
      <c r="C20" s="40" t="str">
        <f aca="false">INDEX('Sales Roster &amp; Quotas'!$D$6:$D$20,MATCH($A20,'Sales Roster &amp; Quotas'!$B$6:$B$20,0))</f>
        <v>Mid-Market</v>
      </c>
      <c r="D20" s="40" t="str">
        <f aca="false">INDEX('Sales Roster &amp; Quotas'!$E$6:$E$20,MATCH($A20,'Sales Roster &amp; Quotas'!$B$6:$B$20,0))</f>
        <v>West</v>
      </c>
      <c r="E20" s="27" t="s">
        <v>572</v>
      </c>
      <c r="F20" s="42" t="n">
        <f aca="false">SUMIFS('Bookings Detail'!$K$5:$K$274,'Bookings Detail'!$B$5:$B$274,$A20,'Bookings Detail'!$G$5:$G$274,$E20,'Bookings Detail'!$H$5:$H$274,"New Business")</f>
        <v>314500</v>
      </c>
      <c r="G20" s="42" t="n">
        <f aca="false">SUMIFS('Bookings Detail'!$K$5:$K$274,'Bookings Detail'!$B$5:$B$274,$A20,'Bookings Detail'!$G$5:$G$274,$E20,'Bookings Detail'!$H$5:$H$274,"Upsell")</f>
        <v>48000</v>
      </c>
      <c r="H20" s="42" t="n">
        <f aca="false">SUMIFS('Bookings Detail'!$K$5:$K$274,'Bookings Detail'!$B$5:$B$274,$A20,'Bookings Detail'!$G$5:$G$274,$E20,'Bookings Detail'!$H$5:$H$274,"Renewal")</f>
        <v>66500</v>
      </c>
      <c r="I20" s="43" t="n">
        <f aca="false">F20+G20+H20</f>
        <v>429000</v>
      </c>
      <c r="J20" s="42" t="n">
        <f aca="false">INDEX('Sales Roster &amp; Quotas'!$G$6:$G$20,MATCH($A20,'Sales Roster &amp; Quotas'!$B$6:$B$20,0))</f>
        <v>275000</v>
      </c>
      <c r="K20" s="44" t="n">
        <f aca="false">IFERROR(F20/J20,0)</f>
        <v>1.14363636363636</v>
      </c>
      <c r="L20" s="51" t="n">
        <f aca="false">SUMIFS('Bookings Detail'!$S$5:$S$274,'Bookings Detail'!$B$5:$B$274,$A20,'Bookings Detail'!$G$5:$G$274,$E20)</f>
        <v>30825</v>
      </c>
      <c r="M20" s="52" t="n">
        <f aca="false">SUMPRODUCT((('Bookings Detail'!$B$5:$B$274=$A20))*(('Bookings Detail'!$G$5:$G$274=$E20)))</f>
        <v>12</v>
      </c>
    </row>
    <row r="21" customFormat="false" ht="15" hidden="false" customHeight="true" outlineLevel="0" collapsed="false">
      <c r="A21" s="24" t="s">
        <v>95</v>
      </c>
      <c r="B21" s="34" t="str">
        <f aca="false">INDEX('Sales Roster &amp; Quotas'!$C$6:$C$20,MATCH($A21,'Sales Roster &amp; Quotas'!$B$6:$B$20,0))</f>
        <v>Aisha Kim</v>
      </c>
      <c r="C21" s="34" t="str">
        <f aca="false">INDEX('Sales Roster &amp; Quotas'!$D$6:$D$20,MATCH($A21,'Sales Roster &amp; Quotas'!$B$6:$B$20,0))</f>
        <v>Mid-Market</v>
      </c>
      <c r="D21" s="34" t="str">
        <f aca="false">INDEX('Sales Roster &amp; Quotas'!$E$6:$E$20,MATCH($A21,'Sales Roster &amp; Quotas'!$B$6:$B$20,0))</f>
        <v>East</v>
      </c>
      <c r="E21" s="24" t="s">
        <v>571</v>
      </c>
      <c r="F21" s="36" t="n">
        <f aca="false">SUMIFS('Bookings Detail'!$K$5:$K$274,'Bookings Detail'!$B$5:$B$274,$A21,'Bookings Detail'!$G$5:$G$274,$E21,'Bookings Detail'!$H$5:$H$274,"New Business")</f>
        <v>266000</v>
      </c>
      <c r="G21" s="36" t="n">
        <f aca="false">SUMIFS('Bookings Detail'!$K$5:$K$274,'Bookings Detail'!$B$5:$B$274,$A21,'Bookings Detail'!$G$5:$G$274,$E21,'Bookings Detail'!$H$5:$H$274,"Upsell")</f>
        <v>58500</v>
      </c>
      <c r="H21" s="36" t="n">
        <f aca="false">SUMIFS('Bookings Detail'!$K$5:$K$274,'Bookings Detail'!$B$5:$B$274,$A21,'Bookings Detail'!$G$5:$G$274,$E21,'Bookings Detail'!$H$5:$H$274,"Renewal")</f>
        <v>138500</v>
      </c>
      <c r="I21" s="37" t="n">
        <f aca="false">F21+G21+H21</f>
        <v>463000</v>
      </c>
      <c r="J21" s="36" t="n">
        <f aca="false">INDEX('Sales Roster &amp; Quotas'!$G$6:$G$20,MATCH($A21,'Sales Roster &amp; Quotas'!$B$6:$B$20,0))</f>
        <v>287000</v>
      </c>
      <c r="K21" s="38" t="n">
        <f aca="false">IFERROR(F21/J21,0)</f>
        <v>0.926829268292683</v>
      </c>
      <c r="L21" s="49" t="n">
        <f aca="false">SUMIFS('Bookings Detail'!$S$5:$S$274,'Bookings Detail'!$B$5:$B$274,$A21,'Bookings Detail'!$G$5:$G$274,$E21)</f>
        <v>28945</v>
      </c>
      <c r="M21" s="50" t="n">
        <f aca="false">SUMPRODUCT((('Bookings Detail'!$B$5:$B$274=$A21))*(('Bookings Detail'!$G$5:$G$274=$E21)))</f>
        <v>10</v>
      </c>
    </row>
    <row r="22" customFormat="false" ht="15" hidden="false" customHeight="true" outlineLevel="0" collapsed="false">
      <c r="A22" s="27" t="s">
        <v>95</v>
      </c>
      <c r="B22" s="40" t="str">
        <f aca="false">INDEX('Sales Roster &amp; Quotas'!$C$6:$C$20,MATCH($A22,'Sales Roster &amp; Quotas'!$B$6:$B$20,0))</f>
        <v>Aisha Kim</v>
      </c>
      <c r="C22" s="40" t="str">
        <f aca="false">INDEX('Sales Roster &amp; Quotas'!$D$6:$D$20,MATCH($A22,'Sales Roster &amp; Quotas'!$B$6:$B$20,0))</f>
        <v>Mid-Market</v>
      </c>
      <c r="D22" s="40" t="str">
        <f aca="false">INDEX('Sales Roster &amp; Quotas'!$E$6:$E$20,MATCH($A22,'Sales Roster &amp; Quotas'!$B$6:$B$20,0))</f>
        <v>East</v>
      </c>
      <c r="E22" s="27" t="s">
        <v>572</v>
      </c>
      <c r="F22" s="42" t="n">
        <f aca="false">SUMIFS('Bookings Detail'!$K$5:$K$274,'Bookings Detail'!$B$5:$B$274,$A22,'Bookings Detail'!$G$5:$G$274,$E22,'Bookings Detail'!$H$5:$H$274,"New Business")</f>
        <v>253000</v>
      </c>
      <c r="G22" s="42" t="n">
        <f aca="false">SUMIFS('Bookings Detail'!$K$5:$K$274,'Bookings Detail'!$B$5:$B$274,$A22,'Bookings Detail'!$G$5:$G$274,$E22,'Bookings Detail'!$H$5:$H$274,"Upsell")</f>
        <v>44500</v>
      </c>
      <c r="H22" s="42" t="n">
        <f aca="false">SUMIFS('Bookings Detail'!$K$5:$K$274,'Bookings Detail'!$B$5:$B$274,$A22,'Bookings Detail'!$G$5:$G$274,$E22,'Bookings Detail'!$H$5:$H$274,"Renewal")</f>
        <v>157500</v>
      </c>
      <c r="I22" s="43" t="n">
        <f aca="false">F22+G22+H22</f>
        <v>455000</v>
      </c>
      <c r="J22" s="42" t="n">
        <f aca="false">INDEX('Sales Roster &amp; Quotas'!$G$6:$G$20,MATCH($A22,'Sales Roster &amp; Quotas'!$B$6:$B$20,0))</f>
        <v>287000</v>
      </c>
      <c r="K22" s="44" t="n">
        <f aca="false">IFERROR(F22/J22,0)</f>
        <v>0.881533101045296</v>
      </c>
      <c r="L22" s="51" t="n">
        <f aca="false">SUMIFS('Bookings Detail'!$S$5:$S$274,'Bookings Detail'!$B$5:$B$274,$A22,'Bookings Detail'!$G$5:$G$274,$E22)</f>
        <v>27635</v>
      </c>
      <c r="M22" s="52" t="n">
        <f aca="false">SUMPRODUCT((('Bookings Detail'!$B$5:$B$274=$A22))*(('Bookings Detail'!$G$5:$G$274=$E22)))</f>
        <v>8</v>
      </c>
    </row>
    <row r="23" customFormat="false" ht="15" hidden="false" customHeight="true" outlineLevel="0" collapsed="false">
      <c r="A23" s="24" t="s">
        <v>97</v>
      </c>
      <c r="B23" s="34" t="str">
        <f aca="false">INDEX('Sales Roster &amp; Quotas'!$C$6:$C$20,MATCH($A23,'Sales Roster &amp; Quotas'!$B$6:$B$20,0))</f>
        <v>Ryan Sullivan</v>
      </c>
      <c r="C23" s="34" t="str">
        <f aca="false">INDEX('Sales Roster &amp; Quotas'!$D$6:$D$20,MATCH($A23,'Sales Roster &amp; Quotas'!$B$6:$B$20,0))</f>
        <v>Mid-Market</v>
      </c>
      <c r="D23" s="34" t="str">
        <f aca="false">INDEX('Sales Roster &amp; Quotas'!$E$6:$E$20,MATCH($A23,'Sales Roster &amp; Quotas'!$B$6:$B$20,0))</f>
        <v>Central</v>
      </c>
      <c r="E23" s="24" t="s">
        <v>571</v>
      </c>
      <c r="F23" s="36" t="n">
        <f aca="false">SUMIFS('Bookings Detail'!$K$5:$K$274,'Bookings Detail'!$B$5:$B$274,$A23,'Bookings Detail'!$G$5:$G$274,$E23,'Bookings Detail'!$H$5:$H$274,"New Business")</f>
        <v>271000</v>
      </c>
      <c r="G23" s="36" t="n">
        <f aca="false">SUMIFS('Bookings Detail'!$K$5:$K$274,'Bookings Detail'!$B$5:$B$274,$A23,'Bookings Detail'!$G$5:$G$274,$E23,'Bookings Detail'!$H$5:$H$274,"Upsell")</f>
        <v>31000</v>
      </c>
      <c r="H23" s="36" t="n">
        <f aca="false">SUMIFS('Bookings Detail'!$K$5:$K$274,'Bookings Detail'!$B$5:$B$274,$A23,'Bookings Detail'!$G$5:$G$274,$E23,'Bookings Detail'!$H$5:$H$274,"Renewal")</f>
        <v>181000</v>
      </c>
      <c r="I23" s="37" t="n">
        <f aca="false">F23+G23+H23</f>
        <v>483000</v>
      </c>
      <c r="J23" s="36" t="n">
        <f aca="false">INDEX('Sales Roster &amp; Quotas'!$G$6:$G$20,MATCH($A23,'Sales Roster &amp; Quotas'!$B$6:$B$20,0))</f>
        <v>273000</v>
      </c>
      <c r="K23" s="38" t="n">
        <f aca="false">IFERROR(F23/J23,0)</f>
        <v>0.992673992673993</v>
      </c>
      <c r="L23" s="49" t="n">
        <f aca="false">SUMIFS('Bookings Detail'!$S$5:$S$274,'Bookings Detail'!$B$5:$B$274,$A23,'Bookings Detail'!$G$5:$G$274,$E23)</f>
        <v>28970</v>
      </c>
      <c r="M23" s="50" t="n">
        <f aca="false">SUMPRODUCT((('Bookings Detail'!$B$5:$B$274=$A23))*(('Bookings Detail'!$G$5:$G$274=$E23)))</f>
        <v>10</v>
      </c>
    </row>
    <row r="24" customFormat="false" ht="15" hidden="false" customHeight="true" outlineLevel="0" collapsed="false">
      <c r="A24" s="27" t="s">
        <v>97</v>
      </c>
      <c r="B24" s="40" t="str">
        <f aca="false">INDEX('Sales Roster &amp; Quotas'!$C$6:$C$20,MATCH($A24,'Sales Roster &amp; Quotas'!$B$6:$B$20,0))</f>
        <v>Ryan Sullivan</v>
      </c>
      <c r="C24" s="40" t="str">
        <f aca="false">INDEX('Sales Roster &amp; Quotas'!$D$6:$D$20,MATCH($A24,'Sales Roster &amp; Quotas'!$B$6:$B$20,0))</f>
        <v>Mid-Market</v>
      </c>
      <c r="D24" s="40" t="str">
        <f aca="false">INDEX('Sales Roster &amp; Quotas'!$E$6:$E$20,MATCH($A24,'Sales Roster &amp; Quotas'!$B$6:$B$20,0))</f>
        <v>Central</v>
      </c>
      <c r="E24" s="27" t="s">
        <v>572</v>
      </c>
      <c r="F24" s="42" t="n">
        <f aca="false">SUMIFS('Bookings Detail'!$K$5:$K$274,'Bookings Detail'!$B$5:$B$274,$A24,'Bookings Detail'!$G$5:$G$274,$E24,'Bookings Detail'!$H$5:$H$274,"New Business")</f>
        <v>307000</v>
      </c>
      <c r="G24" s="42" t="n">
        <f aca="false">SUMIFS('Bookings Detail'!$K$5:$K$274,'Bookings Detail'!$B$5:$B$274,$A24,'Bookings Detail'!$G$5:$G$274,$E24,'Bookings Detail'!$H$5:$H$274,"Upsell")</f>
        <v>49500</v>
      </c>
      <c r="H24" s="42" t="n">
        <f aca="false">SUMIFS('Bookings Detail'!$K$5:$K$274,'Bookings Detail'!$B$5:$B$274,$A24,'Bookings Detail'!$G$5:$G$274,$E24,'Bookings Detail'!$H$5:$H$274,"Renewal")</f>
        <v>180500</v>
      </c>
      <c r="I24" s="43" t="n">
        <f aca="false">F24+G24+H24</f>
        <v>537000</v>
      </c>
      <c r="J24" s="42" t="n">
        <f aca="false">INDEX('Sales Roster &amp; Quotas'!$G$6:$G$20,MATCH($A24,'Sales Roster &amp; Quotas'!$B$6:$B$20,0))</f>
        <v>273000</v>
      </c>
      <c r="K24" s="44" t="n">
        <f aca="false">IFERROR(F24/J24,0)</f>
        <v>1.12454212454212</v>
      </c>
      <c r="L24" s="51" t="n">
        <f aca="false">SUMIFS('Bookings Detail'!$S$5:$S$274,'Bookings Detail'!$B$5:$B$274,$A24,'Bookings Detail'!$G$5:$G$274,$E24)</f>
        <v>33625</v>
      </c>
      <c r="M24" s="52" t="n">
        <f aca="false">SUMPRODUCT((('Bookings Detail'!$B$5:$B$274=$A24))*(('Bookings Detail'!$G$5:$G$274=$E24)))</f>
        <v>5</v>
      </c>
    </row>
    <row r="25" customFormat="false" ht="15" hidden="false" customHeight="true" outlineLevel="0" collapsed="false">
      <c r="A25" s="24" t="s">
        <v>101</v>
      </c>
      <c r="B25" s="34" t="str">
        <f aca="false">INDEX('Sales Roster &amp; Quotas'!$C$6:$C$20,MATCH($A25,'Sales Roster &amp; Quotas'!$B$6:$B$20,0))</f>
        <v>Natalie Reyes</v>
      </c>
      <c r="C25" s="34" t="str">
        <f aca="false">INDEX('Sales Roster &amp; Quotas'!$D$6:$D$20,MATCH($A25,'Sales Roster &amp; Quotas'!$B$6:$B$20,0))</f>
        <v>Mid-Market</v>
      </c>
      <c r="D25" s="34" t="str">
        <f aca="false">INDEX('Sales Roster &amp; Quotas'!$E$6:$E$20,MATCH($A25,'Sales Roster &amp; Quotas'!$B$6:$B$20,0))</f>
        <v>West</v>
      </c>
      <c r="E25" s="24" t="s">
        <v>571</v>
      </c>
      <c r="F25" s="36" t="n">
        <f aca="false">SUMIFS('Bookings Detail'!$K$5:$K$274,'Bookings Detail'!$B$5:$B$274,$A25,'Bookings Detail'!$G$5:$G$274,$E25,'Bookings Detail'!$H$5:$H$274,"New Business")</f>
        <v>267000</v>
      </c>
      <c r="G25" s="36" t="n">
        <f aca="false">SUMIFS('Bookings Detail'!$K$5:$K$274,'Bookings Detail'!$B$5:$B$274,$A25,'Bookings Detail'!$G$5:$G$274,$E25,'Bookings Detail'!$H$5:$H$274,"Upsell")</f>
        <v>42000</v>
      </c>
      <c r="H25" s="36" t="n">
        <f aca="false">SUMIFS('Bookings Detail'!$K$5:$K$274,'Bookings Detail'!$B$5:$B$274,$A25,'Bookings Detail'!$G$5:$G$274,$E25,'Bookings Detail'!$H$5:$H$274,"Renewal")</f>
        <v>90000</v>
      </c>
      <c r="I25" s="37" t="n">
        <f aca="false">F25+G25+H25</f>
        <v>399000</v>
      </c>
      <c r="J25" s="36" t="n">
        <f aca="false">INDEX('Sales Roster &amp; Quotas'!$G$6:$G$20,MATCH($A25,'Sales Roster &amp; Quotas'!$B$6:$B$20,0))</f>
        <v>295000</v>
      </c>
      <c r="K25" s="38" t="n">
        <f aca="false">IFERROR(F25/J25,0)</f>
        <v>0.905084745762712</v>
      </c>
      <c r="L25" s="49" t="n">
        <f aca="false">SUMIFS('Bookings Detail'!$S$5:$S$274,'Bookings Detail'!$B$5:$B$274,$A25,'Bookings Detail'!$G$5:$G$274,$E25)</f>
        <v>26580</v>
      </c>
      <c r="M25" s="50" t="n">
        <f aca="false">SUMPRODUCT((('Bookings Detail'!$B$5:$B$274=$A25))*(('Bookings Detail'!$G$5:$G$274=$E25)))</f>
        <v>12</v>
      </c>
    </row>
    <row r="26" customFormat="false" ht="15" hidden="false" customHeight="true" outlineLevel="0" collapsed="false">
      <c r="A26" s="27" t="s">
        <v>101</v>
      </c>
      <c r="B26" s="40" t="str">
        <f aca="false">INDEX('Sales Roster &amp; Quotas'!$C$6:$C$20,MATCH($A26,'Sales Roster &amp; Quotas'!$B$6:$B$20,0))</f>
        <v>Natalie Reyes</v>
      </c>
      <c r="C26" s="40" t="str">
        <f aca="false">INDEX('Sales Roster &amp; Quotas'!$D$6:$D$20,MATCH($A26,'Sales Roster &amp; Quotas'!$B$6:$B$20,0))</f>
        <v>Mid-Market</v>
      </c>
      <c r="D26" s="40" t="str">
        <f aca="false">INDEX('Sales Roster &amp; Quotas'!$E$6:$E$20,MATCH($A26,'Sales Roster &amp; Quotas'!$B$6:$B$20,0))</f>
        <v>West</v>
      </c>
      <c r="E26" s="27" t="s">
        <v>572</v>
      </c>
      <c r="F26" s="42" t="n">
        <f aca="false">SUMIFS('Bookings Detail'!$K$5:$K$274,'Bookings Detail'!$B$5:$B$274,$A26,'Bookings Detail'!$G$5:$G$274,$E26,'Bookings Detail'!$H$5:$H$274,"New Business")</f>
        <v>293500</v>
      </c>
      <c r="G26" s="42" t="n">
        <f aca="false">SUMIFS('Bookings Detail'!$K$5:$K$274,'Bookings Detail'!$B$5:$B$274,$A26,'Bookings Detail'!$G$5:$G$274,$E26,'Bookings Detail'!$H$5:$H$274,"Upsell")</f>
        <v>61000</v>
      </c>
      <c r="H26" s="42" t="n">
        <f aca="false">SUMIFS('Bookings Detail'!$K$5:$K$274,'Bookings Detail'!$B$5:$B$274,$A26,'Bookings Detail'!$G$5:$G$274,$E26,'Bookings Detail'!$H$5:$H$274,"Renewal")</f>
        <v>79000</v>
      </c>
      <c r="I26" s="43" t="n">
        <f aca="false">F26+G26+H26</f>
        <v>433500</v>
      </c>
      <c r="J26" s="42" t="n">
        <f aca="false">INDEX('Sales Roster &amp; Quotas'!$G$6:$G$20,MATCH($A26,'Sales Roster &amp; Quotas'!$B$6:$B$20,0))</f>
        <v>295000</v>
      </c>
      <c r="K26" s="44" t="n">
        <f aca="false">IFERROR(F26/J26,0)</f>
        <v>0.994915254237288</v>
      </c>
      <c r="L26" s="51" t="n">
        <f aca="false">SUMIFS('Bookings Detail'!$S$5:$S$274,'Bookings Detail'!$B$5:$B$274,$A26,'Bookings Detail'!$G$5:$G$274,$E26)</f>
        <v>29510</v>
      </c>
      <c r="M26" s="52" t="n">
        <f aca="false">SUMPRODUCT((('Bookings Detail'!$B$5:$B$274=$A26))*(('Bookings Detail'!$G$5:$G$274=$E26)))</f>
        <v>8</v>
      </c>
    </row>
    <row r="27" customFormat="false" ht="15" hidden="false" customHeight="true" outlineLevel="0" collapsed="false">
      <c r="A27" s="24" t="s">
        <v>104</v>
      </c>
      <c r="B27" s="34" t="str">
        <f aca="false">INDEX('Sales Roster &amp; Quotas'!$C$6:$C$20,MATCH($A27,'Sales Roster &amp; Quotas'!$B$6:$B$20,0))</f>
        <v>Omar Fischer</v>
      </c>
      <c r="C27" s="34" t="str">
        <f aca="false">INDEX('Sales Roster &amp; Quotas'!$D$6:$D$20,MATCH($A27,'Sales Roster &amp; Quotas'!$B$6:$B$20,0))</f>
        <v>Mid-Market</v>
      </c>
      <c r="D27" s="34" t="str">
        <f aca="false">INDEX('Sales Roster &amp; Quotas'!$E$6:$E$20,MATCH($A27,'Sales Roster &amp; Quotas'!$B$6:$B$20,0))</f>
        <v>East</v>
      </c>
      <c r="E27" s="24" t="s">
        <v>571</v>
      </c>
      <c r="F27" s="36" t="n">
        <f aca="false">SUMIFS('Bookings Detail'!$K$5:$K$274,'Bookings Detail'!$B$5:$B$274,$A27,'Bookings Detail'!$G$5:$G$274,$E27,'Bookings Detail'!$H$5:$H$274,"New Business")</f>
        <v>457000</v>
      </c>
      <c r="G27" s="36" t="n">
        <f aca="false">SUMIFS('Bookings Detail'!$K$5:$K$274,'Bookings Detail'!$B$5:$B$274,$A27,'Bookings Detail'!$G$5:$G$274,$E27,'Bookings Detail'!$H$5:$H$274,"Upsell")</f>
        <v>69500</v>
      </c>
      <c r="H27" s="36" t="n">
        <f aca="false">SUMIFS('Bookings Detail'!$K$5:$K$274,'Bookings Detail'!$B$5:$B$274,$A27,'Bookings Detail'!$G$5:$G$274,$E27,'Bookings Detail'!$H$5:$H$274,"Renewal")</f>
        <v>65000</v>
      </c>
      <c r="I27" s="37" t="n">
        <f aca="false">F27+G27+H27</f>
        <v>591500</v>
      </c>
      <c r="J27" s="36" t="n">
        <f aca="false">INDEX('Sales Roster &amp; Quotas'!$G$6:$G$20,MATCH($A27,'Sales Roster &amp; Quotas'!$B$6:$B$20,0))</f>
        <v>324000</v>
      </c>
      <c r="K27" s="38" t="n">
        <f aca="false">IFERROR(F27/J27,0)</f>
        <v>1.41049382716049</v>
      </c>
      <c r="L27" s="49" t="n">
        <f aca="false">SUMIFS('Bookings Detail'!$S$5:$S$274,'Bookings Detail'!$B$5:$B$274,$A27,'Bookings Detail'!$G$5:$G$274,$E27)</f>
        <v>46380</v>
      </c>
      <c r="M27" s="50" t="n">
        <f aca="false">SUMPRODUCT((('Bookings Detail'!$B$5:$B$274=$A27))*(('Bookings Detail'!$G$5:$G$274=$E27)))</f>
        <v>10</v>
      </c>
    </row>
    <row r="28" customFormat="false" ht="15" hidden="false" customHeight="true" outlineLevel="0" collapsed="false">
      <c r="A28" s="27" t="s">
        <v>104</v>
      </c>
      <c r="B28" s="40" t="str">
        <f aca="false">INDEX('Sales Roster &amp; Quotas'!$C$6:$C$20,MATCH($A28,'Sales Roster &amp; Quotas'!$B$6:$B$20,0))</f>
        <v>Omar Fischer</v>
      </c>
      <c r="C28" s="40" t="str">
        <f aca="false">INDEX('Sales Roster &amp; Quotas'!$D$6:$D$20,MATCH($A28,'Sales Roster &amp; Quotas'!$B$6:$B$20,0))</f>
        <v>Mid-Market</v>
      </c>
      <c r="D28" s="40" t="str">
        <f aca="false">INDEX('Sales Roster &amp; Quotas'!$E$6:$E$20,MATCH($A28,'Sales Roster &amp; Quotas'!$B$6:$B$20,0))</f>
        <v>East</v>
      </c>
      <c r="E28" s="27" t="s">
        <v>572</v>
      </c>
      <c r="F28" s="42" t="n">
        <f aca="false">SUMIFS('Bookings Detail'!$K$5:$K$274,'Bookings Detail'!$B$5:$B$274,$A28,'Bookings Detail'!$G$5:$G$274,$E28,'Bookings Detail'!$H$5:$H$274,"New Business")</f>
        <v>575500</v>
      </c>
      <c r="G28" s="42" t="n">
        <f aca="false">SUMIFS('Bookings Detail'!$K$5:$K$274,'Bookings Detail'!$B$5:$B$274,$A28,'Bookings Detail'!$G$5:$G$274,$E28,'Bookings Detail'!$H$5:$H$274,"Upsell")</f>
        <v>27000</v>
      </c>
      <c r="H28" s="42" t="n">
        <f aca="false">SUMIFS('Bookings Detail'!$K$5:$K$274,'Bookings Detail'!$B$5:$B$274,$A28,'Bookings Detail'!$G$5:$G$274,$E28,'Bookings Detail'!$H$5:$H$274,"Renewal")</f>
        <v>63500</v>
      </c>
      <c r="I28" s="43" t="n">
        <f aca="false">F28+G28+H28</f>
        <v>666000</v>
      </c>
      <c r="J28" s="42" t="n">
        <f aca="false">INDEX('Sales Roster &amp; Quotas'!$G$6:$G$20,MATCH($A28,'Sales Roster &amp; Quotas'!$B$6:$B$20,0))</f>
        <v>324000</v>
      </c>
      <c r="K28" s="44" t="n">
        <f aca="false">IFERROR(F28/J28,0)</f>
        <v>1.77623456790123</v>
      </c>
      <c r="L28" s="51" t="n">
        <f aca="false">SUMIFS('Bookings Detail'!$S$5:$S$274,'Bookings Detail'!$B$5:$B$274,$A28,'Bookings Detail'!$G$5:$G$274,$E28)</f>
        <v>58005</v>
      </c>
      <c r="M28" s="52" t="n">
        <f aca="false">SUMPRODUCT((('Bookings Detail'!$B$5:$B$274=$A28))*(('Bookings Detail'!$G$5:$G$274=$E28)))</f>
        <v>7</v>
      </c>
    </row>
    <row r="29" customFormat="false" ht="15" hidden="false" customHeight="true" outlineLevel="0" collapsed="false">
      <c r="A29" s="24" t="s">
        <v>107</v>
      </c>
      <c r="B29" s="34" t="str">
        <f aca="false">INDEX('Sales Roster &amp; Quotas'!$C$6:$C$20,MATCH($A29,'Sales Roster &amp; Quotas'!$B$6:$B$20,0))</f>
        <v>Grace Adeyemi</v>
      </c>
      <c r="C29" s="34" t="str">
        <f aca="false">INDEX('Sales Roster &amp; Quotas'!$D$6:$D$20,MATCH($A29,'Sales Roster &amp; Quotas'!$B$6:$B$20,0))</f>
        <v>Enterprise</v>
      </c>
      <c r="D29" s="34" t="str">
        <f aca="false">INDEX('Sales Roster &amp; Quotas'!$E$6:$E$20,MATCH($A29,'Sales Roster &amp; Quotas'!$B$6:$B$20,0))</f>
        <v>Central</v>
      </c>
      <c r="E29" s="24" t="s">
        <v>571</v>
      </c>
      <c r="F29" s="36" t="n">
        <f aca="false">SUMIFS('Bookings Detail'!$K$5:$K$274,'Bookings Detail'!$B$5:$B$274,$A29,'Bookings Detail'!$G$5:$G$274,$E29,'Bookings Detail'!$H$5:$H$274,"New Business")</f>
        <v>403500</v>
      </c>
      <c r="G29" s="36" t="n">
        <f aca="false">SUMIFS('Bookings Detail'!$K$5:$K$274,'Bookings Detail'!$B$5:$B$274,$A29,'Bookings Detail'!$G$5:$G$274,$E29,'Bookings Detail'!$H$5:$H$274,"Upsell")</f>
        <v>97000</v>
      </c>
      <c r="H29" s="36" t="n">
        <f aca="false">SUMIFS('Bookings Detail'!$K$5:$K$274,'Bookings Detail'!$B$5:$B$274,$A29,'Bookings Detail'!$G$5:$G$274,$E29,'Bookings Detail'!$H$5:$H$274,"Renewal")</f>
        <v>318500</v>
      </c>
      <c r="I29" s="37" t="n">
        <f aca="false">F29+G29+H29</f>
        <v>819000</v>
      </c>
      <c r="J29" s="36" t="n">
        <f aca="false">INDEX('Sales Roster &amp; Quotas'!$G$6:$G$20,MATCH($A29,'Sales Roster &amp; Quotas'!$B$6:$B$20,0))</f>
        <v>626000</v>
      </c>
      <c r="K29" s="38" t="n">
        <f aca="false">IFERROR(F29/J29,0)</f>
        <v>0.644568690095847</v>
      </c>
      <c r="L29" s="49" t="n">
        <f aca="false">SUMIFS('Bookings Detail'!$S$5:$S$274,'Bookings Detail'!$B$5:$B$274,$A29,'Bookings Detail'!$G$5:$G$274,$E29)</f>
        <v>47655</v>
      </c>
      <c r="M29" s="50" t="n">
        <f aca="false">SUMPRODUCT((('Bookings Detail'!$B$5:$B$274=$A29))*(('Bookings Detail'!$G$5:$G$274=$E29)))</f>
        <v>6</v>
      </c>
    </row>
    <row r="30" customFormat="false" ht="15" hidden="false" customHeight="true" outlineLevel="0" collapsed="false">
      <c r="A30" s="27" t="s">
        <v>107</v>
      </c>
      <c r="B30" s="40" t="str">
        <f aca="false">INDEX('Sales Roster &amp; Quotas'!$C$6:$C$20,MATCH($A30,'Sales Roster &amp; Quotas'!$B$6:$B$20,0))</f>
        <v>Grace Adeyemi</v>
      </c>
      <c r="C30" s="40" t="str">
        <f aca="false">INDEX('Sales Roster &amp; Quotas'!$D$6:$D$20,MATCH($A30,'Sales Roster &amp; Quotas'!$B$6:$B$20,0))</f>
        <v>Enterprise</v>
      </c>
      <c r="D30" s="40" t="str">
        <f aca="false">INDEX('Sales Roster &amp; Quotas'!$E$6:$E$20,MATCH($A30,'Sales Roster &amp; Quotas'!$B$6:$B$20,0))</f>
        <v>Central</v>
      </c>
      <c r="E30" s="27" t="s">
        <v>572</v>
      </c>
      <c r="F30" s="42" t="n">
        <f aca="false">SUMIFS('Bookings Detail'!$K$5:$K$274,'Bookings Detail'!$B$5:$B$274,$A30,'Bookings Detail'!$G$5:$G$274,$E30,'Bookings Detail'!$H$5:$H$274,"New Business")</f>
        <v>374000</v>
      </c>
      <c r="G30" s="42" t="n">
        <f aca="false">SUMIFS('Bookings Detail'!$K$5:$K$274,'Bookings Detail'!$B$5:$B$274,$A30,'Bookings Detail'!$G$5:$G$274,$E30,'Bookings Detail'!$H$5:$H$274,"Upsell")</f>
        <v>192000</v>
      </c>
      <c r="H30" s="42" t="n">
        <f aca="false">SUMIFS('Bookings Detail'!$K$5:$K$274,'Bookings Detail'!$B$5:$B$274,$A30,'Bookings Detail'!$G$5:$G$274,$E30,'Bookings Detail'!$H$5:$H$274,"Renewal")</f>
        <v>250000</v>
      </c>
      <c r="I30" s="43" t="n">
        <f aca="false">F30+G30+H30</f>
        <v>816000</v>
      </c>
      <c r="J30" s="42" t="n">
        <f aca="false">INDEX('Sales Roster &amp; Quotas'!$G$6:$G$20,MATCH($A30,'Sales Roster &amp; Quotas'!$B$6:$B$20,0))</f>
        <v>626000</v>
      </c>
      <c r="K30" s="44" t="n">
        <f aca="false">IFERROR(F30/J30,0)</f>
        <v>0.597444089456869</v>
      </c>
      <c r="L30" s="51" t="n">
        <f aca="false">SUMIFS('Bookings Detail'!$S$5:$S$274,'Bookings Detail'!$B$5:$B$274,$A30,'Bookings Detail'!$G$5:$G$274,$E30)</f>
        <v>48940</v>
      </c>
      <c r="M30" s="52" t="n">
        <f aca="false">SUMPRODUCT((('Bookings Detail'!$B$5:$B$274=$A30))*(('Bookings Detail'!$G$5:$G$274=$E30)))</f>
        <v>7</v>
      </c>
    </row>
    <row r="31" customFormat="false" ht="15" hidden="false" customHeight="true" outlineLevel="0" collapsed="false">
      <c r="A31" s="24" t="s">
        <v>111</v>
      </c>
      <c r="B31" s="34" t="str">
        <f aca="false">INDEX('Sales Roster &amp; Quotas'!$C$6:$C$20,MATCH($A31,'Sales Roster &amp; Quotas'!$B$6:$B$20,0))</f>
        <v>Kevin Novak</v>
      </c>
      <c r="C31" s="34" t="str">
        <f aca="false">INDEX('Sales Roster &amp; Quotas'!$D$6:$D$20,MATCH($A31,'Sales Roster &amp; Quotas'!$B$6:$B$20,0))</f>
        <v>Enterprise</v>
      </c>
      <c r="D31" s="34" t="str">
        <f aca="false">INDEX('Sales Roster &amp; Quotas'!$E$6:$E$20,MATCH($A31,'Sales Roster &amp; Quotas'!$B$6:$B$20,0))</f>
        <v>West</v>
      </c>
      <c r="E31" s="24" t="s">
        <v>571</v>
      </c>
      <c r="F31" s="36" t="n">
        <f aca="false">SUMIFS('Bookings Detail'!$K$5:$K$274,'Bookings Detail'!$B$5:$B$274,$A31,'Bookings Detail'!$G$5:$G$274,$E31,'Bookings Detail'!$H$5:$H$274,"New Business")</f>
        <v>504500</v>
      </c>
      <c r="G31" s="36" t="n">
        <f aca="false">SUMIFS('Bookings Detail'!$K$5:$K$274,'Bookings Detail'!$B$5:$B$274,$A31,'Bookings Detail'!$G$5:$G$274,$E31,'Bookings Detail'!$H$5:$H$274,"Upsell")</f>
        <v>89500</v>
      </c>
      <c r="H31" s="36" t="n">
        <f aca="false">SUMIFS('Bookings Detail'!$K$5:$K$274,'Bookings Detail'!$B$5:$B$274,$A31,'Bookings Detail'!$G$5:$G$274,$E31,'Bookings Detail'!$H$5:$H$274,"Renewal")</f>
        <v>214500</v>
      </c>
      <c r="I31" s="37" t="n">
        <f aca="false">F31+G31+H31</f>
        <v>808500</v>
      </c>
      <c r="J31" s="36" t="n">
        <f aca="false">INDEX('Sales Roster &amp; Quotas'!$G$6:$G$20,MATCH($A31,'Sales Roster &amp; Quotas'!$B$6:$B$20,0))</f>
        <v>641000</v>
      </c>
      <c r="K31" s="38" t="n">
        <f aca="false">IFERROR(F31/J31,0)</f>
        <v>0.787051482059282</v>
      </c>
      <c r="L31" s="49" t="n">
        <f aca="false">SUMIFS('Bookings Detail'!$S$5:$S$274,'Bookings Detail'!$B$5:$B$274,$A31,'Bookings Detail'!$G$5:$G$274,$E31)</f>
        <v>52165</v>
      </c>
      <c r="M31" s="50" t="n">
        <f aca="false">SUMPRODUCT((('Bookings Detail'!$B$5:$B$274=$A31))*(('Bookings Detail'!$G$5:$G$274=$E31)))</f>
        <v>7</v>
      </c>
    </row>
    <row r="32" customFormat="false" ht="15" hidden="false" customHeight="true" outlineLevel="0" collapsed="false">
      <c r="A32" s="27" t="s">
        <v>111</v>
      </c>
      <c r="B32" s="40" t="str">
        <f aca="false">INDEX('Sales Roster &amp; Quotas'!$C$6:$C$20,MATCH($A32,'Sales Roster &amp; Quotas'!$B$6:$B$20,0))</f>
        <v>Kevin Novak</v>
      </c>
      <c r="C32" s="40" t="str">
        <f aca="false">INDEX('Sales Roster &amp; Quotas'!$D$6:$D$20,MATCH($A32,'Sales Roster &amp; Quotas'!$B$6:$B$20,0))</f>
        <v>Enterprise</v>
      </c>
      <c r="D32" s="40" t="str">
        <f aca="false">INDEX('Sales Roster &amp; Quotas'!$E$6:$E$20,MATCH($A32,'Sales Roster &amp; Quotas'!$B$6:$B$20,0))</f>
        <v>West</v>
      </c>
      <c r="E32" s="27" t="s">
        <v>572</v>
      </c>
      <c r="F32" s="42" t="n">
        <f aca="false">SUMIFS('Bookings Detail'!$K$5:$K$274,'Bookings Detail'!$B$5:$B$274,$A32,'Bookings Detail'!$G$5:$G$274,$E32,'Bookings Detail'!$H$5:$H$274,"New Business")</f>
        <v>570000</v>
      </c>
      <c r="G32" s="42" t="n">
        <f aca="false">SUMIFS('Bookings Detail'!$K$5:$K$274,'Bookings Detail'!$B$5:$B$274,$A32,'Bookings Detail'!$G$5:$G$274,$E32,'Bookings Detail'!$H$5:$H$274,"Upsell")</f>
        <v>0</v>
      </c>
      <c r="H32" s="42" t="n">
        <f aca="false">SUMIFS('Bookings Detail'!$K$5:$K$274,'Bookings Detail'!$B$5:$B$274,$A32,'Bookings Detail'!$G$5:$G$274,$E32,'Bookings Detail'!$H$5:$H$274,"Renewal")</f>
        <v>208000</v>
      </c>
      <c r="I32" s="43" t="n">
        <f aca="false">F32+G32+H32</f>
        <v>778000</v>
      </c>
      <c r="J32" s="42" t="n">
        <f aca="false">INDEX('Sales Roster &amp; Quotas'!$G$6:$G$20,MATCH($A32,'Sales Roster &amp; Quotas'!$B$6:$B$20,0))</f>
        <v>641000</v>
      </c>
      <c r="K32" s="44" t="n">
        <f aca="false">IFERROR(F32/J32,0)</f>
        <v>0.889235569422777</v>
      </c>
      <c r="L32" s="51" t="n">
        <f aca="false">SUMIFS('Bookings Detail'!$S$5:$S$274,'Bookings Detail'!$B$5:$B$274,$A32,'Bookings Detail'!$G$5:$G$274,$E32)</f>
        <v>51840</v>
      </c>
      <c r="M32" s="52" t="n">
        <f aca="false">SUMPRODUCT((('Bookings Detail'!$B$5:$B$274=$A32))*(('Bookings Detail'!$G$5:$G$274=$E32)))</f>
        <v>5</v>
      </c>
    </row>
    <row r="33" customFormat="false" ht="15" hidden="false" customHeight="true" outlineLevel="0" collapsed="false">
      <c r="A33" s="24" t="s">
        <v>114</v>
      </c>
      <c r="B33" s="34" t="str">
        <f aca="false">INDEX('Sales Roster &amp; Quotas'!$C$6:$C$20,MATCH($A33,'Sales Roster &amp; Quotas'!$B$6:$B$20,0))</f>
        <v>Lucia Larsen</v>
      </c>
      <c r="C33" s="34" t="str">
        <f aca="false">INDEX('Sales Roster &amp; Quotas'!$D$6:$D$20,MATCH($A33,'Sales Roster &amp; Quotas'!$B$6:$B$20,0))</f>
        <v>Enterprise</v>
      </c>
      <c r="D33" s="34" t="str">
        <f aca="false">INDEX('Sales Roster &amp; Quotas'!$E$6:$E$20,MATCH($A33,'Sales Roster &amp; Quotas'!$B$6:$B$20,0))</f>
        <v>Central</v>
      </c>
      <c r="E33" s="24" t="s">
        <v>571</v>
      </c>
      <c r="F33" s="36" t="n">
        <f aca="false">SUMIFS('Bookings Detail'!$K$5:$K$274,'Bookings Detail'!$B$5:$B$274,$A33,'Bookings Detail'!$G$5:$G$274,$E33,'Bookings Detail'!$H$5:$H$274,"New Business")</f>
        <v>542500</v>
      </c>
      <c r="G33" s="36" t="n">
        <f aca="false">SUMIFS('Bookings Detail'!$K$5:$K$274,'Bookings Detail'!$B$5:$B$274,$A33,'Bookings Detail'!$G$5:$G$274,$E33,'Bookings Detail'!$H$5:$H$274,"Upsell")</f>
        <v>295000</v>
      </c>
      <c r="H33" s="36" t="n">
        <f aca="false">SUMIFS('Bookings Detail'!$K$5:$K$274,'Bookings Detail'!$B$5:$B$274,$A33,'Bookings Detail'!$G$5:$G$274,$E33,'Bookings Detail'!$H$5:$H$274,"Renewal")</f>
        <v>270500</v>
      </c>
      <c r="I33" s="37" t="n">
        <f aca="false">F33+G33+H33</f>
        <v>1108000</v>
      </c>
      <c r="J33" s="36" t="n">
        <f aca="false">INDEX('Sales Roster &amp; Quotas'!$G$6:$G$20,MATCH($A33,'Sales Roster &amp; Quotas'!$B$6:$B$20,0))</f>
        <v>594000</v>
      </c>
      <c r="K33" s="38" t="n">
        <f aca="false">IFERROR(F33/J33,0)</f>
        <v>0.913299663299663</v>
      </c>
      <c r="L33" s="49" t="n">
        <f aca="false">SUMIFS('Bookings Detail'!$S$5:$S$274,'Bookings Detail'!$B$5:$B$274,$A33,'Bookings Detail'!$G$5:$G$274,$E33)</f>
        <v>69215</v>
      </c>
      <c r="M33" s="50" t="n">
        <f aca="false">SUMPRODUCT((('Bookings Detail'!$B$5:$B$274=$A33))*(('Bookings Detail'!$G$5:$G$274=$E33)))</f>
        <v>9</v>
      </c>
    </row>
    <row r="34" customFormat="false" ht="15" hidden="false" customHeight="true" outlineLevel="0" collapsed="false">
      <c r="A34" s="27" t="s">
        <v>114</v>
      </c>
      <c r="B34" s="40" t="str">
        <f aca="false">INDEX('Sales Roster &amp; Quotas'!$C$6:$C$20,MATCH($A34,'Sales Roster &amp; Quotas'!$B$6:$B$20,0))</f>
        <v>Lucia Larsen</v>
      </c>
      <c r="C34" s="40" t="str">
        <f aca="false">INDEX('Sales Roster &amp; Quotas'!$D$6:$D$20,MATCH($A34,'Sales Roster &amp; Quotas'!$B$6:$B$20,0))</f>
        <v>Enterprise</v>
      </c>
      <c r="D34" s="40" t="str">
        <f aca="false">INDEX('Sales Roster &amp; Quotas'!$E$6:$E$20,MATCH($A34,'Sales Roster &amp; Quotas'!$B$6:$B$20,0))</f>
        <v>Central</v>
      </c>
      <c r="E34" s="27" t="s">
        <v>572</v>
      </c>
      <c r="F34" s="42" t="n">
        <f aca="false">SUMIFS('Bookings Detail'!$K$5:$K$274,'Bookings Detail'!$B$5:$B$274,$A34,'Bookings Detail'!$G$5:$G$274,$E34,'Bookings Detail'!$H$5:$H$274,"New Business")</f>
        <v>596500</v>
      </c>
      <c r="G34" s="42" t="n">
        <f aca="false">SUMIFS('Bookings Detail'!$K$5:$K$274,'Bookings Detail'!$B$5:$B$274,$A34,'Bookings Detail'!$G$5:$G$274,$E34,'Bookings Detail'!$H$5:$H$274,"Upsell")</f>
        <v>0</v>
      </c>
      <c r="H34" s="42" t="n">
        <f aca="false">SUMIFS('Bookings Detail'!$K$5:$K$274,'Bookings Detail'!$B$5:$B$274,$A34,'Bookings Detail'!$G$5:$G$274,$E34,'Bookings Detail'!$H$5:$H$274,"Renewal")</f>
        <v>248000</v>
      </c>
      <c r="I34" s="43" t="n">
        <f aca="false">F34+G34+H34</f>
        <v>844500</v>
      </c>
      <c r="J34" s="42" t="n">
        <f aca="false">INDEX('Sales Roster &amp; Quotas'!$G$6:$G$20,MATCH($A34,'Sales Roster &amp; Quotas'!$B$6:$B$20,0))</f>
        <v>594000</v>
      </c>
      <c r="K34" s="44" t="n">
        <f aca="false">IFERROR(F34/J34,0)</f>
        <v>1.00420875420875</v>
      </c>
      <c r="L34" s="51" t="n">
        <f aca="false">SUMIFS('Bookings Detail'!$S$5:$S$274,'Bookings Detail'!$B$5:$B$274,$A34,'Bookings Detail'!$G$5:$G$274,$E34)</f>
        <v>55210</v>
      </c>
      <c r="M34" s="52" t="n">
        <f aca="false">SUMPRODUCT((('Bookings Detail'!$B$5:$B$274=$A34))*(('Bookings Detail'!$G$5:$G$274=$E34)))</f>
        <v>6</v>
      </c>
    </row>
    <row r="35" customFormat="false" ht="15" hidden="false" customHeight="true" outlineLevel="0" collapsed="false">
      <c r="A35" s="46"/>
      <c r="B35" s="53" t="s">
        <v>573</v>
      </c>
      <c r="C35" s="46"/>
      <c r="D35" s="46"/>
      <c r="E35" s="46"/>
      <c r="F35" s="48" t="n">
        <f aca="false">SUM(F5:F34)</f>
        <v>8480000</v>
      </c>
      <c r="G35" s="48" t="n">
        <f aca="false">SUM(G5:G34)</f>
        <v>1798500</v>
      </c>
      <c r="H35" s="48" t="n">
        <f aca="false">SUM(H5:H34)</f>
        <v>3796000</v>
      </c>
      <c r="I35" s="48" t="n">
        <f aca="false">SUM(I5:I34)</f>
        <v>14074500</v>
      </c>
      <c r="J35" s="48" t="n">
        <f aca="false">SUM(J5:J34)</f>
        <v>9066000</v>
      </c>
      <c r="K35" s="54" t="n">
        <f aca="false">AVERAGE(K5:K34)</f>
        <v>0.967386548672049</v>
      </c>
      <c r="L35" s="48" t="n">
        <f aca="false">SUM(L5:L34)</f>
        <v>916935</v>
      </c>
      <c r="M35" s="46"/>
    </row>
  </sheetData>
  <mergeCells count="1">
    <mergeCell ref="A2:L2"/>
  </mergeCells>
  <conditionalFormatting sqref="K5:K34">
    <cfRule type="colorScale" priority="2">
      <colorScale>
        <cfvo type="min" val="0"/>
        <cfvo type="percentile" val="50"/>
        <cfvo type="max" val="0"/>
        <color rgb="FFF4A2A0"/>
        <color rgb="FFFFF2AC"/>
        <color rgb="FFA9D9B8"/>
      </colorScale>
    </cfRule>
  </conditionalFormatting>
  <conditionalFormatting sqref="L5:L34">
    <cfRule type="dataBar" priority="3">
      <dataBar showValue="1" minLength="10" maxLength="90">
        <cfvo type="min" val="0"/>
        <cfvo type="max" val="0"/>
        <color rgb="FFB8862B"/>
      </dataBar>
      <extLst>
        <ext xmlns:x14="http://schemas.microsoft.com/office/spreadsheetml/2009/9/main" uri="{B025F937-C7B1-47D3-B67F-A62EFF666E3E}">
          <x14:id>{3012FA6A-47EB-452C-9613-98EF513DA597}</x14:id>
        </ext>
      </extLst>
    </cfRule>
  </conditionalFormatting>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3012FA6A-47EB-452C-9613-98EF513DA597}">
            <x14:dataBar minLength="10" maxLength="90" axisPosition="none" gradient="true">
              <x14:cfvo type="min"/>
              <x14:cfvo type="max"/>
              <x14:negativeFillColor rgb="FFB8862B"/>
              <x14:axisColor rgb="FF000000"/>
            </x14:dataBar>
          </x14:cfRule>
          <xm:sqref>L5:L34</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1"/>
    <col collapsed="false" customWidth="true" hidden="false" outlineLevel="0" max="2" min="2" style="1" width="15"/>
    <col collapsed="false" customWidth="true" hidden="false" outlineLevel="0" max="3" min="3" style="1" width="19"/>
    <col collapsed="false" customWidth="true" hidden="false" outlineLevel="0" max="4" min="4" style="1" width="22"/>
    <col collapsed="false" customWidth="true" hidden="false" outlineLevel="0" max="5" min="5" style="1" width="11"/>
    <col collapsed="false" customWidth="true" hidden="false" outlineLevel="0" max="6" min="6" style="1" width="10"/>
  </cols>
  <sheetData>
    <row r="1" customFormat="false" ht="17.25" hidden="false" customHeight="true" outlineLevel="0" collapsed="false">
      <c r="A1" s="13" t="s">
        <v>574</v>
      </c>
    </row>
    <row r="2" customFormat="false" ht="15" hidden="false" customHeight="true" outlineLevel="0" collapsed="false">
      <c r="A2" s="33" t="s">
        <v>575</v>
      </c>
      <c r="B2" s="33"/>
      <c r="C2" s="33"/>
      <c r="D2" s="33"/>
      <c r="E2" s="33"/>
      <c r="F2" s="33"/>
    </row>
    <row r="4" customFormat="false" ht="15" hidden="false" customHeight="true" outlineLevel="0" collapsed="false">
      <c r="A4" s="14" t="s">
        <v>121</v>
      </c>
      <c r="B4" s="14" t="s">
        <v>576</v>
      </c>
      <c r="C4" s="14" t="s">
        <v>577</v>
      </c>
      <c r="D4" s="14" t="s">
        <v>578</v>
      </c>
      <c r="E4" s="14" t="s">
        <v>570</v>
      </c>
      <c r="F4" s="14" t="s">
        <v>579</v>
      </c>
    </row>
    <row r="5" customFormat="false" ht="15" hidden="false" customHeight="true" outlineLevel="0" collapsed="false">
      <c r="A5" s="24" t="s">
        <v>580</v>
      </c>
      <c r="B5" s="36" t="n">
        <f aca="false">SUMIFS('Bookings Detail'!$K$5:$K$274,'Bookings Detail'!$F$5:$F$274,$A5)</f>
        <v>1341500</v>
      </c>
      <c r="C5" s="36" t="n">
        <f aca="false">SUMIFS('Bookings Detail'!$S$5:$S$274,'Bookings Detail'!$F$5:$F$274,$A5)</f>
        <v>85003.0421699646</v>
      </c>
      <c r="D5" s="38" t="n">
        <f aca="false">IFERROR(C5/B5,0)</f>
        <v>0.0633641760491723</v>
      </c>
      <c r="E5" s="55" t="n">
        <f aca="false">COUNTIFS('Bookings Detail'!$F$5:$F$274,$A5)</f>
        <v>44</v>
      </c>
      <c r="F5" s="56" t="s">
        <v>581</v>
      </c>
    </row>
    <row r="6" customFormat="false" ht="15" hidden="false" customHeight="true" outlineLevel="0" collapsed="false">
      <c r="A6" s="27" t="s">
        <v>582</v>
      </c>
      <c r="B6" s="42" t="n">
        <f aca="false">SUMIFS('Bookings Detail'!$K$5:$K$274,'Bookings Detail'!$F$5:$F$274,$A6)</f>
        <v>3145500</v>
      </c>
      <c r="C6" s="42" t="n">
        <f aca="false">SUMIFS('Bookings Detail'!$S$5:$S$274,'Bookings Detail'!$F$5:$F$274,$A6)</f>
        <v>207904.907605058</v>
      </c>
      <c r="D6" s="44" t="n">
        <f aca="false">IFERROR(C6/B6,0)</f>
        <v>0.0660959807995732</v>
      </c>
      <c r="E6" s="57" t="n">
        <f aca="false">COUNTIFS('Bookings Detail'!$F$5:$F$274,$A6)</f>
        <v>50</v>
      </c>
      <c r="F6" s="58" t="s">
        <v>581</v>
      </c>
    </row>
    <row r="7" customFormat="false" ht="15" hidden="false" customHeight="true" outlineLevel="0" collapsed="false">
      <c r="A7" s="24" t="s">
        <v>583</v>
      </c>
      <c r="B7" s="36" t="n">
        <f aca="false">SUMIFS('Bookings Detail'!$K$5:$K$274,'Bookings Detail'!$F$5:$F$274,$A7)</f>
        <v>2735500</v>
      </c>
      <c r="C7" s="36" t="n">
        <f aca="false">SUMIFS('Bookings Detail'!$S$5:$S$274,'Bookings Detail'!$F$5:$F$274,$A7)</f>
        <v>172902.050224978</v>
      </c>
      <c r="D7" s="38" t="n">
        <f aca="false">IFERROR(C7/B7,0)</f>
        <v>0.063206744735872</v>
      </c>
      <c r="E7" s="55" t="n">
        <f aca="false">COUNTIFS('Bookings Detail'!$F$5:$F$274,$A7)</f>
        <v>51</v>
      </c>
      <c r="F7" s="56" t="s">
        <v>581</v>
      </c>
    </row>
    <row r="8" customFormat="false" ht="15" hidden="false" customHeight="true" outlineLevel="0" collapsed="false">
      <c r="A8" s="27" t="s">
        <v>584</v>
      </c>
      <c r="B8" s="42" t="n">
        <f aca="false">SUMIFS('Bookings Detail'!$K$5:$K$274,'Bookings Detail'!$F$5:$F$274,$A8)</f>
        <v>2099000</v>
      </c>
      <c r="C8" s="42" t="n">
        <f aca="false">SUMIFS('Bookings Detail'!$S$5:$S$274,'Bookings Detail'!$F$5:$F$274,$A8)</f>
        <v>131582.100028587</v>
      </c>
      <c r="D8" s="44" t="n">
        <f aca="false">IFERROR(C8/B8,0)</f>
        <v>0.0626879942966113</v>
      </c>
      <c r="E8" s="57" t="n">
        <f aca="false">COUNTIFS('Bookings Detail'!$F$5:$F$274,$A8)</f>
        <v>45</v>
      </c>
      <c r="F8" s="58" t="s">
        <v>581</v>
      </c>
    </row>
    <row r="9" customFormat="false" ht="15" hidden="false" customHeight="true" outlineLevel="0" collapsed="false">
      <c r="A9" s="24" t="s">
        <v>585</v>
      </c>
      <c r="B9" s="36" t="n">
        <f aca="false">SUMIFS('Bookings Detail'!$K$5:$K$274,'Bookings Detail'!$F$5:$F$274,$A9)</f>
        <v>2559500</v>
      </c>
      <c r="C9" s="36" t="n">
        <f aca="false">SUMIFS('Bookings Detail'!$S$5:$S$274,'Bookings Detail'!$F$5:$F$274,$A9)</f>
        <v>184816.763584711</v>
      </c>
      <c r="D9" s="38" t="n">
        <f aca="false">IFERROR(C9/B9,0)</f>
        <v>0.0722081514298538</v>
      </c>
      <c r="E9" s="55" t="n">
        <f aca="false">COUNTIFS('Bookings Detail'!$F$5:$F$274,$A9)</f>
        <v>38</v>
      </c>
      <c r="F9" s="56" t="s">
        <v>581</v>
      </c>
    </row>
    <row r="10" customFormat="false" ht="15" hidden="false" customHeight="true" outlineLevel="0" collapsed="false">
      <c r="A10" s="27" t="s">
        <v>586</v>
      </c>
      <c r="B10" s="42" t="n">
        <f aca="false">SUMIFS('Bookings Detail'!$K$5:$K$274,'Bookings Detail'!$F$5:$F$274,$A10)</f>
        <v>2193500</v>
      </c>
      <c r="C10" s="42" t="n">
        <f aca="false">SUMIFS('Bookings Detail'!$S$5:$S$274,'Bookings Detail'!$F$5:$F$274,$A10)</f>
        <v>134726.136386702</v>
      </c>
      <c r="D10" s="44" t="n">
        <f aca="false">IFERROR(C10/B10,0)</f>
        <v>0.0614206229253258</v>
      </c>
      <c r="E10" s="57" t="n">
        <f aca="false">COUNTIFS('Bookings Detail'!$F$5:$F$274,$A10)</f>
        <v>42</v>
      </c>
      <c r="F10" s="58" t="s">
        <v>581</v>
      </c>
    </row>
    <row r="11" customFormat="false" ht="15" hidden="false" customHeight="true" outlineLevel="0" collapsed="false">
      <c r="A11" s="24" t="s">
        <v>587</v>
      </c>
      <c r="B11" s="59" t="n">
        <f aca="false">TREND($B$5:$B$10,ROW($B$5:$B$10)-ROW($B$5)+1,7)</f>
        <v>2532300</v>
      </c>
      <c r="C11" s="59" t="n">
        <f aca="false">B11*AVERAGE($D$5:$D$10)</f>
        <v>164170.558023276</v>
      </c>
      <c r="D11" s="38" t="n">
        <f aca="false">IFERROR(C11/B11,0)</f>
        <v>0.0648306117060681</v>
      </c>
      <c r="E11" s="60" t="n">
        <f aca="false">ROUND(E10*0.98,0)</f>
        <v>41</v>
      </c>
      <c r="F11" s="61" t="s">
        <v>588</v>
      </c>
    </row>
    <row r="12" customFormat="false" ht="15" hidden="false" customHeight="true" outlineLevel="0" collapsed="false">
      <c r="A12" s="27" t="s">
        <v>589</v>
      </c>
      <c r="B12" s="62" t="n">
        <f aca="false">TREND($B$5:$B$10,ROW($B$5:$B$10)-ROW($B$5)+1,8)</f>
        <v>2585600</v>
      </c>
      <c r="C12" s="62" t="n">
        <f aca="false">B12*AVERAGE($D$5:$D$10)</f>
        <v>167626.02962721</v>
      </c>
      <c r="D12" s="44" t="n">
        <f aca="false">IFERROR(C12/B12,0)</f>
        <v>0.0648306117060681</v>
      </c>
      <c r="E12" s="63" t="n">
        <f aca="false">ROUND(E10*0.98,0)</f>
        <v>41</v>
      </c>
      <c r="F12" s="64" t="s">
        <v>588</v>
      </c>
    </row>
    <row r="13" customFormat="false" ht="15" hidden="false" customHeight="true" outlineLevel="0" collapsed="false">
      <c r="A13" s="24" t="s">
        <v>590</v>
      </c>
      <c r="B13" s="59" t="n">
        <f aca="false">TREND($B$5:$B$10,ROW($B$5:$B$10)-ROW($B$5)+1,9)</f>
        <v>2638900</v>
      </c>
      <c r="C13" s="59" t="n">
        <f aca="false">B13*AVERAGE($D$5:$D$10)</f>
        <v>171081.501231143</v>
      </c>
      <c r="D13" s="38" t="n">
        <f aca="false">IFERROR(C13/B13,0)</f>
        <v>0.0648306117060681</v>
      </c>
      <c r="E13" s="60" t="n">
        <f aca="false">ROUND(E10*0.98,0)</f>
        <v>41</v>
      </c>
      <c r="F13" s="61" t="s">
        <v>588</v>
      </c>
    </row>
    <row r="15" customFormat="false" ht="15" hidden="false" customHeight="true" outlineLevel="0" collapsed="false">
      <c r="A15" s="8" t="s">
        <v>591</v>
      </c>
    </row>
    <row r="16" customFormat="false" ht="15" hidden="false" customHeight="true" outlineLevel="0" collapsed="false">
      <c r="A16" s="1" t="s">
        <v>592</v>
      </c>
      <c r="C16" s="65" t="n">
        <f aca="false">SUM(B11:B13)</f>
        <v>7756800</v>
      </c>
    </row>
    <row r="17" customFormat="false" ht="15" hidden="false" customHeight="true" outlineLevel="0" collapsed="false">
      <c r="A17" s="1" t="s">
        <v>593</v>
      </c>
      <c r="C17" s="65" t="n">
        <f aca="false">SUM(C11:C13)</f>
        <v>502878.088881629</v>
      </c>
    </row>
    <row r="18" customFormat="false" ht="15" hidden="false" customHeight="true" outlineLevel="0" collapsed="false">
      <c r="A18" s="4" t="s">
        <v>594</v>
      </c>
      <c r="C18" s="4" t="s">
        <v>595</v>
      </c>
    </row>
  </sheetData>
  <mergeCells count="1">
    <mergeCell ref="A2:F2"/>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W66"/>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7" min="2" style="1" width="16"/>
    <col collapsed="false" customWidth="true" hidden="false" outlineLevel="0" max="23" min="20" style="1" width="14"/>
  </cols>
  <sheetData>
    <row r="2" customFormat="false" ht="19.5" hidden="false" customHeight="true" outlineLevel="0" collapsed="false">
      <c r="B2" s="66" t="s">
        <v>0</v>
      </c>
    </row>
    <row r="3" customFormat="false" ht="15" hidden="false" customHeight="true" outlineLevel="0" collapsed="false">
      <c r="B3" s="67" t="s">
        <v>596</v>
      </c>
    </row>
    <row r="4" customFormat="false" ht="15" hidden="false" customHeight="true" outlineLevel="0" collapsed="false">
      <c r="T4" s="4" t="s">
        <v>597</v>
      </c>
    </row>
    <row r="5" customFormat="false" ht="15" hidden="false" customHeight="true" outlineLevel="0" collapsed="false">
      <c r="B5" s="68" t="s">
        <v>598</v>
      </c>
      <c r="C5" s="68"/>
      <c r="D5" s="69" t="s">
        <v>599</v>
      </c>
      <c r="E5" s="69"/>
      <c r="F5" s="68" t="s">
        <v>600</v>
      </c>
      <c r="G5" s="68"/>
    </row>
    <row r="6" customFormat="false" ht="23.25" hidden="false" customHeight="true" outlineLevel="0" collapsed="false">
      <c r="B6" s="70" t="n">
        <f aca="false">SUM('Bookings Detail'!$K$5:$K$274)</f>
        <v>14074500</v>
      </c>
      <c r="C6" s="70"/>
      <c r="D6" s="71" t="n">
        <f aca="false">SUM('Bookings Detail'!$S$5:$S$274)</f>
        <v>916935</v>
      </c>
      <c r="E6" s="71"/>
      <c r="F6" s="72" t="n">
        <f aca="false">'Executive Dashboard'!D6/'Executive Dashboard'!B6</f>
        <v>0.0651486731322605</v>
      </c>
      <c r="G6" s="72"/>
      <c r="T6" s="14" t="s">
        <v>121</v>
      </c>
      <c r="U6" s="14" t="s">
        <v>576</v>
      </c>
      <c r="V6" s="14" t="s">
        <v>577</v>
      </c>
    </row>
    <row r="7" customFormat="false" ht="15" hidden="false" customHeight="true" outlineLevel="0" collapsed="false">
      <c r="B7" s="73"/>
      <c r="C7" s="73"/>
      <c r="D7" s="74"/>
      <c r="E7" s="74"/>
      <c r="F7" s="73"/>
      <c r="G7" s="73"/>
      <c r="T7" s="1" t="str">
        <f aca="false">'Monthly Accrual &amp; Forecast'!A5</f>
        <v>2026-01</v>
      </c>
      <c r="U7" s="75" t="n">
        <f aca="false">'Monthly Accrual &amp; Forecast'!B5</f>
        <v>1341500</v>
      </c>
      <c r="V7" s="75" t="n">
        <f aca="false">'Monthly Accrual &amp; Forecast'!C5</f>
        <v>85003.0421699646</v>
      </c>
    </row>
    <row r="8" customFormat="false" ht="15" hidden="false" customHeight="true" outlineLevel="0" collapsed="false">
      <c r="T8" s="1" t="str">
        <f aca="false">'Monthly Accrual &amp; Forecast'!A6</f>
        <v>2026-02</v>
      </c>
      <c r="U8" s="75" t="n">
        <f aca="false">'Monthly Accrual &amp; Forecast'!B6</f>
        <v>3145500</v>
      </c>
      <c r="V8" s="75" t="n">
        <f aca="false">'Monthly Accrual &amp; Forecast'!C6</f>
        <v>207904.907605058</v>
      </c>
    </row>
    <row r="9" customFormat="false" ht="15" hidden="false" customHeight="true" outlineLevel="0" collapsed="false">
      <c r="B9" s="69" t="s">
        <v>601</v>
      </c>
      <c r="C9" s="69"/>
      <c r="D9" s="68" t="s">
        <v>602</v>
      </c>
      <c r="E9" s="68"/>
      <c r="F9" s="69" t="s">
        <v>603</v>
      </c>
      <c r="G9" s="69"/>
      <c r="T9" s="1" t="str">
        <f aca="false">'Monthly Accrual &amp; Forecast'!A7</f>
        <v>2026-03</v>
      </c>
      <c r="U9" s="75" t="n">
        <f aca="false">'Monthly Accrual &amp; Forecast'!B7</f>
        <v>2735500</v>
      </c>
      <c r="V9" s="75" t="n">
        <f aca="false">'Monthly Accrual &amp; Forecast'!C7</f>
        <v>172902.050224978</v>
      </c>
    </row>
    <row r="10" customFormat="false" ht="21.75" hidden="false" customHeight="true" outlineLevel="0" collapsed="false">
      <c r="B10" s="76" t="n">
        <f aca="false">AVERAGE('Rep-Quarter Summary'!$K$5:$K$34)</f>
        <v>0.967386548672049</v>
      </c>
      <c r="C10" s="76"/>
      <c r="D10" s="77" t="n">
        <f aca="false">COUNTIF('Rep-Quarter Summary'!$K$5:$K$34,"&gt;=1")</f>
        <v>12</v>
      </c>
      <c r="E10" s="77"/>
      <c r="F10" s="78" t="n">
        <f aca="false">COUNTIF('Rep-Quarter Summary'!$K$5:$K$34,"&lt;0.85")</f>
        <v>7</v>
      </c>
      <c r="G10" s="78"/>
      <c r="T10" s="1" t="str">
        <f aca="false">'Monthly Accrual &amp; Forecast'!A8</f>
        <v>2026-04</v>
      </c>
      <c r="U10" s="75" t="n">
        <f aca="false">'Monthly Accrual &amp; Forecast'!B8</f>
        <v>2099000</v>
      </c>
      <c r="V10" s="75" t="n">
        <f aca="false">'Monthly Accrual &amp; Forecast'!C8</f>
        <v>131582.100028587</v>
      </c>
    </row>
    <row r="11" customFormat="false" ht="15" hidden="false" customHeight="true" outlineLevel="0" collapsed="false">
      <c r="B11" s="74"/>
      <c r="C11" s="74"/>
      <c r="D11" s="73"/>
      <c r="E11" s="73"/>
      <c r="F11" s="74"/>
      <c r="G11" s="74"/>
      <c r="T11" s="1" t="str">
        <f aca="false">'Monthly Accrual &amp; Forecast'!A9</f>
        <v>2026-05</v>
      </c>
      <c r="U11" s="75" t="n">
        <f aca="false">'Monthly Accrual &amp; Forecast'!B9</f>
        <v>2559500</v>
      </c>
      <c r="V11" s="75" t="n">
        <f aca="false">'Monthly Accrual &amp; Forecast'!C9</f>
        <v>184816.763584711</v>
      </c>
    </row>
    <row r="12" customFormat="false" ht="15" hidden="false" customHeight="true" outlineLevel="0" collapsed="false">
      <c r="T12" s="1" t="str">
        <f aca="false">'Monthly Accrual &amp; Forecast'!A10</f>
        <v>2026-06</v>
      </c>
      <c r="U12" s="75" t="n">
        <f aca="false">'Monthly Accrual &amp; Forecast'!B10</f>
        <v>2193500</v>
      </c>
      <c r="V12" s="75" t="n">
        <f aca="false">'Monthly Accrual &amp; Forecast'!C10</f>
        <v>134726.136386702</v>
      </c>
    </row>
    <row r="13" customFormat="false" ht="15" hidden="false" customHeight="true" outlineLevel="0" collapsed="false">
      <c r="T13" s="1" t="str">
        <f aca="false">'Monthly Accrual &amp; Forecast'!A11</f>
        <v>2026-07</v>
      </c>
      <c r="U13" s="75" t="n">
        <f aca="false">'Monthly Accrual &amp; Forecast'!B11</f>
        <v>2532300</v>
      </c>
      <c r="V13" s="75" t="n">
        <f aca="false">'Monthly Accrual &amp; Forecast'!C11</f>
        <v>164170.558023276</v>
      </c>
    </row>
    <row r="14" customFormat="false" ht="15" hidden="false" customHeight="true" outlineLevel="0" collapsed="false">
      <c r="T14" s="1" t="str">
        <f aca="false">'Monthly Accrual &amp; Forecast'!A12</f>
        <v>2026-08</v>
      </c>
      <c r="U14" s="75" t="n">
        <f aca="false">'Monthly Accrual &amp; Forecast'!B12</f>
        <v>2585600</v>
      </c>
      <c r="V14" s="75" t="n">
        <f aca="false">'Monthly Accrual &amp; Forecast'!C12</f>
        <v>167626.02962721</v>
      </c>
    </row>
    <row r="15" customFormat="false" ht="15" hidden="false" customHeight="true" outlineLevel="0" collapsed="false">
      <c r="T15" s="1" t="str">
        <f aca="false">'Monthly Accrual &amp; Forecast'!A13</f>
        <v>2026-09</v>
      </c>
      <c r="U15" s="75" t="n">
        <f aca="false">'Monthly Accrual &amp; Forecast'!B13</f>
        <v>2638900</v>
      </c>
      <c r="V15" s="75" t="n">
        <f aca="false">'Monthly Accrual &amp; Forecast'!C13</f>
        <v>171081.501231143</v>
      </c>
    </row>
    <row r="18" customFormat="false" ht="15" hidden="false" customHeight="true" outlineLevel="0" collapsed="false">
      <c r="T18" s="14" t="s">
        <v>604</v>
      </c>
      <c r="U18" s="14" t="s">
        <v>605</v>
      </c>
    </row>
    <row r="19" customFormat="false" ht="15" hidden="false" customHeight="true" outlineLevel="0" collapsed="false">
      <c r="T19" s="1" t="str">
        <f aca="false">'Rep-Quarter Summary'!B6</f>
        <v>Maria Chen</v>
      </c>
      <c r="U19" s="79" t="n">
        <f aca="false">'Rep-Quarter Summary'!K6</f>
        <v>0.709375</v>
      </c>
    </row>
    <row r="20" customFormat="false" ht="15" hidden="false" customHeight="true" outlineLevel="0" collapsed="false">
      <c r="T20" s="1" t="str">
        <f aca="false">'Rep-Quarter Summary'!B8</f>
        <v>James Okafor</v>
      </c>
      <c r="U20" s="79" t="n">
        <f aca="false">'Rep-Quarter Summary'!K8</f>
        <v>1.06666666666667</v>
      </c>
    </row>
    <row r="21" customFormat="false" ht="15" hidden="false" customHeight="true" outlineLevel="0" collapsed="false">
      <c r="T21" s="1" t="str">
        <f aca="false">'Rep-Quarter Summary'!B10</f>
        <v>Priya Patel</v>
      </c>
      <c r="U21" s="79" t="n">
        <f aca="false">'Rep-Quarter Summary'!K10</f>
        <v>0.868613138686131</v>
      </c>
    </row>
    <row r="22" customFormat="false" ht="15" hidden="false" customHeight="true" outlineLevel="0" collapsed="false">
      <c r="T22" s="1" t="str">
        <f aca="false">'Rep-Quarter Summary'!B12</f>
        <v>David Nguyen</v>
      </c>
      <c r="U22" s="79" t="n">
        <f aca="false">'Rep-Quarter Summary'!K12</f>
        <v>0.167741935483871</v>
      </c>
    </row>
    <row r="23" customFormat="false" ht="15" hidden="false" customHeight="true" outlineLevel="0" collapsed="false">
      <c r="T23" s="1" t="str">
        <f aca="false">'Rep-Quarter Summary'!B14</f>
        <v>Sofia Rossi</v>
      </c>
      <c r="U23" s="79" t="n">
        <f aca="false">'Rep-Quarter Summary'!K14</f>
        <v>1.02960526315789</v>
      </c>
    </row>
    <row r="24" customFormat="false" ht="15" hidden="false" customHeight="true" outlineLevel="0" collapsed="false">
      <c r="T24" s="1" t="str">
        <f aca="false">'Rep-Quarter Summary'!B16</f>
        <v>Marcus Bennett</v>
      </c>
      <c r="U24" s="79" t="n">
        <f aca="false">'Rep-Quarter Summary'!K16</f>
        <v>1.25786163522013</v>
      </c>
    </row>
    <row r="25" customFormat="false" ht="15" hidden="false" customHeight="true" outlineLevel="0" collapsed="false">
      <c r="T25" s="1" t="str">
        <f aca="false">'Rep-Quarter Summary'!B18</f>
        <v>Elena Kowalski</v>
      </c>
      <c r="U25" s="79" t="n">
        <f aca="false">'Rep-Quarter Summary'!K18</f>
        <v>0.7828125</v>
      </c>
    </row>
    <row r="26" customFormat="false" ht="15" hidden="false" customHeight="true" outlineLevel="0" collapsed="false">
      <c r="T26" s="1" t="str">
        <f aca="false">'Rep-Quarter Summary'!B20</f>
        <v>Tyler Alvarez</v>
      </c>
      <c r="U26" s="79" t="n">
        <f aca="false">'Rep-Quarter Summary'!K20</f>
        <v>1.14363636363636</v>
      </c>
    </row>
    <row r="27" customFormat="false" ht="15" hidden="false" customHeight="true" outlineLevel="0" collapsed="false">
      <c r="T27" s="1" t="str">
        <f aca="false">'Rep-Quarter Summary'!B22</f>
        <v>Aisha Kim</v>
      </c>
      <c r="U27" s="79" t="n">
        <f aca="false">'Rep-Quarter Summary'!K22</f>
        <v>0.881533101045296</v>
      </c>
    </row>
    <row r="28" customFormat="false" ht="15" hidden="false" customHeight="true" outlineLevel="0" collapsed="false">
      <c r="T28" s="1" t="str">
        <f aca="false">'Rep-Quarter Summary'!B24</f>
        <v>Ryan Sullivan</v>
      </c>
      <c r="U28" s="79" t="n">
        <f aca="false">'Rep-Quarter Summary'!K24</f>
        <v>1.12454212454212</v>
      </c>
    </row>
    <row r="29" customFormat="false" ht="15" hidden="false" customHeight="true" outlineLevel="0" collapsed="false">
      <c r="T29" s="1" t="str">
        <f aca="false">'Rep-Quarter Summary'!B26</f>
        <v>Natalie Reyes</v>
      </c>
      <c r="U29" s="79" t="n">
        <f aca="false">'Rep-Quarter Summary'!K26</f>
        <v>0.994915254237288</v>
      </c>
    </row>
    <row r="30" customFormat="false" ht="15" hidden="false" customHeight="true" outlineLevel="0" collapsed="false">
      <c r="T30" s="1" t="str">
        <f aca="false">'Rep-Quarter Summary'!B28</f>
        <v>Omar Fischer</v>
      </c>
      <c r="U30" s="79" t="n">
        <f aca="false">'Rep-Quarter Summary'!K28</f>
        <v>1.77623456790123</v>
      </c>
    </row>
    <row r="31" customFormat="false" ht="15" hidden="false" customHeight="true" outlineLevel="0" collapsed="false">
      <c r="T31" s="1" t="str">
        <f aca="false">'Rep-Quarter Summary'!B30</f>
        <v>Grace Adeyemi</v>
      </c>
      <c r="U31" s="79" t="n">
        <f aca="false">'Rep-Quarter Summary'!K30</f>
        <v>0.597444089456869</v>
      </c>
    </row>
    <row r="32" customFormat="false" ht="15" hidden="false" customHeight="true" outlineLevel="0" collapsed="false">
      <c r="T32" s="1" t="str">
        <f aca="false">'Rep-Quarter Summary'!B32</f>
        <v>Kevin Novak</v>
      </c>
      <c r="U32" s="79" t="n">
        <f aca="false">'Rep-Quarter Summary'!K32</f>
        <v>0.889235569422777</v>
      </c>
    </row>
    <row r="33" customFormat="false" ht="15" hidden="false" customHeight="true" outlineLevel="0" collapsed="false">
      <c r="T33" s="1" t="str">
        <f aca="false">'Rep-Quarter Summary'!B34</f>
        <v>Lucia Larsen</v>
      </c>
      <c r="U33" s="79" t="n">
        <f aca="false">'Rep-Quarter Summary'!K34</f>
        <v>1.00420875420875</v>
      </c>
    </row>
    <row r="35" customFormat="false" ht="15" hidden="false" customHeight="true" outlineLevel="0" collapsed="false">
      <c r="T35" s="14" t="s">
        <v>123</v>
      </c>
      <c r="U35" s="14" t="s">
        <v>606</v>
      </c>
    </row>
    <row r="36" customFormat="false" ht="15" hidden="false" customHeight="true" outlineLevel="0" collapsed="false">
      <c r="T36" s="1" t="s">
        <v>40</v>
      </c>
      <c r="U36" s="75" t="n">
        <f aca="false">SUMIF('Bookings Detail'!$H$5:$H$274,T36,'Bookings Detail'!$K$5:$K$274)</f>
        <v>8480000</v>
      </c>
    </row>
    <row r="37" customFormat="false" ht="15" hidden="false" customHeight="true" outlineLevel="0" collapsed="false">
      <c r="T37" s="1" t="s">
        <v>45</v>
      </c>
      <c r="U37" s="75" t="n">
        <f aca="false">SUMIF('Bookings Detail'!$H$5:$H$274,T37,'Bookings Detail'!$K$5:$K$274)</f>
        <v>1798500</v>
      </c>
    </row>
    <row r="38" customFormat="false" ht="15" hidden="false" customHeight="true" outlineLevel="0" collapsed="false">
      <c r="T38" s="1" t="s">
        <v>48</v>
      </c>
      <c r="U38" s="75" t="n">
        <f aca="false">SUMIF('Bookings Detail'!$H$5:$H$274,T38,'Bookings Detail'!$K$5:$K$274)</f>
        <v>3796000</v>
      </c>
    </row>
    <row r="41" customFormat="false" ht="15" hidden="false" customHeight="true" outlineLevel="0" collapsed="false">
      <c r="T41" s="14" t="s">
        <v>62</v>
      </c>
      <c r="U41" s="14" t="s">
        <v>607</v>
      </c>
      <c r="V41" s="14" t="s">
        <v>608</v>
      </c>
      <c r="W41" s="14" t="s">
        <v>609</v>
      </c>
    </row>
    <row r="42" customFormat="false" ht="15" hidden="false" customHeight="true" outlineLevel="0" collapsed="false">
      <c r="T42" s="1" t="s">
        <v>69</v>
      </c>
      <c r="U42" s="75" t="n">
        <f aca="false">SUMPRODUCT(('Bookings Detail'!$H$5:$H$274="Renewal")*('Bookings Detail'!$D$5:$D$274=T42)*'Bookings Detail'!$K$5:$K$274)</f>
        <v>915000</v>
      </c>
      <c r="V42" s="75" t="n">
        <f aca="false">SUMIF('Sales Roster &amp; Quotas'!$D$6:$D$20,T42,'Sales Roster &amp; Quotas'!$H$6:$H$20)*0.5</f>
        <v>734500</v>
      </c>
      <c r="W42" s="79" t="n">
        <f aca="false">IFERROR(U42/V42,0)</f>
        <v>1.24574540503744</v>
      </c>
    </row>
    <row r="43" customFormat="false" ht="15" hidden="false" customHeight="true" outlineLevel="0" collapsed="false">
      <c r="T43" s="1" t="s">
        <v>90</v>
      </c>
      <c r="U43" s="75" t="n">
        <f aca="false">SUMPRODUCT(('Bookings Detail'!$H$5:$H$274="Renewal")*('Bookings Detail'!$D$5:$D$274=T43)*'Bookings Detail'!$K$5:$K$274)</f>
        <v>1371500</v>
      </c>
      <c r="V43" s="75" t="n">
        <f aca="false">SUMIF('Sales Roster &amp; Quotas'!$D$6:$D$20,T43,'Sales Roster &amp; Quotas'!$H$6:$H$20)*0.5</f>
        <v>1382000</v>
      </c>
      <c r="W43" s="79" t="n">
        <f aca="false">IFERROR(U43/V43,0)</f>
        <v>0.992402315484805</v>
      </c>
    </row>
    <row r="44" customFormat="false" ht="15" hidden="false" customHeight="true" outlineLevel="0" collapsed="false">
      <c r="T44" s="1" t="s">
        <v>109</v>
      </c>
      <c r="U44" s="75" t="n">
        <f aca="false">SUMPRODUCT(('Bookings Detail'!$H$5:$H$274="Renewal")*('Bookings Detail'!$D$5:$D$274=T44)*'Bookings Detail'!$K$5:$K$274)</f>
        <v>1509500</v>
      </c>
      <c r="V44" s="75" t="n">
        <f aca="false">SUMIF('Sales Roster &amp; Quotas'!$D$6:$D$20,T44,'Sales Roster &amp; Quotas'!$H$6:$H$20)*0.5</f>
        <v>1563000</v>
      </c>
      <c r="W44" s="79" t="n">
        <f aca="false">IFERROR(U44/V44,0)</f>
        <v>0.965770953294946</v>
      </c>
    </row>
    <row r="62" customFormat="false" ht="15" hidden="false" customHeight="true" outlineLevel="0" collapsed="false">
      <c r="B62" s="8" t="s">
        <v>610</v>
      </c>
    </row>
    <row r="63" customFormat="false" ht="27.75" hidden="false" customHeight="true" outlineLevel="0" collapsed="false">
      <c r="B63" s="80" t="s">
        <v>26</v>
      </c>
      <c r="C63" s="81" t="s">
        <v>611</v>
      </c>
      <c r="D63" s="81"/>
      <c r="E63" s="81"/>
      <c r="F63" s="81"/>
      <c r="G63" s="81"/>
    </row>
    <row r="64" customFormat="false" ht="27.75" hidden="false" customHeight="true" outlineLevel="0" collapsed="false">
      <c r="B64" s="80" t="s">
        <v>26</v>
      </c>
      <c r="C64" s="81" t="s">
        <v>612</v>
      </c>
      <c r="D64" s="81"/>
      <c r="E64" s="81"/>
      <c r="F64" s="81"/>
      <c r="G64" s="81"/>
    </row>
    <row r="65" customFormat="false" ht="27.75" hidden="false" customHeight="true" outlineLevel="0" collapsed="false">
      <c r="B65" s="80" t="s">
        <v>26</v>
      </c>
      <c r="C65" s="81" t="s">
        <v>613</v>
      </c>
      <c r="D65" s="81"/>
      <c r="E65" s="81"/>
      <c r="F65" s="81"/>
      <c r="G65" s="81"/>
    </row>
    <row r="66" customFormat="false" ht="27.75" hidden="false" customHeight="true" outlineLevel="0" collapsed="false">
      <c r="B66" s="80" t="s">
        <v>26</v>
      </c>
      <c r="C66" s="81" t="s">
        <v>614</v>
      </c>
      <c r="D66" s="81"/>
      <c r="E66" s="81"/>
      <c r="F66" s="81"/>
      <c r="G66" s="81"/>
    </row>
  </sheetData>
  <mergeCells count="16">
    <mergeCell ref="B5:C5"/>
    <mergeCell ref="D5:E5"/>
    <mergeCell ref="F5:G5"/>
    <mergeCell ref="B6:C6"/>
    <mergeCell ref="D6:E6"/>
    <mergeCell ref="F6:G6"/>
    <mergeCell ref="B9:C9"/>
    <mergeCell ref="D9:E9"/>
    <mergeCell ref="F9:G9"/>
    <mergeCell ref="B10:C10"/>
    <mergeCell ref="D10:E10"/>
    <mergeCell ref="F10:G10"/>
    <mergeCell ref="C63:G63"/>
    <mergeCell ref="C64:G64"/>
    <mergeCell ref="C65:G65"/>
    <mergeCell ref="C66:G66"/>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P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7" topLeftCell="B18" activePane="bottomRight" state="frozen"/>
      <selection pane="topLeft" activeCell="A1" activeCellId="0" sqref="A1"/>
      <selection pane="topRight" activeCell="B1" activeCellId="0" sqref="B1"/>
      <selection pane="bottomLeft" activeCell="A18" activeCellId="0" sqref="A18"/>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24"/>
    <col collapsed="false" customWidth="true" hidden="false" outlineLevel="0" max="3" min="3" style="1" width="16"/>
    <col collapsed="false" customWidth="true" hidden="false" outlineLevel="0" max="4" min="4" style="1" width="14"/>
    <col collapsed="false" customWidth="true" hidden="false" outlineLevel="0" max="7" min="5" style="1" width="13"/>
    <col collapsed="false" customWidth="true" hidden="false" outlineLevel="0" max="8" min="8" style="1" width="14"/>
    <col collapsed="false" customWidth="true" hidden="false" outlineLevel="0" max="9" min="9" style="1" width="16"/>
    <col collapsed="false" customWidth="true" hidden="false" outlineLevel="0" max="12" min="10" style="1" width="13"/>
    <col collapsed="false" customWidth="true" hidden="false" outlineLevel="0" max="15" min="13" style="1" width="15"/>
    <col collapsed="false" customWidth="true" hidden="false" outlineLevel="0" max="16" min="16" style="1" width="16"/>
  </cols>
  <sheetData>
    <row r="2" customFormat="false" ht="17.35" hidden="false" customHeight="false" outlineLevel="0" collapsed="false">
      <c r="B2" s="13" t="s">
        <v>615</v>
      </c>
    </row>
    <row r="3" customFormat="false" ht="15" hidden="false" customHeight="false" outlineLevel="0" collapsed="false">
      <c r="B3" s="33" t="s">
        <v>616</v>
      </c>
      <c r="C3" s="33"/>
      <c r="D3" s="33"/>
      <c r="E3" s="33"/>
      <c r="F3" s="33"/>
      <c r="G3" s="33"/>
      <c r="H3" s="33"/>
    </row>
    <row r="5" customFormat="false" ht="15" hidden="false" customHeight="false" outlineLevel="0" collapsed="false">
      <c r="B5" s="8" t="s">
        <v>617</v>
      </c>
    </row>
    <row r="6" customFormat="false" ht="15" hidden="false" customHeight="false" outlineLevel="0" collapsed="false">
      <c r="B6" s="6" t="s">
        <v>618</v>
      </c>
      <c r="D6" s="82" t="n">
        <v>0.08</v>
      </c>
    </row>
    <row r="7" customFormat="false" ht="15" hidden="false" customHeight="false" outlineLevel="0" collapsed="false">
      <c r="B7" s="6" t="s">
        <v>619</v>
      </c>
      <c r="D7" s="82" t="n">
        <v>0.1</v>
      </c>
    </row>
    <row r="8" customFormat="false" ht="15" hidden="false" customHeight="false" outlineLevel="0" collapsed="false">
      <c r="B8" s="6" t="s">
        <v>620</v>
      </c>
      <c r="D8" s="82" t="n">
        <v>0.12</v>
      </c>
    </row>
    <row r="9" customFormat="false" ht="15" hidden="false" customHeight="false" outlineLevel="0" collapsed="false">
      <c r="B9" s="6" t="s">
        <v>54</v>
      </c>
      <c r="D9" s="82" t="n">
        <v>0.06</v>
      </c>
    </row>
    <row r="10" customFormat="false" ht="15" hidden="false" customHeight="false" outlineLevel="0" collapsed="false">
      <c r="B10" s="6" t="s">
        <v>55</v>
      </c>
      <c r="D10" s="82" t="n">
        <v>0.03</v>
      </c>
    </row>
    <row r="11" customFormat="false" ht="15" hidden="false" customHeight="false" outlineLevel="0" collapsed="false">
      <c r="B11" s="6" t="s">
        <v>621</v>
      </c>
      <c r="D11" s="82" t="n">
        <v>0</v>
      </c>
    </row>
    <row r="12" customFormat="false" ht="15" hidden="false" customHeight="false" outlineLevel="0" collapsed="false">
      <c r="B12" s="4" t="s">
        <v>622</v>
      </c>
    </row>
    <row r="15" customFormat="false" ht="15" hidden="false" customHeight="false" outlineLevel="0" collapsed="false">
      <c r="B15" s="8" t="s">
        <v>623</v>
      </c>
    </row>
    <row r="17" customFormat="false" ht="23.85" hidden="false" customHeight="false" outlineLevel="0" collapsed="false">
      <c r="B17" s="14" t="s">
        <v>60</v>
      </c>
      <c r="C17" s="14" t="s">
        <v>61</v>
      </c>
      <c r="D17" s="14" t="s">
        <v>122</v>
      </c>
      <c r="E17" s="14" t="s">
        <v>564</v>
      </c>
      <c r="F17" s="14" t="s">
        <v>565</v>
      </c>
      <c r="G17" s="14" t="s">
        <v>566</v>
      </c>
      <c r="H17" s="14" t="s">
        <v>624</v>
      </c>
      <c r="I17" s="14" t="s">
        <v>625</v>
      </c>
      <c r="J17" s="14" t="s">
        <v>626</v>
      </c>
      <c r="K17" s="14" t="s">
        <v>627</v>
      </c>
      <c r="L17" s="14" t="s">
        <v>628</v>
      </c>
      <c r="M17" s="14" t="s">
        <v>629</v>
      </c>
      <c r="N17" s="14" t="s">
        <v>630</v>
      </c>
      <c r="O17" s="14" t="s">
        <v>631</v>
      </c>
      <c r="P17" s="14" t="s">
        <v>632</v>
      </c>
    </row>
    <row r="18" customFormat="false" ht="15" hidden="false" customHeight="false" outlineLevel="0" collapsed="false">
      <c r="B18" s="34" t="str">
        <f aca="false">'Rep-Quarter Summary'!A5</f>
        <v>R001</v>
      </c>
      <c r="C18" s="34" t="str">
        <f aca="false">'Rep-Quarter Summary'!B5</f>
        <v>Maria Chen</v>
      </c>
      <c r="D18" s="34" t="str">
        <f aca="false">'Rep-Quarter Summary'!E5</f>
        <v>Q1</v>
      </c>
      <c r="E18" s="36" t="n">
        <f aca="false">'Rep-Quarter Summary'!F5</f>
        <v>142000</v>
      </c>
      <c r="F18" s="36" t="n">
        <f aca="false">'Rep-Quarter Summary'!G5</f>
        <v>53500</v>
      </c>
      <c r="G18" s="36" t="n">
        <f aca="false">'Rep-Quarter Summary'!H5</f>
        <v>74000</v>
      </c>
      <c r="H18" s="37" t="n">
        <f aca="false">'Rep-Quarter Summary'!J5*(1+$D$11)</f>
        <v>160000</v>
      </c>
      <c r="I18" s="38" t="n">
        <f aca="false">IFERROR(E18/H18,0)</f>
        <v>0.8875</v>
      </c>
      <c r="J18" s="37" t="n">
        <f aca="false">MIN(E18,H18)</f>
        <v>142000</v>
      </c>
      <c r="K18" s="37" t="n">
        <f aca="false">MAX(MIN(E18,H18*1.25)-H18,0)</f>
        <v>0</v>
      </c>
      <c r="L18" s="37" t="n">
        <f aca="false">MAX(E18-H18*1.25,0)</f>
        <v>0</v>
      </c>
      <c r="M18" s="37" t="n">
        <f aca="false">J18*$D$6+K18*$D$7+L18*$D$8</f>
        <v>11360</v>
      </c>
      <c r="N18" s="37" t="n">
        <f aca="false">F18*$D$9</f>
        <v>3210</v>
      </c>
      <c r="O18" s="37" t="n">
        <f aca="false">G18*$D$10</f>
        <v>2220</v>
      </c>
      <c r="P18" s="49" t="n">
        <f aca="false">M18+N18+O18</f>
        <v>16790</v>
      </c>
    </row>
    <row r="19" customFormat="false" ht="15" hidden="false" customHeight="false" outlineLevel="0" collapsed="false">
      <c r="B19" s="40" t="str">
        <f aca="false">'Rep-Quarter Summary'!A6</f>
        <v>R001</v>
      </c>
      <c r="C19" s="40" t="str">
        <f aca="false">'Rep-Quarter Summary'!B6</f>
        <v>Maria Chen</v>
      </c>
      <c r="D19" s="40" t="str">
        <f aca="false">'Rep-Quarter Summary'!E6</f>
        <v>Q2</v>
      </c>
      <c r="E19" s="42" t="n">
        <f aca="false">'Rep-Quarter Summary'!F6</f>
        <v>113500</v>
      </c>
      <c r="F19" s="42" t="n">
        <f aca="false">'Rep-Quarter Summary'!G6</f>
        <v>84000</v>
      </c>
      <c r="G19" s="42" t="n">
        <f aca="false">'Rep-Quarter Summary'!H6</f>
        <v>79500</v>
      </c>
      <c r="H19" s="43" t="n">
        <f aca="false">'Rep-Quarter Summary'!J6*(1+$D$11)</f>
        <v>160000</v>
      </c>
      <c r="I19" s="44" t="n">
        <f aca="false">IFERROR(E19/H19,0)</f>
        <v>0.709375</v>
      </c>
      <c r="J19" s="43" t="n">
        <f aca="false">MIN(E19,H19)</f>
        <v>113500</v>
      </c>
      <c r="K19" s="43" t="n">
        <f aca="false">MAX(MIN(E19,H19*1.25)-H19,0)</f>
        <v>0</v>
      </c>
      <c r="L19" s="43" t="n">
        <f aca="false">MAX(E19-H19*1.25,0)</f>
        <v>0</v>
      </c>
      <c r="M19" s="43" t="n">
        <f aca="false">J19*$D$6+K19*$D$7+L19*$D$8</f>
        <v>9080</v>
      </c>
      <c r="N19" s="43" t="n">
        <f aca="false">F19*$D$9</f>
        <v>5040</v>
      </c>
      <c r="O19" s="43" t="n">
        <f aca="false">G19*$D$10</f>
        <v>2385</v>
      </c>
      <c r="P19" s="51" t="n">
        <f aca="false">M19+N19+O19</f>
        <v>16505</v>
      </c>
    </row>
    <row r="20" customFormat="false" ht="15" hidden="false" customHeight="false" outlineLevel="0" collapsed="false">
      <c r="B20" s="34" t="str">
        <f aca="false">'Rep-Quarter Summary'!A7</f>
        <v>R002</v>
      </c>
      <c r="C20" s="34" t="str">
        <f aca="false">'Rep-Quarter Summary'!B7</f>
        <v>James Okafor</v>
      </c>
      <c r="D20" s="34" t="str">
        <f aca="false">'Rep-Quarter Summary'!E7</f>
        <v>Q1</v>
      </c>
      <c r="E20" s="36" t="n">
        <f aca="false">'Rep-Quarter Summary'!F7</f>
        <v>170500</v>
      </c>
      <c r="F20" s="36" t="n">
        <f aca="false">'Rep-Quarter Summary'!G7</f>
        <v>4500</v>
      </c>
      <c r="G20" s="36" t="n">
        <f aca="false">'Rep-Quarter Summary'!H7</f>
        <v>10000</v>
      </c>
      <c r="H20" s="37" t="n">
        <f aca="false">'Rep-Quarter Summary'!J7*(1+$D$11)</f>
        <v>135000</v>
      </c>
      <c r="I20" s="38" t="n">
        <f aca="false">IFERROR(E20/H20,0)</f>
        <v>1.26296296296296</v>
      </c>
      <c r="J20" s="37" t="n">
        <f aca="false">MIN(E20,H20)</f>
        <v>135000</v>
      </c>
      <c r="K20" s="37" t="n">
        <f aca="false">MAX(MIN(E20,H20*1.25)-H20,0)</f>
        <v>33750</v>
      </c>
      <c r="L20" s="37" t="n">
        <f aca="false">MAX(E20-H20*1.25,0)</f>
        <v>1750</v>
      </c>
      <c r="M20" s="37" t="n">
        <f aca="false">J20*$D$6+K20*$D$7+L20*$D$8</f>
        <v>14385</v>
      </c>
      <c r="N20" s="37" t="n">
        <f aca="false">F20*$D$9</f>
        <v>270</v>
      </c>
      <c r="O20" s="37" t="n">
        <f aca="false">G20*$D$10</f>
        <v>300</v>
      </c>
      <c r="P20" s="49" t="n">
        <f aca="false">M20+N20+O20</f>
        <v>14955</v>
      </c>
    </row>
    <row r="21" customFormat="false" ht="15" hidden="false" customHeight="false" outlineLevel="0" collapsed="false">
      <c r="B21" s="40" t="str">
        <f aca="false">'Rep-Quarter Summary'!A8</f>
        <v>R002</v>
      </c>
      <c r="C21" s="40" t="str">
        <f aca="false">'Rep-Quarter Summary'!B8</f>
        <v>James Okafor</v>
      </c>
      <c r="D21" s="40" t="str">
        <f aca="false">'Rep-Quarter Summary'!E8</f>
        <v>Q2</v>
      </c>
      <c r="E21" s="42" t="n">
        <f aca="false">'Rep-Quarter Summary'!F8</f>
        <v>144000</v>
      </c>
      <c r="F21" s="42" t="n">
        <f aca="false">'Rep-Quarter Summary'!G8</f>
        <v>0</v>
      </c>
      <c r="G21" s="42" t="n">
        <f aca="false">'Rep-Quarter Summary'!H8</f>
        <v>13500</v>
      </c>
      <c r="H21" s="43" t="n">
        <f aca="false">'Rep-Quarter Summary'!J8*(1+$D$11)</f>
        <v>135000</v>
      </c>
      <c r="I21" s="44" t="n">
        <f aca="false">IFERROR(E21/H21,0)</f>
        <v>1.06666666666667</v>
      </c>
      <c r="J21" s="43" t="n">
        <f aca="false">MIN(E21,H21)</f>
        <v>135000</v>
      </c>
      <c r="K21" s="43" t="n">
        <f aca="false">MAX(MIN(E21,H21*1.25)-H21,0)</f>
        <v>9000</v>
      </c>
      <c r="L21" s="43" t="n">
        <f aca="false">MAX(E21-H21*1.25,0)</f>
        <v>0</v>
      </c>
      <c r="M21" s="43" t="n">
        <f aca="false">J21*$D$6+K21*$D$7+L21*$D$8</f>
        <v>11700</v>
      </c>
      <c r="N21" s="43" t="n">
        <f aca="false">F21*$D$9</f>
        <v>0</v>
      </c>
      <c r="O21" s="43" t="n">
        <f aca="false">G21*$D$10</f>
        <v>405</v>
      </c>
      <c r="P21" s="51" t="n">
        <f aca="false">M21+N21+O21</f>
        <v>12105</v>
      </c>
    </row>
    <row r="22" customFormat="false" ht="15" hidden="false" customHeight="false" outlineLevel="0" collapsed="false">
      <c r="B22" s="34" t="str">
        <f aca="false">'Rep-Quarter Summary'!A9</f>
        <v>R003</v>
      </c>
      <c r="C22" s="34" t="str">
        <f aca="false">'Rep-Quarter Summary'!B9</f>
        <v>Priya Patel</v>
      </c>
      <c r="D22" s="34" t="str">
        <f aca="false">'Rep-Quarter Summary'!E9</f>
        <v>Q1</v>
      </c>
      <c r="E22" s="36" t="n">
        <f aca="false">'Rep-Quarter Summary'!F9</f>
        <v>118500</v>
      </c>
      <c r="F22" s="36" t="n">
        <f aca="false">'Rep-Quarter Summary'!G9</f>
        <v>36000</v>
      </c>
      <c r="G22" s="36" t="n">
        <f aca="false">'Rep-Quarter Summary'!H9</f>
        <v>79500</v>
      </c>
      <c r="H22" s="37" t="n">
        <f aca="false">'Rep-Quarter Summary'!J9*(1+$D$11)</f>
        <v>137000</v>
      </c>
      <c r="I22" s="38" t="n">
        <f aca="false">IFERROR(E22/H22,0)</f>
        <v>0.864963503649635</v>
      </c>
      <c r="J22" s="37" t="n">
        <f aca="false">MIN(E22,H22)</f>
        <v>118500</v>
      </c>
      <c r="K22" s="37" t="n">
        <f aca="false">MAX(MIN(E22,H22*1.25)-H22,0)</f>
        <v>0</v>
      </c>
      <c r="L22" s="37" t="n">
        <f aca="false">MAX(E22-H22*1.25,0)</f>
        <v>0</v>
      </c>
      <c r="M22" s="37" t="n">
        <f aca="false">J22*$D$6+K22*$D$7+L22*$D$8</f>
        <v>9480</v>
      </c>
      <c r="N22" s="37" t="n">
        <f aca="false">F22*$D$9</f>
        <v>2160</v>
      </c>
      <c r="O22" s="37" t="n">
        <f aca="false">G22*$D$10</f>
        <v>2385</v>
      </c>
      <c r="P22" s="49" t="n">
        <f aca="false">M22+N22+O22</f>
        <v>14025</v>
      </c>
    </row>
    <row r="23" customFormat="false" ht="15" hidden="false" customHeight="false" outlineLevel="0" collapsed="false">
      <c r="B23" s="40" t="str">
        <f aca="false">'Rep-Quarter Summary'!A10</f>
        <v>R003</v>
      </c>
      <c r="C23" s="40" t="str">
        <f aca="false">'Rep-Quarter Summary'!B10</f>
        <v>Priya Patel</v>
      </c>
      <c r="D23" s="40" t="str">
        <f aca="false">'Rep-Quarter Summary'!E10</f>
        <v>Q2</v>
      </c>
      <c r="E23" s="42" t="n">
        <f aca="false">'Rep-Quarter Summary'!F10</f>
        <v>119000</v>
      </c>
      <c r="F23" s="42" t="n">
        <f aca="false">'Rep-Quarter Summary'!G10</f>
        <v>54500</v>
      </c>
      <c r="G23" s="42" t="n">
        <f aca="false">'Rep-Quarter Summary'!H10</f>
        <v>92500</v>
      </c>
      <c r="H23" s="43" t="n">
        <f aca="false">'Rep-Quarter Summary'!J10*(1+$D$11)</f>
        <v>137000</v>
      </c>
      <c r="I23" s="44" t="n">
        <f aca="false">IFERROR(E23/H23,0)</f>
        <v>0.868613138686131</v>
      </c>
      <c r="J23" s="43" t="n">
        <f aca="false">MIN(E23,H23)</f>
        <v>119000</v>
      </c>
      <c r="K23" s="43" t="n">
        <f aca="false">MAX(MIN(E23,H23*1.25)-H23,0)</f>
        <v>0</v>
      </c>
      <c r="L23" s="43" t="n">
        <f aca="false">MAX(E23-H23*1.25,0)</f>
        <v>0</v>
      </c>
      <c r="M23" s="43" t="n">
        <f aca="false">J23*$D$6+K23*$D$7+L23*$D$8</f>
        <v>9520</v>
      </c>
      <c r="N23" s="43" t="n">
        <f aca="false">F23*$D$9</f>
        <v>3270</v>
      </c>
      <c r="O23" s="43" t="n">
        <f aca="false">G23*$D$10</f>
        <v>2775</v>
      </c>
      <c r="P23" s="51" t="n">
        <f aca="false">M23+N23+O23</f>
        <v>15565</v>
      </c>
    </row>
    <row r="24" customFormat="false" ht="15" hidden="false" customHeight="false" outlineLevel="0" collapsed="false">
      <c r="B24" s="34" t="str">
        <f aca="false">'Rep-Quarter Summary'!A11</f>
        <v>R004</v>
      </c>
      <c r="C24" s="34" t="str">
        <f aca="false">'Rep-Quarter Summary'!B11</f>
        <v>David Nguyen</v>
      </c>
      <c r="D24" s="34" t="str">
        <f aca="false">'Rep-Quarter Summary'!E11</f>
        <v>Q1</v>
      </c>
      <c r="E24" s="36" t="n">
        <f aca="false">'Rep-Quarter Summary'!F11</f>
        <v>196500</v>
      </c>
      <c r="F24" s="36" t="n">
        <f aca="false">'Rep-Quarter Summary'!G11</f>
        <v>37000</v>
      </c>
      <c r="G24" s="36" t="n">
        <f aca="false">'Rep-Quarter Summary'!H11</f>
        <v>38500</v>
      </c>
      <c r="H24" s="37" t="n">
        <f aca="false">'Rep-Quarter Summary'!J11*(1+$D$11)</f>
        <v>155000</v>
      </c>
      <c r="I24" s="38" t="n">
        <f aca="false">IFERROR(E24/H24,0)</f>
        <v>1.26774193548387</v>
      </c>
      <c r="J24" s="37" t="n">
        <f aca="false">MIN(E24,H24)</f>
        <v>155000</v>
      </c>
      <c r="K24" s="37" t="n">
        <f aca="false">MAX(MIN(E24,H24*1.25)-H24,0)</f>
        <v>38750</v>
      </c>
      <c r="L24" s="37" t="n">
        <f aca="false">MAX(E24-H24*1.25,0)</f>
        <v>2750</v>
      </c>
      <c r="M24" s="37" t="n">
        <f aca="false">J24*$D$6+K24*$D$7+L24*$D$8</f>
        <v>16605</v>
      </c>
      <c r="N24" s="37" t="n">
        <f aca="false">F24*$D$9</f>
        <v>2220</v>
      </c>
      <c r="O24" s="37" t="n">
        <f aca="false">G24*$D$10</f>
        <v>1155</v>
      </c>
      <c r="P24" s="49" t="n">
        <f aca="false">M24+N24+O24</f>
        <v>19980</v>
      </c>
    </row>
    <row r="25" customFormat="false" ht="15" hidden="false" customHeight="false" outlineLevel="0" collapsed="false">
      <c r="B25" s="40" t="str">
        <f aca="false">'Rep-Quarter Summary'!A12</f>
        <v>R004</v>
      </c>
      <c r="C25" s="40" t="str">
        <f aca="false">'Rep-Quarter Summary'!B12</f>
        <v>David Nguyen</v>
      </c>
      <c r="D25" s="40" t="str">
        <f aca="false">'Rep-Quarter Summary'!E12</f>
        <v>Q2</v>
      </c>
      <c r="E25" s="42" t="n">
        <f aca="false">'Rep-Quarter Summary'!F12</f>
        <v>26000</v>
      </c>
      <c r="F25" s="42" t="n">
        <f aca="false">'Rep-Quarter Summary'!G12</f>
        <v>6500</v>
      </c>
      <c r="G25" s="42" t="n">
        <f aca="false">'Rep-Quarter Summary'!H12</f>
        <v>171500</v>
      </c>
      <c r="H25" s="43" t="n">
        <f aca="false">'Rep-Quarter Summary'!J12*(1+$D$11)</f>
        <v>155000</v>
      </c>
      <c r="I25" s="44" t="n">
        <f aca="false">IFERROR(E25/H25,0)</f>
        <v>0.167741935483871</v>
      </c>
      <c r="J25" s="43" t="n">
        <f aca="false">MIN(E25,H25)</f>
        <v>26000</v>
      </c>
      <c r="K25" s="43" t="n">
        <f aca="false">MAX(MIN(E25,H25*1.25)-H25,0)</f>
        <v>0</v>
      </c>
      <c r="L25" s="43" t="n">
        <f aca="false">MAX(E25-H25*1.25,0)</f>
        <v>0</v>
      </c>
      <c r="M25" s="43" t="n">
        <f aca="false">J25*$D$6+K25*$D$7+L25*$D$8</f>
        <v>2080</v>
      </c>
      <c r="N25" s="43" t="n">
        <f aca="false">F25*$D$9</f>
        <v>390</v>
      </c>
      <c r="O25" s="43" t="n">
        <f aca="false">G25*$D$10</f>
        <v>5145</v>
      </c>
      <c r="P25" s="51" t="n">
        <f aca="false">M25+N25+O25</f>
        <v>7615</v>
      </c>
    </row>
    <row r="26" customFormat="false" ht="15" hidden="false" customHeight="false" outlineLevel="0" collapsed="false">
      <c r="B26" s="34" t="str">
        <f aca="false">'Rep-Quarter Summary'!A13</f>
        <v>R005</v>
      </c>
      <c r="C26" s="34" t="str">
        <f aca="false">'Rep-Quarter Summary'!B13</f>
        <v>Sofia Rossi</v>
      </c>
      <c r="D26" s="34" t="str">
        <f aca="false">'Rep-Quarter Summary'!E13</f>
        <v>Q1</v>
      </c>
      <c r="E26" s="36" t="n">
        <f aca="false">'Rep-Quarter Summary'!F13</f>
        <v>153500</v>
      </c>
      <c r="F26" s="36" t="n">
        <f aca="false">'Rep-Quarter Summary'!G13</f>
        <v>37500</v>
      </c>
      <c r="G26" s="36" t="n">
        <f aca="false">'Rep-Quarter Summary'!H13</f>
        <v>86000</v>
      </c>
      <c r="H26" s="37" t="n">
        <f aca="false">'Rep-Quarter Summary'!J13*(1+$D$11)</f>
        <v>152000</v>
      </c>
      <c r="I26" s="38" t="n">
        <f aca="false">IFERROR(E26/H26,0)</f>
        <v>1.00986842105263</v>
      </c>
      <c r="J26" s="37" t="n">
        <f aca="false">MIN(E26,H26)</f>
        <v>152000</v>
      </c>
      <c r="K26" s="37" t="n">
        <f aca="false">MAX(MIN(E26,H26*1.25)-H26,0)</f>
        <v>1500</v>
      </c>
      <c r="L26" s="37" t="n">
        <f aca="false">MAX(E26-H26*1.25,0)</f>
        <v>0</v>
      </c>
      <c r="M26" s="37" t="n">
        <f aca="false">J26*$D$6+K26*$D$7+L26*$D$8</f>
        <v>12310</v>
      </c>
      <c r="N26" s="37" t="n">
        <f aca="false">F26*$D$9</f>
        <v>2250</v>
      </c>
      <c r="O26" s="37" t="n">
        <f aca="false">G26*$D$10</f>
        <v>2580</v>
      </c>
      <c r="P26" s="49" t="n">
        <f aca="false">M26+N26+O26</f>
        <v>17140</v>
      </c>
    </row>
    <row r="27" customFormat="false" ht="15" hidden="false" customHeight="false" outlineLevel="0" collapsed="false">
      <c r="B27" s="40" t="str">
        <f aca="false">'Rep-Quarter Summary'!A14</f>
        <v>R005</v>
      </c>
      <c r="C27" s="40" t="str">
        <f aca="false">'Rep-Quarter Summary'!B14</f>
        <v>Sofia Rossi</v>
      </c>
      <c r="D27" s="40" t="str">
        <f aca="false">'Rep-Quarter Summary'!E14</f>
        <v>Q2</v>
      </c>
      <c r="E27" s="42" t="n">
        <f aca="false">'Rep-Quarter Summary'!F14</f>
        <v>156500</v>
      </c>
      <c r="F27" s="42" t="n">
        <f aca="false">'Rep-Quarter Summary'!G14</f>
        <v>0</v>
      </c>
      <c r="G27" s="42" t="n">
        <f aca="false">'Rep-Quarter Summary'!H14</f>
        <v>87500</v>
      </c>
      <c r="H27" s="43" t="n">
        <f aca="false">'Rep-Quarter Summary'!J14*(1+$D$11)</f>
        <v>152000</v>
      </c>
      <c r="I27" s="44" t="n">
        <f aca="false">IFERROR(E27/H27,0)</f>
        <v>1.02960526315789</v>
      </c>
      <c r="J27" s="43" t="n">
        <f aca="false">MIN(E27,H27)</f>
        <v>152000</v>
      </c>
      <c r="K27" s="43" t="n">
        <f aca="false">MAX(MIN(E27,H27*1.25)-H27,0)</f>
        <v>4500</v>
      </c>
      <c r="L27" s="43" t="n">
        <f aca="false">MAX(E27-H27*1.25,0)</f>
        <v>0</v>
      </c>
      <c r="M27" s="43" t="n">
        <f aca="false">J27*$D$6+K27*$D$7+L27*$D$8</f>
        <v>12610</v>
      </c>
      <c r="N27" s="43" t="n">
        <f aca="false">F27*$D$9</f>
        <v>0</v>
      </c>
      <c r="O27" s="43" t="n">
        <f aca="false">G27*$D$10</f>
        <v>2625</v>
      </c>
      <c r="P27" s="51" t="n">
        <f aca="false">M27+N27+O27</f>
        <v>15235</v>
      </c>
    </row>
    <row r="28" customFormat="false" ht="15" hidden="false" customHeight="false" outlineLevel="0" collapsed="false">
      <c r="B28" s="34" t="str">
        <f aca="false">'Rep-Quarter Summary'!A15</f>
        <v>R006</v>
      </c>
      <c r="C28" s="34" t="str">
        <f aca="false">'Rep-Quarter Summary'!B15</f>
        <v>Marcus Bennett</v>
      </c>
      <c r="D28" s="34" t="str">
        <f aca="false">'Rep-Quarter Summary'!E15</f>
        <v>Q1</v>
      </c>
      <c r="E28" s="36" t="n">
        <f aca="false">'Rep-Quarter Summary'!F15</f>
        <v>174500</v>
      </c>
      <c r="F28" s="36" t="n">
        <f aca="false">'Rep-Quarter Summary'!G15</f>
        <v>64500</v>
      </c>
      <c r="G28" s="36" t="n">
        <f aca="false">'Rep-Quarter Summary'!H15</f>
        <v>97500</v>
      </c>
      <c r="H28" s="37" t="n">
        <f aca="false">'Rep-Quarter Summary'!J15*(1+$D$11)</f>
        <v>159000</v>
      </c>
      <c r="I28" s="38" t="n">
        <f aca="false">IFERROR(E28/H28,0)</f>
        <v>1.09748427672956</v>
      </c>
      <c r="J28" s="37" t="n">
        <f aca="false">MIN(E28,H28)</f>
        <v>159000</v>
      </c>
      <c r="K28" s="37" t="n">
        <f aca="false">MAX(MIN(E28,H28*1.25)-H28,0)</f>
        <v>15500</v>
      </c>
      <c r="L28" s="37" t="n">
        <f aca="false">MAX(E28-H28*1.25,0)</f>
        <v>0</v>
      </c>
      <c r="M28" s="37" t="n">
        <f aca="false">J28*$D$6+K28*$D$7+L28*$D$8</f>
        <v>14270</v>
      </c>
      <c r="N28" s="37" t="n">
        <f aca="false">F28*$D$9</f>
        <v>3870</v>
      </c>
      <c r="O28" s="37" t="n">
        <f aca="false">G28*$D$10</f>
        <v>2925</v>
      </c>
      <c r="P28" s="49" t="n">
        <f aca="false">M28+N28+O28</f>
        <v>21065</v>
      </c>
    </row>
    <row r="29" customFormat="false" ht="15" hidden="false" customHeight="false" outlineLevel="0" collapsed="false">
      <c r="B29" s="40" t="str">
        <f aca="false">'Rep-Quarter Summary'!A16</f>
        <v>R006</v>
      </c>
      <c r="C29" s="40" t="str">
        <f aca="false">'Rep-Quarter Summary'!B16</f>
        <v>Marcus Bennett</v>
      </c>
      <c r="D29" s="40" t="str">
        <f aca="false">'Rep-Quarter Summary'!E16</f>
        <v>Q2</v>
      </c>
      <c r="E29" s="42" t="n">
        <f aca="false">'Rep-Quarter Summary'!F16</f>
        <v>200000</v>
      </c>
      <c r="F29" s="42" t="n">
        <f aca="false">'Rep-Quarter Summary'!G16</f>
        <v>93500</v>
      </c>
      <c r="G29" s="42" t="n">
        <f aca="false">'Rep-Quarter Summary'!H16</f>
        <v>85000</v>
      </c>
      <c r="H29" s="43" t="n">
        <f aca="false">'Rep-Quarter Summary'!J16*(1+$D$11)</f>
        <v>159000</v>
      </c>
      <c r="I29" s="44" t="n">
        <f aca="false">IFERROR(E29/H29,0)</f>
        <v>1.25786163522013</v>
      </c>
      <c r="J29" s="43" t="n">
        <f aca="false">MIN(E29,H29)</f>
        <v>159000</v>
      </c>
      <c r="K29" s="43" t="n">
        <f aca="false">MAX(MIN(E29,H29*1.25)-H29,0)</f>
        <v>39750</v>
      </c>
      <c r="L29" s="43" t="n">
        <f aca="false">MAX(E29-H29*1.25,0)</f>
        <v>1250</v>
      </c>
      <c r="M29" s="43" t="n">
        <f aca="false">J29*$D$6+K29*$D$7+L29*$D$8</f>
        <v>16845</v>
      </c>
      <c r="N29" s="43" t="n">
        <f aca="false">F29*$D$9</f>
        <v>5610</v>
      </c>
      <c r="O29" s="43" t="n">
        <f aca="false">G29*$D$10</f>
        <v>2550</v>
      </c>
      <c r="P29" s="51" t="n">
        <f aca="false">M29+N29+O29</f>
        <v>25005</v>
      </c>
    </row>
    <row r="30" customFormat="false" ht="15" hidden="false" customHeight="false" outlineLevel="0" collapsed="false">
      <c r="B30" s="34" t="str">
        <f aca="false">'Rep-Quarter Summary'!A17</f>
        <v>R007</v>
      </c>
      <c r="C30" s="34" t="str">
        <f aca="false">'Rep-Quarter Summary'!B17</f>
        <v>Elena Kowalski</v>
      </c>
      <c r="D30" s="34" t="str">
        <f aca="false">'Rep-Quarter Summary'!E17</f>
        <v>Q1</v>
      </c>
      <c r="E30" s="36" t="n">
        <f aca="false">'Rep-Quarter Summary'!F17</f>
        <v>259000</v>
      </c>
      <c r="F30" s="36" t="n">
        <f aca="false">'Rep-Quarter Summary'!G17</f>
        <v>149000</v>
      </c>
      <c r="G30" s="36" t="n">
        <f aca="false">'Rep-Quarter Summary'!H17</f>
        <v>154000</v>
      </c>
      <c r="H30" s="37" t="n">
        <f aca="false">'Rep-Quarter Summary'!J17*(1+$D$11)</f>
        <v>320000</v>
      </c>
      <c r="I30" s="38" t="n">
        <f aca="false">IFERROR(E30/H30,0)</f>
        <v>0.809375</v>
      </c>
      <c r="J30" s="37" t="n">
        <f aca="false">MIN(E30,H30)</f>
        <v>259000</v>
      </c>
      <c r="K30" s="37" t="n">
        <f aca="false">MAX(MIN(E30,H30*1.25)-H30,0)</f>
        <v>0</v>
      </c>
      <c r="L30" s="37" t="n">
        <f aca="false">MAX(E30-H30*1.25,0)</f>
        <v>0</v>
      </c>
      <c r="M30" s="37" t="n">
        <f aca="false">J30*$D$6+K30*$D$7+L30*$D$8</f>
        <v>20720</v>
      </c>
      <c r="N30" s="37" t="n">
        <f aca="false">F30*$D$9</f>
        <v>8940</v>
      </c>
      <c r="O30" s="37" t="n">
        <f aca="false">G30*$D$10</f>
        <v>4620</v>
      </c>
      <c r="P30" s="49" t="n">
        <f aca="false">M30+N30+O30</f>
        <v>34280</v>
      </c>
    </row>
    <row r="31" customFormat="false" ht="15" hidden="false" customHeight="false" outlineLevel="0" collapsed="false">
      <c r="B31" s="40" t="str">
        <f aca="false">'Rep-Quarter Summary'!A18</f>
        <v>R007</v>
      </c>
      <c r="C31" s="40" t="str">
        <f aca="false">'Rep-Quarter Summary'!B18</f>
        <v>Elena Kowalski</v>
      </c>
      <c r="D31" s="40" t="str">
        <f aca="false">'Rep-Quarter Summary'!E18</f>
        <v>Q2</v>
      </c>
      <c r="E31" s="42" t="n">
        <f aca="false">'Rep-Quarter Summary'!F18</f>
        <v>250500</v>
      </c>
      <c r="F31" s="42" t="n">
        <f aca="false">'Rep-Quarter Summary'!G18</f>
        <v>0</v>
      </c>
      <c r="G31" s="42" t="n">
        <f aca="false">'Rep-Quarter Summary'!H18</f>
        <v>115500</v>
      </c>
      <c r="H31" s="43" t="n">
        <f aca="false">'Rep-Quarter Summary'!J18*(1+$D$11)</f>
        <v>320000</v>
      </c>
      <c r="I31" s="44" t="n">
        <f aca="false">IFERROR(E31/H31,0)</f>
        <v>0.7828125</v>
      </c>
      <c r="J31" s="43" t="n">
        <f aca="false">MIN(E31,H31)</f>
        <v>250500</v>
      </c>
      <c r="K31" s="43" t="n">
        <f aca="false">MAX(MIN(E31,H31*1.25)-H31,0)</f>
        <v>0</v>
      </c>
      <c r="L31" s="43" t="n">
        <f aca="false">MAX(E31-H31*1.25,0)</f>
        <v>0</v>
      </c>
      <c r="M31" s="43" t="n">
        <f aca="false">J31*$D$6+K31*$D$7+L31*$D$8</f>
        <v>20040</v>
      </c>
      <c r="N31" s="43" t="n">
        <f aca="false">F31*$D$9</f>
        <v>0</v>
      </c>
      <c r="O31" s="43" t="n">
        <f aca="false">G31*$D$10</f>
        <v>3465</v>
      </c>
      <c r="P31" s="51" t="n">
        <f aca="false">M31+N31+O31</f>
        <v>23505</v>
      </c>
    </row>
    <row r="32" customFormat="false" ht="15" hidden="false" customHeight="false" outlineLevel="0" collapsed="false">
      <c r="B32" s="34" t="str">
        <f aca="false">'Rep-Quarter Summary'!A19</f>
        <v>R008</v>
      </c>
      <c r="C32" s="34" t="str">
        <f aca="false">'Rep-Quarter Summary'!B19</f>
        <v>Tyler Alvarez</v>
      </c>
      <c r="D32" s="34" t="str">
        <f aca="false">'Rep-Quarter Summary'!E19</f>
        <v>Q1</v>
      </c>
      <c r="E32" s="36" t="n">
        <f aca="false">'Rep-Quarter Summary'!F19</f>
        <v>260500</v>
      </c>
      <c r="F32" s="36" t="n">
        <f aca="false">'Rep-Quarter Summary'!G19</f>
        <v>73500</v>
      </c>
      <c r="G32" s="36" t="n">
        <f aca="false">'Rep-Quarter Summary'!H19</f>
        <v>80500</v>
      </c>
      <c r="H32" s="37" t="n">
        <f aca="false">'Rep-Quarter Summary'!J19*(1+$D$11)</f>
        <v>275000</v>
      </c>
      <c r="I32" s="38" t="n">
        <f aca="false">IFERROR(E32/H32,0)</f>
        <v>0.947272727272727</v>
      </c>
      <c r="J32" s="37" t="n">
        <f aca="false">MIN(E32,H32)</f>
        <v>260500</v>
      </c>
      <c r="K32" s="37" t="n">
        <f aca="false">MAX(MIN(E32,H32*1.25)-H32,0)</f>
        <v>0</v>
      </c>
      <c r="L32" s="37" t="n">
        <f aca="false">MAX(E32-H32*1.25,0)</f>
        <v>0</v>
      </c>
      <c r="M32" s="37" t="n">
        <f aca="false">J32*$D$6+K32*$D$7+L32*$D$8</f>
        <v>20840</v>
      </c>
      <c r="N32" s="37" t="n">
        <f aca="false">F32*$D$9</f>
        <v>4410</v>
      </c>
      <c r="O32" s="37" t="n">
        <f aca="false">G32*$D$10</f>
        <v>2415</v>
      </c>
      <c r="P32" s="49" t="n">
        <f aca="false">M32+N32+O32</f>
        <v>27665</v>
      </c>
    </row>
    <row r="33" customFormat="false" ht="15" hidden="false" customHeight="false" outlineLevel="0" collapsed="false">
      <c r="B33" s="40" t="str">
        <f aca="false">'Rep-Quarter Summary'!A20</f>
        <v>R008</v>
      </c>
      <c r="C33" s="40" t="str">
        <f aca="false">'Rep-Quarter Summary'!B20</f>
        <v>Tyler Alvarez</v>
      </c>
      <c r="D33" s="40" t="str">
        <f aca="false">'Rep-Quarter Summary'!E20</f>
        <v>Q2</v>
      </c>
      <c r="E33" s="42" t="n">
        <f aca="false">'Rep-Quarter Summary'!F20</f>
        <v>314500</v>
      </c>
      <c r="F33" s="42" t="n">
        <f aca="false">'Rep-Quarter Summary'!G20</f>
        <v>48000</v>
      </c>
      <c r="G33" s="42" t="n">
        <f aca="false">'Rep-Quarter Summary'!H20</f>
        <v>66500</v>
      </c>
      <c r="H33" s="43" t="n">
        <f aca="false">'Rep-Quarter Summary'!J20*(1+$D$11)</f>
        <v>275000</v>
      </c>
      <c r="I33" s="44" t="n">
        <f aca="false">IFERROR(E33/H33,0)</f>
        <v>1.14363636363636</v>
      </c>
      <c r="J33" s="43" t="n">
        <f aca="false">MIN(E33,H33)</f>
        <v>275000</v>
      </c>
      <c r="K33" s="43" t="n">
        <f aca="false">MAX(MIN(E33,H33*1.25)-H33,0)</f>
        <v>39500</v>
      </c>
      <c r="L33" s="43" t="n">
        <f aca="false">MAX(E33-H33*1.25,0)</f>
        <v>0</v>
      </c>
      <c r="M33" s="43" t="n">
        <f aca="false">J33*$D$6+K33*$D$7+L33*$D$8</f>
        <v>25950</v>
      </c>
      <c r="N33" s="43" t="n">
        <f aca="false">F33*$D$9</f>
        <v>2880</v>
      </c>
      <c r="O33" s="43" t="n">
        <f aca="false">G33*$D$10</f>
        <v>1995</v>
      </c>
      <c r="P33" s="51" t="n">
        <f aca="false">M33+N33+O33</f>
        <v>30825</v>
      </c>
    </row>
    <row r="34" customFormat="false" ht="15" hidden="false" customHeight="false" outlineLevel="0" collapsed="false">
      <c r="B34" s="34" t="str">
        <f aca="false">'Rep-Quarter Summary'!A21</f>
        <v>R009</v>
      </c>
      <c r="C34" s="34" t="str">
        <f aca="false">'Rep-Quarter Summary'!B21</f>
        <v>Aisha Kim</v>
      </c>
      <c r="D34" s="34" t="str">
        <f aca="false">'Rep-Quarter Summary'!E21</f>
        <v>Q1</v>
      </c>
      <c r="E34" s="36" t="n">
        <f aca="false">'Rep-Quarter Summary'!F21</f>
        <v>266000</v>
      </c>
      <c r="F34" s="36" t="n">
        <f aca="false">'Rep-Quarter Summary'!G21</f>
        <v>58500</v>
      </c>
      <c r="G34" s="36" t="n">
        <f aca="false">'Rep-Quarter Summary'!H21</f>
        <v>138500</v>
      </c>
      <c r="H34" s="37" t="n">
        <f aca="false">'Rep-Quarter Summary'!J21*(1+$D$11)</f>
        <v>287000</v>
      </c>
      <c r="I34" s="38" t="n">
        <f aca="false">IFERROR(E34/H34,0)</f>
        <v>0.926829268292683</v>
      </c>
      <c r="J34" s="37" t="n">
        <f aca="false">MIN(E34,H34)</f>
        <v>266000</v>
      </c>
      <c r="K34" s="37" t="n">
        <f aca="false">MAX(MIN(E34,H34*1.25)-H34,0)</f>
        <v>0</v>
      </c>
      <c r="L34" s="37" t="n">
        <f aca="false">MAX(E34-H34*1.25,0)</f>
        <v>0</v>
      </c>
      <c r="M34" s="37" t="n">
        <f aca="false">J34*$D$6+K34*$D$7+L34*$D$8</f>
        <v>21280</v>
      </c>
      <c r="N34" s="37" t="n">
        <f aca="false">F34*$D$9</f>
        <v>3510</v>
      </c>
      <c r="O34" s="37" t="n">
        <f aca="false">G34*$D$10</f>
        <v>4155</v>
      </c>
      <c r="P34" s="49" t="n">
        <f aca="false">M34+N34+O34</f>
        <v>28945</v>
      </c>
    </row>
    <row r="35" customFormat="false" ht="15" hidden="false" customHeight="false" outlineLevel="0" collapsed="false">
      <c r="B35" s="40" t="str">
        <f aca="false">'Rep-Quarter Summary'!A22</f>
        <v>R009</v>
      </c>
      <c r="C35" s="40" t="str">
        <f aca="false">'Rep-Quarter Summary'!B22</f>
        <v>Aisha Kim</v>
      </c>
      <c r="D35" s="40" t="str">
        <f aca="false">'Rep-Quarter Summary'!E22</f>
        <v>Q2</v>
      </c>
      <c r="E35" s="42" t="n">
        <f aca="false">'Rep-Quarter Summary'!F22</f>
        <v>253000</v>
      </c>
      <c r="F35" s="42" t="n">
        <f aca="false">'Rep-Quarter Summary'!G22</f>
        <v>44500</v>
      </c>
      <c r="G35" s="42" t="n">
        <f aca="false">'Rep-Quarter Summary'!H22</f>
        <v>157500</v>
      </c>
      <c r="H35" s="43" t="n">
        <f aca="false">'Rep-Quarter Summary'!J22*(1+$D$11)</f>
        <v>287000</v>
      </c>
      <c r="I35" s="44" t="n">
        <f aca="false">IFERROR(E35/H35,0)</f>
        <v>0.881533101045296</v>
      </c>
      <c r="J35" s="43" t="n">
        <f aca="false">MIN(E35,H35)</f>
        <v>253000</v>
      </c>
      <c r="K35" s="43" t="n">
        <f aca="false">MAX(MIN(E35,H35*1.25)-H35,0)</f>
        <v>0</v>
      </c>
      <c r="L35" s="43" t="n">
        <f aca="false">MAX(E35-H35*1.25,0)</f>
        <v>0</v>
      </c>
      <c r="M35" s="43" t="n">
        <f aca="false">J35*$D$6+K35*$D$7+L35*$D$8</f>
        <v>20240</v>
      </c>
      <c r="N35" s="43" t="n">
        <f aca="false">F35*$D$9</f>
        <v>2670</v>
      </c>
      <c r="O35" s="43" t="n">
        <f aca="false">G35*$D$10</f>
        <v>4725</v>
      </c>
      <c r="P35" s="51" t="n">
        <f aca="false">M35+N35+O35</f>
        <v>27635</v>
      </c>
    </row>
    <row r="36" customFormat="false" ht="15" hidden="false" customHeight="false" outlineLevel="0" collapsed="false">
      <c r="B36" s="34" t="str">
        <f aca="false">'Rep-Quarter Summary'!A23</f>
        <v>R010</v>
      </c>
      <c r="C36" s="34" t="str">
        <f aca="false">'Rep-Quarter Summary'!B23</f>
        <v>Ryan Sullivan</v>
      </c>
      <c r="D36" s="34" t="str">
        <f aca="false">'Rep-Quarter Summary'!E23</f>
        <v>Q1</v>
      </c>
      <c r="E36" s="36" t="n">
        <f aca="false">'Rep-Quarter Summary'!F23</f>
        <v>271000</v>
      </c>
      <c r="F36" s="36" t="n">
        <f aca="false">'Rep-Quarter Summary'!G23</f>
        <v>31000</v>
      </c>
      <c r="G36" s="36" t="n">
        <f aca="false">'Rep-Quarter Summary'!H23</f>
        <v>181000</v>
      </c>
      <c r="H36" s="37" t="n">
        <f aca="false">'Rep-Quarter Summary'!J23*(1+$D$11)</f>
        <v>273000</v>
      </c>
      <c r="I36" s="38" t="n">
        <f aca="false">IFERROR(E36/H36,0)</f>
        <v>0.992673992673993</v>
      </c>
      <c r="J36" s="37" t="n">
        <f aca="false">MIN(E36,H36)</f>
        <v>271000</v>
      </c>
      <c r="K36" s="37" t="n">
        <f aca="false">MAX(MIN(E36,H36*1.25)-H36,0)</f>
        <v>0</v>
      </c>
      <c r="L36" s="37" t="n">
        <f aca="false">MAX(E36-H36*1.25,0)</f>
        <v>0</v>
      </c>
      <c r="M36" s="37" t="n">
        <f aca="false">J36*$D$6+K36*$D$7+L36*$D$8</f>
        <v>21680</v>
      </c>
      <c r="N36" s="37" t="n">
        <f aca="false">F36*$D$9</f>
        <v>1860</v>
      </c>
      <c r="O36" s="37" t="n">
        <f aca="false">G36*$D$10</f>
        <v>5430</v>
      </c>
      <c r="P36" s="49" t="n">
        <f aca="false">M36+N36+O36</f>
        <v>28970</v>
      </c>
    </row>
    <row r="37" customFormat="false" ht="15" hidden="false" customHeight="false" outlineLevel="0" collapsed="false">
      <c r="B37" s="40" t="str">
        <f aca="false">'Rep-Quarter Summary'!A24</f>
        <v>R010</v>
      </c>
      <c r="C37" s="40" t="str">
        <f aca="false">'Rep-Quarter Summary'!B24</f>
        <v>Ryan Sullivan</v>
      </c>
      <c r="D37" s="40" t="str">
        <f aca="false">'Rep-Quarter Summary'!E24</f>
        <v>Q2</v>
      </c>
      <c r="E37" s="42" t="n">
        <f aca="false">'Rep-Quarter Summary'!F24</f>
        <v>307000</v>
      </c>
      <c r="F37" s="42" t="n">
        <f aca="false">'Rep-Quarter Summary'!G24</f>
        <v>49500</v>
      </c>
      <c r="G37" s="42" t="n">
        <f aca="false">'Rep-Quarter Summary'!H24</f>
        <v>180500</v>
      </c>
      <c r="H37" s="43" t="n">
        <f aca="false">'Rep-Quarter Summary'!J24*(1+$D$11)</f>
        <v>273000</v>
      </c>
      <c r="I37" s="44" t="n">
        <f aca="false">IFERROR(E37/H37,0)</f>
        <v>1.12454212454212</v>
      </c>
      <c r="J37" s="43" t="n">
        <f aca="false">MIN(E37,H37)</f>
        <v>273000</v>
      </c>
      <c r="K37" s="43" t="n">
        <f aca="false">MAX(MIN(E37,H37*1.25)-H37,0)</f>
        <v>34000</v>
      </c>
      <c r="L37" s="43" t="n">
        <f aca="false">MAX(E37-H37*1.25,0)</f>
        <v>0</v>
      </c>
      <c r="M37" s="43" t="n">
        <f aca="false">J37*$D$6+K37*$D$7+L37*$D$8</f>
        <v>25240</v>
      </c>
      <c r="N37" s="43" t="n">
        <f aca="false">F37*$D$9</f>
        <v>2970</v>
      </c>
      <c r="O37" s="43" t="n">
        <f aca="false">G37*$D$10</f>
        <v>5415</v>
      </c>
      <c r="P37" s="51" t="n">
        <f aca="false">M37+N37+O37</f>
        <v>33625</v>
      </c>
    </row>
    <row r="38" customFormat="false" ht="15" hidden="false" customHeight="false" outlineLevel="0" collapsed="false">
      <c r="B38" s="34" t="str">
        <f aca="false">'Rep-Quarter Summary'!A25</f>
        <v>R011</v>
      </c>
      <c r="C38" s="34" t="str">
        <f aca="false">'Rep-Quarter Summary'!B25</f>
        <v>Natalie Reyes</v>
      </c>
      <c r="D38" s="34" t="str">
        <f aca="false">'Rep-Quarter Summary'!E25</f>
        <v>Q1</v>
      </c>
      <c r="E38" s="36" t="n">
        <f aca="false">'Rep-Quarter Summary'!F25</f>
        <v>267000</v>
      </c>
      <c r="F38" s="36" t="n">
        <f aca="false">'Rep-Quarter Summary'!G25</f>
        <v>42000</v>
      </c>
      <c r="G38" s="36" t="n">
        <f aca="false">'Rep-Quarter Summary'!H25</f>
        <v>90000</v>
      </c>
      <c r="H38" s="37" t="n">
        <f aca="false">'Rep-Quarter Summary'!J25*(1+$D$11)</f>
        <v>295000</v>
      </c>
      <c r="I38" s="38" t="n">
        <f aca="false">IFERROR(E38/H38,0)</f>
        <v>0.905084745762712</v>
      </c>
      <c r="J38" s="37" t="n">
        <f aca="false">MIN(E38,H38)</f>
        <v>267000</v>
      </c>
      <c r="K38" s="37" t="n">
        <f aca="false">MAX(MIN(E38,H38*1.25)-H38,0)</f>
        <v>0</v>
      </c>
      <c r="L38" s="37" t="n">
        <f aca="false">MAX(E38-H38*1.25,0)</f>
        <v>0</v>
      </c>
      <c r="M38" s="37" t="n">
        <f aca="false">J38*$D$6+K38*$D$7+L38*$D$8</f>
        <v>21360</v>
      </c>
      <c r="N38" s="37" t="n">
        <f aca="false">F38*$D$9</f>
        <v>2520</v>
      </c>
      <c r="O38" s="37" t="n">
        <f aca="false">G38*$D$10</f>
        <v>2700</v>
      </c>
      <c r="P38" s="49" t="n">
        <f aca="false">M38+N38+O38</f>
        <v>26580</v>
      </c>
    </row>
    <row r="39" customFormat="false" ht="15" hidden="false" customHeight="false" outlineLevel="0" collapsed="false">
      <c r="B39" s="40" t="str">
        <f aca="false">'Rep-Quarter Summary'!A26</f>
        <v>R011</v>
      </c>
      <c r="C39" s="40" t="str">
        <f aca="false">'Rep-Quarter Summary'!B26</f>
        <v>Natalie Reyes</v>
      </c>
      <c r="D39" s="40" t="str">
        <f aca="false">'Rep-Quarter Summary'!E26</f>
        <v>Q2</v>
      </c>
      <c r="E39" s="42" t="n">
        <f aca="false">'Rep-Quarter Summary'!F26</f>
        <v>293500</v>
      </c>
      <c r="F39" s="42" t="n">
        <f aca="false">'Rep-Quarter Summary'!G26</f>
        <v>61000</v>
      </c>
      <c r="G39" s="42" t="n">
        <f aca="false">'Rep-Quarter Summary'!H26</f>
        <v>79000</v>
      </c>
      <c r="H39" s="43" t="n">
        <f aca="false">'Rep-Quarter Summary'!J26*(1+$D$11)</f>
        <v>295000</v>
      </c>
      <c r="I39" s="44" t="n">
        <f aca="false">IFERROR(E39/H39,0)</f>
        <v>0.994915254237288</v>
      </c>
      <c r="J39" s="43" t="n">
        <f aca="false">MIN(E39,H39)</f>
        <v>293500</v>
      </c>
      <c r="K39" s="43" t="n">
        <f aca="false">MAX(MIN(E39,H39*1.25)-H39,0)</f>
        <v>0</v>
      </c>
      <c r="L39" s="43" t="n">
        <f aca="false">MAX(E39-H39*1.25,0)</f>
        <v>0</v>
      </c>
      <c r="M39" s="43" t="n">
        <f aca="false">J39*$D$6+K39*$D$7+L39*$D$8</f>
        <v>23480</v>
      </c>
      <c r="N39" s="43" t="n">
        <f aca="false">F39*$D$9</f>
        <v>3660</v>
      </c>
      <c r="O39" s="43" t="n">
        <f aca="false">G39*$D$10</f>
        <v>2370</v>
      </c>
      <c r="P39" s="51" t="n">
        <f aca="false">M39+N39+O39</f>
        <v>29510</v>
      </c>
    </row>
    <row r="40" customFormat="false" ht="15" hidden="false" customHeight="false" outlineLevel="0" collapsed="false">
      <c r="B40" s="34" t="str">
        <f aca="false">'Rep-Quarter Summary'!A27</f>
        <v>R012</v>
      </c>
      <c r="C40" s="34" t="str">
        <f aca="false">'Rep-Quarter Summary'!B27</f>
        <v>Omar Fischer</v>
      </c>
      <c r="D40" s="34" t="str">
        <f aca="false">'Rep-Quarter Summary'!E27</f>
        <v>Q1</v>
      </c>
      <c r="E40" s="36" t="n">
        <f aca="false">'Rep-Quarter Summary'!F27</f>
        <v>457000</v>
      </c>
      <c r="F40" s="36" t="n">
        <f aca="false">'Rep-Quarter Summary'!G27</f>
        <v>69500</v>
      </c>
      <c r="G40" s="36" t="n">
        <f aca="false">'Rep-Quarter Summary'!H27</f>
        <v>65000</v>
      </c>
      <c r="H40" s="37" t="n">
        <f aca="false">'Rep-Quarter Summary'!J27*(1+$D$11)</f>
        <v>324000</v>
      </c>
      <c r="I40" s="38" t="n">
        <f aca="false">IFERROR(E40/H40,0)</f>
        <v>1.41049382716049</v>
      </c>
      <c r="J40" s="37" t="n">
        <f aca="false">MIN(E40,H40)</f>
        <v>324000</v>
      </c>
      <c r="K40" s="37" t="n">
        <f aca="false">MAX(MIN(E40,H40*1.25)-H40,0)</f>
        <v>81000</v>
      </c>
      <c r="L40" s="37" t="n">
        <f aca="false">MAX(E40-H40*1.25,0)</f>
        <v>52000</v>
      </c>
      <c r="M40" s="37" t="n">
        <f aca="false">J40*$D$6+K40*$D$7+L40*$D$8</f>
        <v>40260</v>
      </c>
      <c r="N40" s="37" t="n">
        <f aca="false">F40*$D$9</f>
        <v>4170</v>
      </c>
      <c r="O40" s="37" t="n">
        <f aca="false">G40*$D$10</f>
        <v>1950</v>
      </c>
      <c r="P40" s="49" t="n">
        <f aca="false">M40+N40+O40</f>
        <v>46380</v>
      </c>
    </row>
    <row r="41" customFormat="false" ht="15" hidden="false" customHeight="false" outlineLevel="0" collapsed="false">
      <c r="B41" s="40" t="str">
        <f aca="false">'Rep-Quarter Summary'!A28</f>
        <v>R012</v>
      </c>
      <c r="C41" s="40" t="str">
        <f aca="false">'Rep-Quarter Summary'!B28</f>
        <v>Omar Fischer</v>
      </c>
      <c r="D41" s="40" t="str">
        <f aca="false">'Rep-Quarter Summary'!E28</f>
        <v>Q2</v>
      </c>
      <c r="E41" s="42" t="n">
        <f aca="false">'Rep-Quarter Summary'!F28</f>
        <v>575500</v>
      </c>
      <c r="F41" s="42" t="n">
        <f aca="false">'Rep-Quarter Summary'!G28</f>
        <v>27000</v>
      </c>
      <c r="G41" s="42" t="n">
        <f aca="false">'Rep-Quarter Summary'!H28</f>
        <v>63500</v>
      </c>
      <c r="H41" s="43" t="n">
        <f aca="false">'Rep-Quarter Summary'!J28*(1+$D$11)</f>
        <v>324000</v>
      </c>
      <c r="I41" s="44" t="n">
        <f aca="false">IFERROR(E41/H41,0)</f>
        <v>1.77623456790123</v>
      </c>
      <c r="J41" s="43" t="n">
        <f aca="false">MIN(E41,H41)</f>
        <v>324000</v>
      </c>
      <c r="K41" s="43" t="n">
        <f aca="false">MAX(MIN(E41,H41*1.25)-H41,0)</f>
        <v>81000</v>
      </c>
      <c r="L41" s="43" t="n">
        <f aca="false">MAX(E41-H41*1.25,0)</f>
        <v>170500</v>
      </c>
      <c r="M41" s="43" t="n">
        <f aca="false">J41*$D$6+K41*$D$7+L41*$D$8</f>
        <v>54480</v>
      </c>
      <c r="N41" s="43" t="n">
        <f aca="false">F41*$D$9</f>
        <v>1620</v>
      </c>
      <c r="O41" s="43" t="n">
        <f aca="false">G41*$D$10</f>
        <v>1905</v>
      </c>
      <c r="P41" s="51" t="n">
        <f aca="false">M41+N41+O41</f>
        <v>58005</v>
      </c>
    </row>
    <row r="42" customFormat="false" ht="15" hidden="false" customHeight="false" outlineLevel="0" collapsed="false">
      <c r="B42" s="34" t="str">
        <f aca="false">'Rep-Quarter Summary'!A29</f>
        <v>R013</v>
      </c>
      <c r="C42" s="34" t="str">
        <f aca="false">'Rep-Quarter Summary'!B29</f>
        <v>Grace Adeyemi</v>
      </c>
      <c r="D42" s="34" t="str">
        <f aca="false">'Rep-Quarter Summary'!E29</f>
        <v>Q1</v>
      </c>
      <c r="E42" s="36" t="n">
        <f aca="false">'Rep-Quarter Summary'!F29</f>
        <v>403500</v>
      </c>
      <c r="F42" s="36" t="n">
        <f aca="false">'Rep-Quarter Summary'!G29</f>
        <v>97000</v>
      </c>
      <c r="G42" s="36" t="n">
        <f aca="false">'Rep-Quarter Summary'!H29</f>
        <v>318500</v>
      </c>
      <c r="H42" s="37" t="n">
        <f aca="false">'Rep-Quarter Summary'!J29*(1+$D$11)</f>
        <v>626000</v>
      </c>
      <c r="I42" s="38" t="n">
        <f aca="false">IFERROR(E42/H42,0)</f>
        <v>0.644568690095847</v>
      </c>
      <c r="J42" s="37" t="n">
        <f aca="false">MIN(E42,H42)</f>
        <v>403500</v>
      </c>
      <c r="K42" s="37" t="n">
        <f aca="false">MAX(MIN(E42,H42*1.25)-H42,0)</f>
        <v>0</v>
      </c>
      <c r="L42" s="37" t="n">
        <f aca="false">MAX(E42-H42*1.25,0)</f>
        <v>0</v>
      </c>
      <c r="M42" s="37" t="n">
        <f aca="false">J42*$D$6+K42*$D$7+L42*$D$8</f>
        <v>32280</v>
      </c>
      <c r="N42" s="37" t="n">
        <f aca="false">F42*$D$9</f>
        <v>5820</v>
      </c>
      <c r="O42" s="37" t="n">
        <f aca="false">G42*$D$10</f>
        <v>9555</v>
      </c>
      <c r="P42" s="49" t="n">
        <f aca="false">M42+N42+O42</f>
        <v>47655</v>
      </c>
    </row>
    <row r="43" customFormat="false" ht="15" hidden="false" customHeight="false" outlineLevel="0" collapsed="false">
      <c r="B43" s="40" t="str">
        <f aca="false">'Rep-Quarter Summary'!A30</f>
        <v>R013</v>
      </c>
      <c r="C43" s="40" t="str">
        <f aca="false">'Rep-Quarter Summary'!B30</f>
        <v>Grace Adeyemi</v>
      </c>
      <c r="D43" s="40" t="str">
        <f aca="false">'Rep-Quarter Summary'!E30</f>
        <v>Q2</v>
      </c>
      <c r="E43" s="42" t="n">
        <f aca="false">'Rep-Quarter Summary'!F30</f>
        <v>374000</v>
      </c>
      <c r="F43" s="42" t="n">
        <f aca="false">'Rep-Quarter Summary'!G30</f>
        <v>192000</v>
      </c>
      <c r="G43" s="42" t="n">
        <f aca="false">'Rep-Quarter Summary'!H30</f>
        <v>250000</v>
      </c>
      <c r="H43" s="43" t="n">
        <f aca="false">'Rep-Quarter Summary'!J30*(1+$D$11)</f>
        <v>626000</v>
      </c>
      <c r="I43" s="44" t="n">
        <f aca="false">IFERROR(E43/H43,0)</f>
        <v>0.597444089456869</v>
      </c>
      <c r="J43" s="43" t="n">
        <f aca="false">MIN(E43,H43)</f>
        <v>374000</v>
      </c>
      <c r="K43" s="43" t="n">
        <f aca="false">MAX(MIN(E43,H43*1.25)-H43,0)</f>
        <v>0</v>
      </c>
      <c r="L43" s="43" t="n">
        <f aca="false">MAX(E43-H43*1.25,0)</f>
        <v>0</v>
      </c>
      <c r="M43" s="43" t="n">
        <f aca="false">J43*$D$6+K43*$D$7+L43*$D$8</f>
        <v>29920</v>
      </c>
      <c r="N43" s="43" t="n">
        <f aca="false">F43*$D$9</f>
        <v>11520</v>
      </c>
      <c r="O43" s="43" t="n">
        <f aca="false">G43*$D$10</f>
        <v>7500</v>
      </c>
      <c r="P43" s="51" t="n">
        <f aca="false">M43+N43+O43</f>
        <v>48940</v>
      </c>
    </row>
    <row r="44" customFormat="false" ht="15" hidden="false" customHeight="false" outlineLevel="0" collapsed="false">
      <c r="B44" s="34" t="str">
        <f aca="false">'Rep-Quarter Summary'!A31</f>
        <v>R014</v>
      </c>
      <c r="C44" s="34" t="str">
        <f aca="false">'Rep-Quarter Summary'!B31</f>
        <v>Kevin Novak</v>
      </c>
      <c r="D44" s="34" t="str">
        <f aca="false">'Rep-Quarter Summary'!E31</f>
        <v>Q1</v>
      </c>
      <c r="E44" s="36" t="n">
        <f aca="false">'Rep-Quarter Summary'!F31</f>
        <v>504500</v>
      </c>
      <c r="F44" s="36" t="n">
        <f aca="false">'Rep-Quarter Summary'!G31</f>
        <v>89500</v>
      </c>
      <c r="G44" s="36" t="n">
        <f aca="false">'Rep-Quarter Summary'!H31</f>
        <v>214500</v>
      </c>
      <c r="H44" s="37" t="n">
        <f aca="false">'Rep-Quarter Summary'!J31*(1+$D$11)</f>
        <v>641000</v>
      </c>
      <c r="I44" s="38" t="n">
        <f aca="false">IFERROR(E44/H44,0)</f>
        <v>0.787051482059282</v>
      </c>
      <c r="J44" s="37" t="n">
        <f aca="false">MIN(E44,H44)</f>
        <v>504500</v>
      </c>
      <c r="K44" s="37" t="n">
        <f aca="false">MAX(MIN(E44,H44*1.25)-H44,0)</f>
        <v>0</v>
      </c>
      <c r="L44" s="37" t="n">
        <f aca="false">MAX(E44-H44*1.25,0)</f>
        <v>0</v>
      </c>
      <c r="M44" s="37" t="n">
        <f aca="false">J44*$D$6+K44*$D$7+L44*$D$8</f>
        <v>40360</v>
      </c>
      <c r="N44" s="37" t="n">
        <f aca="false">F44*$D$9</f>
        <v>5370</v>
      </c>
      <c r="O44" s="37" t="n">
        <f aca="false">G44*$D$10</f>
        <v>6435</v>
      </c>
      <c r="P44" s="49" t="n">
        <f aca="false">M44+N44+O44</f>
        <v>52165</v>
      </c>
    </row>
    <row r="45" customFormat="false" ht="15" hidden="false" customHeight="false" outlineLevel="0" collapsed="false">
      <c r="B45" s="40" t="str">
        <f aca="false">'Rep-Quarter Summary'!A32</f>
        <v>R014</v>
      </c>
      <c r="C45" s="40" t="str">
        <f aca="false">'Rep-Quarter Summary'!B32</f>
        <v>Kevin Novak</v>
      </c>
      <c r="D45" s="40" t="str">
        <f aca="false">'Rep-Quarter Summary'!E32</f>
        <v>Q2</v>
      </c>
      <c r="E45" s="42" t="n">
        <f aca="false">'Rep-Quarter Summary'!F32</f>
        <v>570000</v>
      </c>
      <c r="F45" s="42" t="n">
        <f aca="false">'Rep-Quarter Summary'!G32</f>
        <v>0</v>
      </c>
      <c r="G45" s="42" t="n">
        <f aca="false">'Rep-Quarter Summary'!H32</f>
        <v>208000</v>
      </c>
      <c r="H45" s="43" t="n">
        <f aca="false">'Rep-Quarter Summary'!J32*(1+$D$11)</f>
        <v>641000</v>
      </c>
      <c r="I45" s="44" t="n">
        <f aca="false">IFERROR(E45/H45,0)</f>
        <v>0.889235569422777</v>
      </c>
      <c r="J45" s="43" t="n">
        <f aca="false">MIN(E45,H45)</f>
        <v>570000</v>
      </c>
      <c r="K45" s="43" t="n">
        <f aca="false">MAX(MIN(E45,H45*1.25)-H45,0)</f>
        <v>0</v>
      </c>
      <c r="L45" s="43" t="n">
        <f aca="false">MAX(E45-H45*1.25,0)</f>
        <v>0</v>
      </c>
      <c r="M45" s="43" t="n">
        <f aca="false">J45*$D$6+K45*$D$7+L45*$D$8</f>
        <v>45600</v>
      </c>
      <c r="N45" s="43" t="n">
        <f aca="false">F45*$D$9</f>
        <v>0</v>
      </c>
      <c r="O45" s="43" t="n">
        <f aca="false">G45*$D$10</f>
        <v>6240</v>
      </c>
      <c r="P45" s="51" t="n">
        <f aca="false">M45+N45+O45</f>
        <v>51840</v>
      </c>
    </row>
    <row r="46" customFormat="false" ht="15" hidden="false" customHeight="false" outlineLevel="0" collapsed="false">
      <c r="B46" s="34" t="str">
        <f aca="false">'Rep-Quarter Summary'!A33</f>
        <v>R015</v>
      </c>
      <c r="C46" s="34" t="str">
        <f aca="false">'Rep-Quarter Summary'!B33</f>
        <v>Lucia Larsen</v>
      </c>
      <c r="D46" s="34" t="str">
        <f aca="false">'Rep-Quarter Summary'!E33</f>
        <v>Q1</v>
      </c>
      <c r="E46" s="36" t="n">
        <f aca="false">'Rep-Quarter Summary'!F33</f>
        <v>542500</v>
      </c>
      <c r="F46" s="36" t="n">
        <f aca="false">'Rep-Quarter Summary'!G33</f>
        <v>295000</v>
      </c>
      <c r="G46" s="36" t="n">
        <f aca="false">'Rep-Quarter Summary'!H33</f>
        <v>270500</v>
      </c>
      <c r="H46" s="37" t="n">
        <f aca="false">'Rep-Quarter Summary'!J33*(1+$D$11)</f>
        <v>594000</v>
      </c>
      <c r="I46" s="38" t="n">
        <f aca="false">IFERROR(E46/H46,0)</f>
        <v>0.913299663299663</v>
      </c>
      <c r="J46" s="37" t="n">
        <f aca="false">MIN(E46,H46)</f>
        <v>542500</v>
      </c>
      <c r="K46" s="37" t="n">
        <f aca="false">MAX(MIN(E46,H46*1.25)-H46,0)</f>
        <v>0</v>
      </c>
      <c r="L46" s="37" t="n">
        <f aca="false">MAX(E46-H46*1.25,0)</f>
        <v>0</v>
      </c>
      <c r="M46" s="37" t="n">
        <f aca="false">J46*$D$6+K46*$D$7+L46*$D$8</f>
        <v>43400</v>
      </c>
      <c r="N46" s="37" t="n">
        <f aca="false">F46*$D$9</f>
        <v>17700</v>
      </c>
      <c r="O46" s="37" t="n">
        <f aca="false">G46*$D$10</f>
        <v>8115</v>
      </c>
      <c r="P46" s="49" t="n">
        <f aca="false">M46+N46+O46</f>
        <v>69215</v>
      </c>
    </row>
    <row r="47" customFormat="false" ht="15" hidden="false" customHeight="false" outlineLevel="0" collapsed="false">
      <c r="B47" s="40" t="str">
        <f aca="false">'Rep-Quarter Summary'!A34</f>
        <v>R015</v>
      </c>
      <c r="C47" s="40" t="str">
        <f aca="false">'Rep-Quarter Summary'!B34</f>
        <v>Lucia Larsen</v>
      </c>
      <c r="D47" s="40" t="str">
        <f aca="false">'Rep-Quarter Summary'!E34</f>
        <v>Q2</v>
      </c>
      <c r="E47" s="42" t="n">
        <f aca="false">'Rep-Quarter Summary'!F34</f>
        <v>596500</v>
      </c>
      <c r="F47" s="42" t="n">
        <f aca="false">'Rep-Quarter Summary'!G34</f>
        <v>0</v>
      </c>
      <c r="G47" s="42" t="n">
        <f aca="false">'Rep-Quarter Summary'!H34</f>
        <v>248000</v>
      </c>
      <c r="H47" s="43" t="n">
        <f aca="false">'Rep-Quarter Summary'!J34*(1+$D$11)</f>
        <v>594000</v>
      </c>
      <c r="I47" s="44" t="n">
        <f aca="false">IFERROR(E47/H47,0)</f>
        <v>1.00420875420875</v>
      </c>
      <c r="J47" s="43" t="n">
        <f aca="false">MIN(E47,H47)</f>
        <v>594000</v>
      </c>
      <c r="K47" s="43" t="n">
        <f aca="false">MAX(MIN(E47,H47*1.25)-H47,0)</f>
        <v>2500</v>
      </c>
      <c r="L47" s="43" t="n">
        <f aca="false">MAX(E47-H47*1.25,0)</f>
        <v>0</v>
      </c>
      <c r="M47" s="43" t="n">
        <f aca="false">J47*$D$6+K47*$D$7+L47*$D$8</f>
        <v>47770</v>
      </c>
      <c r="N47" s="43" t="n">
        <f aca="false">F47*$D$9</f>
        <v>0</v>
      </c>
      <c r="O47" s="43" t="n">
        <f aca="false">G47*$D$10</f>
        <v>7440</v>
      </c>
      <c r="P47" s="51" t="n">
        <f aca="false">M47+N47+O47</f>
        <v>55210</v>
      </c>
    </row>
    <row r="49" customFormat="false" ht="15" hidden="false" customHeight="false" outlineLevel="0" collapsed="false">
      <c r="B49" s="8" t="s">
        <v>633</v>
      </c>
    </row>
    <row r="50" customFormat="false" ht="15" hidden="false" customHeight="false" outlineLevel="0" collapsed="false">
      <c r="B50" s="1" t="s">
        <v>634</v>
      </c>
      <c r="D50" s="65" t="n">
        <f aca="false">SUM('Rep-Quarter Summary'!L5:L34)</f>
        <v>916935</v>
      </c>
    </row>
    <row r="51" customFormat="false" ht="15" hidden="false" customHeight="false" outlineLevel="0" collapsed="false">
      <c r="B51" s="1" t="s">
        <v>635</v>
      </c>
      <c r="D51" s="83" t="n">
        <f aca="false">SUM(P18:P47)</f>
        <v>916935</v>
      </c>
    </row>
    <row r="52" customFormat="false" ht="15" hidden="false" customHeight="false" outlineLevel="0" collapsed="false">
      <c r="B52" s="1" t="s">
        <v>636</v>
      </c>
      <c r="D52" s="65" t="n">
        <f aca="false">D51-D50</f>
        <v>0</v>
      </c>
    </row>
    <row r="53" customFormat="false" ht="15" hidden="false" customHeight="false" outlineLevel="0" collapsed="false">
      <c r="B53" s="1" t="s">
        <v>637</v>
      </c>
      <c r="D53" s="84" t="n">
        <f aca="false">IFERROR(D52/D50,0)</f>
        <v>0</v>
      </c>
    </row>
  </sheetData>
  <mergeCells count="1">
    <mergeCell ref="B3:H3"/>
  </mergeCells>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J3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1"/>
    <col collapsed="false" customWidth="true" hidden="false" outlineLevel="0" max="3" min="3" style="1" width="18"/>
    <col collapsed="false" customWidth="true" hidden="false" outlineLevel="0" max="4" min="4" style="1" width="12"/>
    <col collapsed="false" customWidth="true" hidden="false" outlineLevel="0" max="5" min="5" style="1" width="13"/>
    <col collapsed="false" customWidth="true" hidden="false" outlineLevel="0" max="6" min="6" style="1" width="18"/>
    <col collapsed="false" customWidth="true" hidden="false" outlineLevel="0" max="7" min="7" style="1" width="16"/>
    <col collapsed="false" customWidth="true" hidden="false" outlineLevel="0" max="8" min="8" style="1" width="15"/>
    <col collapsed="false" customWidth="true" hidden="false" outlineLevel="0" max="9" min="9" style="1" width="42"/>
  </cols>
  <sheetData>
    <row r="2" customFormat="false" ht="17.35" hidden="false" customHeight="false" outlineLevel="0" collapsed="false">
      <c r="B2" s="13" t="s">
        <v>638</v>
      </c>
    </row>
    <row r="3" customFormat="false" ht="15" hidden="false" customHeight="false" outlineLevel="0" collapsed="false">
      <c r="B3" s="33" t="s">
        <v>639</v>
      </c>
      <c r="C3" s="33"/>
      <c r="D3" s="33"/>
      <c r="E3" s="33"/>
      <c r="F3" s="33"/>
      <c r="G3" s="33"/>
      <c r="H3" s="33"/>
      <c r="I3" s="33"/>
      <c r="J3" s="33"/>
    </row>
    <row r="5" customFormat="false" ht="15" hidden="false" customHeight="false" outlineLevel="0" collapsed="false">
      <c r="B5" s="85" t="s">
        <v>640</v>
      </c>
      <c r="D5" s="86" t="n">
        <f aca="false">COUNTIF(I10:I39,"&lt;&gt;")-COUNTIF(I10:I39,"")</f>
        <v>3</v>
      </c>
      <c r="F5" s="85" t="s">
        <v>641</v>
      </c>
      <c r="H5" s="86" t="n">
        <f aca="false">COUNTIF(H45:H314,"&lt;&gt;")-COUNTIF(H45:H314,"")</f>
        <v>9</v>
      </c>
    </row>
    <row r="7" customFormat="false" ht="15" hidden="false" customHeight="false" outlineLevel="0" collapsed="false">
      <c r="B7" s="8" t="s">
        <v>642</v>
      </c>
    </row>
    <row r="9" customFormat="false" ht="15" hidden="false" customHeight="false" outlineLevel="0" collapsed="false">
      <c r="B9" s="14" t="s">
        <v>60</v>
      </c>
      <c r="C9" s="14" t="s">
        <v>61</v>
      </c>
      <c r="D9" s="14" t="s">
        <v>62</v>
      </c>
      <c r="E9" s="14" t="s">
        <v>122</v>
      </c>
      <c r="F9" s="14" t="s">
        <v>129</v>
      </c>
      <c r="G9" s="14" t="s">
        <v>566</v>
      </c>
      <c r="H9" s="14" t="s">
        <v>570</v>
      </c>
      <c r="I9" s="14" t="s">
        <v>643</v>
      </c>
    </row>
    <row r="10" customFormat="false" ht="15" hidden="false" customHeight="false" outlineLevel="0" collapsed="false">
      <c r="B10" s="34" t="str">
        <f aca="false">'Rep-Quarter Summary'!A5</f>
        <v>R001</v>
      </c>
      <c r="C10" s="34" t="str">
        <f aca="false">'Rep-Quarter Summary'!B5</f>
        <v>Maria Chen</v>
      </c>
      <c r="D10" s="34" t="str">
        <f aca="false">'Rep-Quarter Summary'!C5</f>
        <v>SMB</v>
      </c>
      <c r="E10" s="34" t="str">
        <f aca="false">'Rep-Quarter Summary'!E5</f>
        <v>Q1</v>
      </c>
      <c r="F10" s="87" t="n">
        <f aca="false">'Rep-Quarter Summary'!K5</f>
        <v>0.8875</v>
      </c>
      <c r="G10" s="36" t="n">
        <f aca="false">'Rep-Quarter Summary'!H5</f>
        <v>74000</v>
      </c>
      <c r="H10" s="55" t="n">
        <f aca="false">'Rep-Quarter Summary'!M5</f>
        <v>13</v>
      </c>
      <c r="I10" s="35" t="str">
        <f aca="false">IF(F10&gt;1.5,"Accelerator review — attainment over 150%",IF(F10&lt;0.6,"Coaching flag — attainment under 60%",IF(G10=0,"Retention gap — zero renewals this quarter","")))</f>
        <v/>
      </c>
    </row>
    <row r="11" customFormat="false" ht="15" hidden="false" customHeight="false" outlineLevel="0" collapsed="false">
      <c r="B11" s="40" t="str">
        <f aca="false">'Rep-Quarter Summary'!A6</f>
        <v>R001</v>
      </c>
      <c r="C11" s="40" t="str">
        <f aca="false">'Rep-Quarter Summary'!B6</f>
        <v>Maria Chen</v>
      </c>
      <c r="D11" s="40" t="str">
        <f aca="false">'Rep-Quarter Summary'!C6</f>
        <v>SMB</v>
      </c>
      <c r="E11" s="40" t="str">
        <f aca="false">'Rep-Quarter Summary'!E6</f>
        <v>Q2</v>
      </c>
      <c r="F11" s="88" t="n">
        <f aca="false">'Rep-Quarter Summary'!K6</f>
        <v>0.709375</v>
      </c>
      <c r="G11" s="42" t="n">
        <f aca="false">'Rep-Quarter Summary'!H6</f>
        <v>79500</v>
      </c>
      <c r="H11" s="57" t="n">
        <f aca="false">'Rep-Quarter Summary'!M6</f>
        <v>11</v>
      </c>
      <c r="I11" s="41" t="str">
        <f aca="false">IF(F11&gt;1.5,"Accelerator review — attainment over 150%",IF(F11&lt;0.6,"Coaching flag — attainment under 60%",IF(G11=0,"Retention gap — zero renewals this quarter","")))</f>
        <v/>
      </c>
    </row>
    <row r="12" customFormat="false" ht="15" hidden="false" customHeight="false" outlineLevel="0" collapsed="false">
      <c r="B12" s="34" t="str">
        <f aca="false">'Rep-Quarter Summary'!A7</f>
        <v>R002</v>
      </c>
      <c r="C12" s="34" t="str">
        <f aca="false">'Rep-Quarter Summary'!B7</f>
        <v>James Okafor</v>
      </c>
      <c r="D12" s="34" t="str">
        <f aca="false">'Rep-Quarter Summary'!C7</f>
        <v>SMB</v>
      </c>
      <c r="E12" s="34" t="str">
        <f aca="false">'Rep-Quarter Summary'!E7</f>
        <v>Q1</v>
      </c>
      <c r="F12" s="87" t="n">
        <f aca="false">'Rep-Quarter Summary'!K7</f>
        <v>1.26296296296296</v>
      </c>
      <c r="G12" s="36" t="n">
        <f aca="false">'Rep-Quarter Summary'!H7</f>
        <v>10000</v>
      </c>
      <c r="H12" s="55" t="n">
        <f aca="false">'Rep-Quarter Summary'!M7</f>
        <v>9</v>
      </c>
      <c r="I12" s="35" t="str">
        <f aca="false">IF(F12&gt;1.5,"Accelerator review — attainment over 150%",IF(F12&lt;0.6,"Coaching flag — attainment under 60%",IF(G12=0,"Retention gap — zero renewals this quarter","")))</f>
        <v/>
      </c>
    </row>
    <row r="13" customFormat="false" ht="15" hidden="false" customHeight="false" outlineLevel="0" collapsed="false">
      <c r="B13" s="40" t="str">
        <f aca="false">'Rep-Quarter Summary'!A8</f>
        <v>R002</v>
      </c>
      <c r="C13" s="40" t="str">
        <f aca="false">'Rep-Quarter Summary'!B8</f>
        <v>James Okafor</v>
      </c>
      <c r="D13" s="40" t="str">
        <f aca="false">'Rep-Quarter Summary'!C8</f>
        <v>SMB</v>
      </c>
      <c r="E13" s="40" t="str">
        <f aca="false">'Rep-Quarter Summary'!E8</f>
        <v>Q2</v>
      </c>
      <c r="F13" s="88" t="n">
        <f aca="false">'Rep-Quarter Summary'!K8</f>
        <v>1.06666666666667</v>
      </c>
      <c r="G13" s="42" t="n">
        <f aca="false">'Rep-Quarter Summary'!H8</f>
        <v>13500</v>
      </c>
      <c r="H13" s="57" t="n">
        <f aca="false">'Rep-Quarter Summary'!M8</f>
        <v>8</v>
      </c>
      <c r="I13" s="41" t="str">
        <f aca="false">IF(F13&gt;1.5,"Accelerator review — attainment over 150%",IF(F13&lt;0.6,"Coaching flag — attainment under 60%",IF(G13=0,"Retention gap — zero renewals this quarter","")))</f>
        <v/>
      </c>
    </row>
    <row r="14" customFormat="false" ht="15" hidden="false" customHeight="false" outlineLevel="0" collapsed="false">
      <c r="B14" s="34" t="str">
        <f aca="false">'Rep-Quarter Summary'!A9</f>
        <v>R003</v>
      </c>
      <c r="C14" s="34" t="str">
        <f aca="false">'Rep-Quarter Summary'!B9</f>
        <v>Priya Patel</v>
      </c>
      <c r="D14" s="34" t="str">
        <f aca="false">'Rep-Quarter Summary'!C9</f>
        <v>SMB</v>
      </c>
      <c r="E14" s="34" t="str">
        <f aca="false">'Rep-Quarter Summary'!E9</f>
        <v>Q1</v>
      </c>
      <c r="F14" s="87" t="n">
        <f aca="false">'Rep-Quarter Summary'!K9</f>
        <v>0.864963503649635</v>
      </c>
      <c r="G14" s="36" t="n">
        <f aca="false">'Rep-Quarter Summary'!H9</f>
        <v>79500</v>
      </c>
      <c r="H14" s="55" t="n">
        <f aca="false">'Rep-Quarter Summary'!M9</f>
        <v>11</v>
      </c>
      <c r="I14" s="35" t="str">
        <f aca="false">IF(F14&gt;1.5,"Accelerator review — attainment over 150%",IF(F14&lt;0.6,"Coaching flag — attainment under 60%",IF(G14=0,"Retention gap — zero renewals this quarter","")))</f>
        <v/>
      </c>
    </row>
    <row r="15" customFormat="false" ht="15" hidden="false" customHeight="false" outlineLevel="0" collapsed="false">
      <c r="B15" s="40" t="str">
        <f aca="false">'Rep-Quarter Summary'!A10</f>
        <v>R003</v>
      </c>
      <c r="C15" s="40" t="str">
        <f aca="false">'Rep-Quarter Summary'!B10</f>
        <v>Priya Patel</v>
      </c>
      <c r="D15" s="40" t="str">
        <f aca="false">'Rep-Quarter Summary'!C10</f>
        <v>SMB</v>
      </c>
      <c r="E15" s="40" t="str">
        <f aca="false">'Rep-Quarter Summary'!E10</f>
        <v>Q2</v>
      </c>
      <c r="F15" s="88" t="n">
        <f aca="false">'Rep-Quarter Summary'!K10</f>
        <v>0.868613138686131</v>
      </c>
      <c r="G15" s="42" t="n">
        <f aca="false">'Rep-Quarter Summary'!H10</f>
        <v>92500</v>
      </c>
      <c r="H15" s="57" t="n">
        <f aca="false">'Rep-Quarter Summary'!M10</f>
        <v>11</v>
      </c>
      <c r="I15" s="41" t="str">
        <f aca="false">IF(F15&gt;1.5,"Accelerator review — attainment over 150%",IF(F15&lt;0.6,"Coaching flag — attainment under 60%",IF(G15=0,"Retention gap — zero renewals this quarter","")))</f>
        <v/>
      </c>
    </row>
    <row r="16" customFormat="false" ht="15" hidden="false" customHeight="false" outlineLevel="0" collapsed="false">
      <c r="B16" s="34" t="str">
        <f aca="false">'Rep-Quarter Summary'!A11</f>
        <v>R004</v>
      </c>
      <c r="C16" s="34" t="str">
        <f aca="false">'Rep-Quarter Summary'!B11</f>
        <v>David Nguyen</v>
      </c>
      <c r="D16" s="34" t="str">
        <f aca="false">'Rep-Quarter Summary'!C11</f>
        <v>SMB</v>
      </c>
      <c r="E16" s="34" t="str">
        <f aca="false">'Rep-Quarter Summary'!E11</f>
        <v>Q1</v>
      </c>
      <c r="F16" s="87" t="n">
        <f aca="false">'Rep-Quarter Summary'!K11</f>
        <v>1.26774193548387</v>
      </c>
      <c r="G16" s="36" t="n">
        <f aca="false">'Rep-Quarter Summary'!H11</f>
        <v>38500</v>
      </c>
      <c r="H16" s="55" t="n">
        <f aca="false">'Rep-Quarter Summary'!M11</f>
        <v>11</v>
      </c>
      <c r="I16" s="35" t="str">
        <f aca="false">IF(F16&gt;1.5,"Accelerator review — attainment over 150%",IF(F16&lt;0.6,"Coaching flag — attainment under 60%",IF(G16=0,"Retention gap — zero renewals this quarter","")))</f>
        <v/>
      </c>
    </row>
    <row r="17" customFormat="false" ht="15" hidden="false" customHeight="false" outlineLevel="0" collapsed="false">
      <c r="B17" s="40" t="str">
        <f aca="false">'Rep-Quarter Summary'!A12</f>
        <v>R004</v>
      </c>
      <c r="C17" s="40" t="str">
        <f aca="false">'Rep-Quarter Summary'!B12</f>
        <v>David Nguyen</v>
      </c>
      <c r="D17" s="40" t="str">
        <f aca="false">'Rep-Quarter Summary'!C12</f>
        <v>SMB</v>
      </c>
      <c r="E17" s="40" t="str">
        <f aca="false">'Rep-Quarter Summary'!E12</f>
        <v>Q2</v>
      </c>
      <c r="F17" s="88" t="n">
        <f aca="false">'Rep-Quarter Summary'!K12</f>
        <v>0.167741935483871</v>
      </c>
      <c r="G17" s="42" t="n">
        <f aca="false">'Rep-Quarter Summary'!H12</f>
        <v>171500</v>
      </c>
      <c r="H17" s="57" t="n">
        <f aca="false">'Rep-Quarter Summary'!M12</f>
        <v>8</v>
      </c>
      <c r="I17" s="41" t="str">
        <f aca="false">IF(F17&gt;1.5,"Accelerator review — attainment over 150%",IF(F17&lt;0.6,"Coaching flag — attainment under 60%",IF(G17=0,"Retention gap — zero renewals this quarter","")))</f>
        <v>Coaching flag — attainment under 60%</v>
      </c>
    </row>
    <row r="18" customFormat="false" ht="15" hidden="false" customHeight="false" outlineLevel="0" collapsed="false">
      <c r="B18" s="34" t="str">
        <f aca="false">'Rep-Quarter Summary'!A13</f>
        <v>R005</v>
      </c>
      <c r="C18" s="34" t="str">
        <f aca="false">'Rep-Quarter Summary'!B13</f>
        <v>Sofia Rossi</v>
      </c>
      <c r="D18" s="34" t="str">
        <f aca="false">'Rep-Quarter Summary'!C13</f>
        <v>SMB</v>
      </c>
      <c r="E18" s="34" t="str">
        <f aca="false">'Rep-Quarter Summary'!E13</f>
        <v>Q1</v>
      </c>
      <c r="F18" s="87" t="n">
        <f aca="false">'Rep-Quarter Summary'!K13</f>
        <v>1.00986842105263</v>
      </c>
      <c r="G18" s="36" t="n">
        <f aca="false">'Rep-Quarter Summary'!H13</f>
        <v>86000</v>
      </c>
      <c r="H18" s="55" t="n">
        <f aca="false">'Rep-Quarter Summary'!M13</f>
        <v>9</v>
      </c>
      <c r="I18" s="35" t="str">
        <f aca="false">IF(F18&gt;1.5,"Accelerator review — attainment over 150%",IF(F18&lt;0.6,"Coaching flag — attainment under 60%",IF(G18=0,"Retention gap — zero renewals this quarter","")))</f>
        <v/>
      </c>
    </row>
    <row r="19" customFormat="false" ht="15" hidden="false" customHeight="false" outlineLevel="0" collapsed="false">
      <c r="B19" s="40" t="str">
        <f aca="false">'Rep-Quarter Summary'!A14</f>
        <v>R005</v>
      </c>
      <c r="C19" s="40" t="str">
        <f aca="false">'Rep-Quarter Summary'!B14</f>
        <v>Sofia Rossi</v>
      </c>
      <c r="D19" s="40" t="str">
        <f aca="false">'Rep-Quarter Summary'!C14</f>
        <v>SMB</v>
      </c>
      <c r="E19" s="40" t="str">
        <f aca="false">'Rep-Quarter Summary'!E14</f>
        <v>Q2</v>
      </c>
      <c r="F19" s="88" t="n">
        <f aca="false">'Rep-Quarter Summary'!K14</f>
        <v>1.02960526315789</v>
      </c>
      <c r="G19" s="42" t="n">
        <f aca="false">'Rep-Quarter Summary'!H14</f>
        <v>87500</v>
      </c>
      <c r="H19" s="57" t="n">
        <f aca="false">'Rep-Quarter Summary'!M14</f>
        <v>10</v>
      </c>
      <c r="I19" s="41" t="str">
        <f aca="false">IF(F19&gt;1.5,"Accelerator review — attainment over 150%",IF(F19&lt;0.6,"Coaching flag — attainment under 60%",IF(G19=0,"Retention gap — zero renewals this quarter","")))</f>
        <v/>
      </c>
    </row>
    <row r="20" customFormat="false" ht="15" hidden="false" customHeight="false" outlineLevel="0" collapsed="false">
      <c r="B20" s="34" t="str">
        <f aca="false">'Rep-Quarter Summary'!A15</f>
        <v>R006</v>
      </c>
      <c r="C20" s="34" t="str">
        <f aca="false">'Rep-Quarter Summary'!B15</f>
        <v>Marcus Bennett</v>
      </c>
      <c r="D20" s="34" t="str">
        <f aca="false">'Rep-Quarter Summary'!C15</f>
        <v>SMB</v>
      </c>
      <c r="E20" s="34" t="str">
        <f aca="false">'Rep-Quarter Summary'!E15</f>
        <v>Q1</v>
      </c>
      <c r="F20" s="87" t="n">
        <f aca="false">'Rep-Quarter Summary'!K15</f>
        <v>1.09748427672956</v>
      </c>
      <c r="G20" s="36" t="n">
        <f aca="false">'Rep-Quarter Summary'!H15</f>
        <v>97500</v>
      </c>
      <c r="H20" s="55" t="n">
        <f aca="false">'Rep-Quarter Summary'!M15</f>
        <v>12</v>
      </c>
      <c r="I20" s="35" t="str">
        <f aca="false">IF(F20&gt;1.5,"Accelerator review — attainment over 150%",IF(F20&lt;0.6,"Coaching flag — attainment under 60%",IF(G20=0,"Retention gap — zero renewals this quarter","")))</f>
        <v/>
      </c>
    </row>
    <row r="21" customFormat="false" ht="15" hidden="false" customHeight="false" outlineLevel="0" collapsed="false">
      <c r="B21" s="40" t="str">
        <f aca="false">'Rep-Quarter Summary'!A16</f>
        <v>R006</v>
      </c>
      <c r="C21" s="40" t="str">
        <f aca="false">'Rep-Quarter Summary'!B16</f>
        <v>Marcus Bennett</v>
      </c>
      <c r="D21" s="40" t="str">
        <f aca="false">'Rep-Quarter Summary'!C16</f>
        <v>SMB</v>
      </c>
      <c r="E21" s="40" t="str">
        <f aca="false">'Rep-Quarter Summary'!E16</f>
        <v>Q2</v>
      </c>
      <c r="F21" s="88" t="n">
        <f aca="false">'Rep-Quarter Summary'!K16</f>
        <v>1.25786163522013</v>
      </c>
      <c r="G21" s="42" t="n">
        <f aca="false">'Rep-Quarter Summary'!H16</f>
        <v>85000</v>
      </c>
      <c r="H21" s="57" t="n">
        <f aca="false">'Rep-Quarter Summary'!M16</f>
        <v>13</v>
      </c>
      <c r="I21" s="41" t="str">
        <f aca="false">IF(F21&gt;1.5,"Accelerator review — attainment over 150%",IF(F21&lt;0.6,"Coaching flag — attainment under 60%",IF(G21=0,"Retention gap — zero renewals this quarter","")))</f>
        <v/>
      </c>
    </row>
    <row r="22" customFormat="false" ht="15" hidden="false" customHeight="false" outlineLevel="0" collapsed="false">
      <c r="B22" s="34" t="str">
        <f aca="false">'Rep-Quarter Summary'!A17</f>
        <v>R007</v>
      </c>
      <c r="C22" s="34" t="str">
        <f aca="false">'Rep-Quarter Summary'!B17</f>
        <v>Elena Kowalski</v>
      </c>
      <c r="D22" s="34" t="str">
        <f aca="false">'Rep-Quarter Summary'!C17</f>
        <v>Mid-Market</v>
      </c>
      <c r="E22" s="34" t="str">
        <f aca="false">'Rep-Quarter Summary'!E17</f>
        <v>Q1</v>
      </c>
      <c r="F22" s="87" t="n">
        <f aca="false">'Rep-Quarter Summary'!K17</f>
        <v>0.809375</v>
      </c>
      <c r="G22" s="36" t="n">
        <f aca="false">'Rep-Quarter Summary'!H17</f>
        <v>154000</v>
      </c>
      <c r="H22" s="55" t="n">
        <f aca="false">'Rep-Quarter Summary'!M17</f>
        <v>8</v>
      </c>
      <c r="I22" s="35" t="str">
        <f aca="false">IF(F22&gt;1.5,"Accelerator review — attainment over 150%",IF(F22&lt;0.6,"Coaching flag — attainment under 60%",IF(G22=0,"Retention gap — zero renewals this quarter","")))</f>
        <v/>
      </c>
    </row>
    <row r="23" customFormat="false" ht="15" hidden="false" customHeight="false" outlineLevel="0" collapsed="false">
      <c r="B23" s="40" t="str">
        <f aca="false">'Rep-Quarter Summary'!A18</f>
        <v>R007</v>
      </c>
      <c r="C23" s="40" t="str">
        <f aca="false">'Rep-Quarter Summary'!B18</f>
        <v>Elena Kowalski</v>
      </c>
      <c r="D23" s="40" t="str">
        <f aca="false">'Rep-Quarter Summary'!C18</f>
        <v>Mid-Market</v>
      </c>
      <c r="E23" s="40" t="str">
        <f aca="false">'Rep-Quarter Summary'!E18</f>
        <v>Q2</v>
      </c>
      <c r="F23" s="88" t="n">
        <f aca="false">'Rep-Quarter Summary'!K18</f>
        <v>0.7828125</v>
      </c>
      <c r="G23" s="42" t="n">
        <f aca="false">'Rep-Quarter Summary'!H18</f>
        <v>115500</v>
      </c>
      <c r="H23" s="57" t="n">
        <f aca="false">'Rep-Quarter Summary'!M18</f>
        <v>6</v>
      </c>
      <c r="I23" s="41" t="str">
        <f aca="false">IF(F23&gt;1.5,"Accelerator review — attainment over 150%",IF(F23&lt;0.6,"Coaching flag — attainment under 60%",IF(G23=0,"Retention gap — zero renewals this quarter","")))</f>
        <v/>
      </c>
    </row>
    <row r="24" customFormat="false" ht="15" hidden="false" customHeight="false" outlineLevel="0" collapsed="false">
      <c r="B24" s="34" t="str">
        <f aca="false">'Rep-Quarter Summary'!A19</f>
        <v>R008</v>
      </c>
      <c r="C24" s="34" t="str">
        <f aca="false">'Rep-Quarter Summary'!B19</f>
        <v>Tyler Alvarez</v>
      </c>
      <c r="D24" s="34" t="str">
        <f aca="false">'Rep-Quarter Summary'!C19</f>
        <v>Mid-Market</v>
      </c>
      <c r="E24" s="34" t="str">
        <f aca="false">'Rep-Quarter Summary'!E19</f>
        <v>Q1</v>
      </c>
      <c r="F24" s="87" t="n">
        <f aca="false">'Rep-Quarter Summary'!K19</f>
        <v>0.947272727272727</v>
      </c>
      <c r="G24" s="36" t="n">
        <f aca="false">'Rep-Quarter Summary'!H19</f>
        <v>80500</v>
      </c>
      <c r="H24" s="55" t="n">
        <f aca="false">'Rep-Quarter Summary'!M19</f>
        <v>8</v>
      </c>
      <c r="I24" s="35" t="str">
        <f aca="false">IF(F24&gt;1.5,"Accelerator review — attainment over 150%",IF(F24&lt;0.6,"Coaching flag — attainment under 60%",IF(G24=0,"Retention gap — zero renewals this quarter","")))</f>
        <v/>
      </c>
    </row>
    <row r="25" customFormat="false" ht="15" hidden="false" customHeight="false" outlineLevel="0" collapsed="false">
      <c r="B25" s="40" t="str">
        <f aca="false">'Rep-Quarter Summary'!A20</f>
        <v>R008</v>
      </c>
      <c r="C25" s="40" t="str">
        <f aca="false">'Rep-Quarter Summary'!B20</f>
        <v>Tyler Alvarez</v>
      </c>
      <c r="D25" s="40" t="str">
        <f aca="false">'Rep-Quarter Summary'!C20</f>
        <v>Mid-Market</v>
      </c>
      <c r="E25" s="40" t="str">
        <f aca="false">'Rep-Quarter Summary'!E20</f>
        <v>Q2</v>
      </c>
      <c r="F25" s="88" t="n">
        <f aca="false">'Rep-Quarter Summary'!K20</f>
        <v>1.14363636363636</v>
      </c>
      <c r="G25" s="42" t="n">
        <f aca="false">'Rep-Quarter Summary'!H20</f>
        <v>66500</v>
      </c>
      <c r="H25" s="57" t="n">
        <f aca="false">'Rep-Quarter Summary'!M20</f>
        <v>12</v>
      </c>
      <c r="I25" s="41" t="str">
        <f aca="false">IF(F25&gt;1.5,"Accelerator review — attainment over 150%",IF(F25&lt;0.6,"Coaching flag — attainment under 60%",IF(G25=0,"Retention gap — zero renewals this quarter","")))</f>
        <v/>
      </c>
    </row>
    <row r="26" customFormat="false" ht="15" hidden="false" customHeight="false" outlineLevel="0" collapsed="false">
      <c r="B26" s="34" t="str">
        <f aca="false">'Rep-Quarter Summary'!A21</f>
        <v>R009</v>
      </c>
      <c r="C26" s="34" t="str">
        <f aca="false">'Rep-Quarter Summary'!B21</f>
        <v>Aisha Kim</v>
      </c>
      <c r="D26" s="34" t="str">
        <f aca="false">'Rep-Quarter Summary'!C21</f>
        <v>Mid-Market</v>
      </c>
      <c r="E26" s="34" t="str">
        <f aca="false">'Rep-Quarter Summary'!E21</f>
        <v>Q1</v>
      </c>
      <c r="F26" s="87" t="n">
        <f aca="false">'Rep-Quarter Summary'!K21</f>
        <v>0.926829268292683</v>
      </c>
      <c r="G26" s="36" t="n">
        <f aca="false">'Rep-Quarter Summary'!H21</f>
        <v>138500</v>
      </c>
      <c r="H26" s="55" t="n">
        <f aca="false">'Rep-Quarter Summary'!M21</f>
        <v>10</v>
      </c>
      <c r="I26" s="35" t="str">
        <f aca="false">IF(F26&gt;1.5,"Accelerator review — attainment over 150%",IF(F26&lt;0.6,"Coaching flag — attainment under 60%",IF(G26=0,"Retention gap — zero renewals this quarter","")))</f>
        <v/>
      </c>
    </row>
    <row r="27" customFormat="false" ht="15" hidden="false" customHeight="false" outlineLevel="0" collapsed="false">
      <c r="B27" s="40" t="str">
        <f aca="false">'Rep-Quarter Summary'!A22</f>
        <v>R009</v>
      </c>
      <c r="C27" s="40" t="str">
        <f aca="false">'Rep-Quarter Summary'!B22</f>
        <v>Aisha Kim</v>
      </c>
      <c r="D27" s="40" t="str">
        <f aca="false">'Rep-Quarter Summary'!C22</f>
        <v>Mid-Market</v>
      </c>
      <c r="E27" s="40" t="str">
        <f aca="false">'Rep-Quarter Summary'!E22</f>
        <v>Q2</v>
      </c>
      <c r="F27" s="88" t="n">
        <f aca="false">'Rep-Quarter Summary'!K22</f>
        <v>0.881533101045296</v>
      </c>
      <c r="G27" s="42" t="n">
        <f aca="false">'Rep-Quarter Summary'!H22</f>
        <v>157500</v>
      </c>
      <c r="H27" s="57" t="n">
        <f aca="false">'Rep-Quarter Summary'!M22</f>
        <v>8</v>
      </c>
      <c r="I27" s="41" t="str">
        <f aca="false">IF(F27&gt;1.5,"Accelerator review — attainment over 150%",IF(F27&lt;0.6,"Coaching flag — attainment under 60%",IF(G27=0,"Retention gap — zero renewals this quarter","")))</f>
        <v/>
      </c>
    </row>
    <row r="28" customFormat="false" ht="15" hidden="false" customHeight="false" outlineLevel="0" collapsed="false">
      <c r="B28" s="34" t="str">
        <f aca="false">'Rep-Quarter Summary'!A23</f>
        <v>R010</v>
      </c>
      <c r="C28" s="34" t="str">
        <f aca="false">'Rep-Quarter Summary'!B23</f>
        <v>Ryan Sullivan</v>
      </c>
      <c r="D28" s="34" t="str">
        <f aca="false">'Rep-Quarter Summary'!C23</f>
        <v>Mid-Market</v>
      </c>
      <c r="E28" s="34" t="str">
        <f aca="false">'Rep-Quarter Summary'!E23</f>
        <v>Q1</v>
      </c>
      <c r="F28" s="87" t="n">
        <f aca="false">'Rep-Quarter Summary'!K23</f>
        <v>0.992673992673993</v>
      </c>
      <c r="G28" s="36" t="n">
        <f aca="false">'Rep-Quarter Summary'!H23</f>
        <v>181000</v>
      </c>
      <c r="H28" s="55" t="n">
        <f aca="false">'Rep-Quarter Summary'!M23</f>
        <v>10</v>
      </c>
      <c r="I28" s="35" t="str">
        <f aca="false">IF(F28&gt;1.5,"Accelerator review — attainment over 150%",IF(F28&lt;0.6,"Coaching flag — attainment under 60%",IF(G28=0,"Retention gap — zero renewals this quarter","")))</f>
        <v/>
      </c>
    </row>
    <row r="29" customFormat="false" ht="15" hidden="false" customHeight="false" outlineLevel="0" collapsed="false">
      <c r="B29" s="40" t="str">
        <f aca="false">'Rep-Quarter Summary'!A24</f>
        <v>R010</v>
      </c>
      <c r="C29" s="40" t="str">
        <f aca="false">'Rep-Quarter Summary'!B24</f>
        <v>Ryan Sullivan</v>
      </c>
      <c r="D29" s="40" t="str">
        <f aca="false">'Rep-Quarter Summary'!C24</f>
        <v>Mid-Market</v>
      </c>
      <c r="E29" s="40" t="str">
        <f aca="false">'Rep-Quarter Summary'!E24</f>
        <v>Q2</v>
      </c>
      <c r="F29" s="88" t="n">
        <f aca="false">'Rep-Quarter Summary'!K24</f>
        <v>1.12454212454212</v>
      </c>
      <c r="G29" s="42" t="n">
        <f aca="false">'Rep-Quarter Summary'!H24</f>
        <v>180500</v>
      </c>
      <c r="H29" s="57" t="n">
        <f aca="false">'Rep-Quarter Summary'!M24</f>
        <v>5</v>
      </c>
      <c r="I29" s="41" t="str">
        <f aca="false">IF(F29&gt;1.5,"Accelerator review — attainment over 150%",IF(F29&lt;0.6,"Coaching flag — attainment under 60%",IF(G29=0,"Retention gap — zero renewals this quarter","")))</f>
        <v/>
      </c>
    </row>
    <row r="30" customFormat="false" ht="15" hidden="false" customHeight="false" outlineLevel="0" collapsed="false">
      <c r="B30" s="34" t="str">
        <f aca="false">'Rep-Quarter Summary'!A25</f>
        <v>R011</v>
      </c>
      <c r="C30" s="34" t="str">
        <f aca="false">'Rep-Quarter Summary'!B25</f>
        <v>Natalie Reyes</v>
      </c>
      <c r="D30" s="34" t="str">
        <f aca="false">'Rep-Quarter Summary'!C25</f>
        <v>Mid-Market</v>
      </c>
      <c r="E30" s="34" t="str">
        <f aca="false">'Rep-Quarter Summary'!E25</f>
        <v>Q1</v>
      </c>
      <c r="F30" s="87" t="n">
        <f aca="false">'Rep-Quarter Summary'!K25</f>
        <v>0.905084745762712</v>
      </c>
      <c r="G30" s="36" t="n">
        <f aca="false">'Rep-Quarter Summary'!H25</f>
        <v>90000</v>
      </c>
      <c r="H30" s="55" t="n">
        <f aca="false">'Rep-Quarter Summary'!M25</f>
        <v>12</v>
      </c>
      <c r="I30" s="35" t="str">
        <f aca="false">IF(F30&gt;1.5,"Accelerator review — attainment over 150%",IF(F30&lt;0.6,"Coaching flag — attainment under 60%",IF(G30=0,"Retention gap — zero renewals this quarter","")))</f>
        <v/>
      </c>
    </row>
    <row r="31" customFormat="false" ht="15" hidden="false" customHeight="false" outlineLevel="0" collapsed="false">
      <c r="B31" s="40" t="str">
        <f aca="false">'Rep-Quarter Summary'!A26</f>
        <v>R011</v>
      </c>
      <c r="C31" s="40" t="str">
        <f aca="false">'Rep-Quarter Summary'!B26</f>
        <v>Natalie Reyes</v>
      </c>
      <c r="D31" s="40" t="str">
        <f aca="false">'Rep-Quarter Summary'!C26</f>
        <v>Mid-Market</v>
      </c>
      <c r="E31" s="40" t="str">
        <f aca="false">'Rep-Quarter Summary'!E26</f>
        <v>Q2</v>
      </c>
      <c r="F31" s="88" t="n">
        <f aca="false">'Rep-Quarter Summary'!K26</f>
        <v>0.994915254237288</v>
      </c>
      <c r="G31" s="42" t="n">
        <f aca="false">'Rep-Quarter Summary'!H26</f>
        <v>79000</v>
      </c>
      <c r="H31" s="57" t="n">
        <f aca="false">'Rep-Quarter Summary'!M26</f>
        <v>8</v>
      </c>
      <c r="I31" s="41" t="str">
        <f aca="false">IF(F31&gt;1.5,"Accelerator review — attainment over 150%",IF(F31&lt;0.6,"Coaching flag — attainment under 60%",IF(G31=0,"Retention gap — zero renewals this quarter","")))</f>
        <v/>
      </c>
    </row>
    <row r="32" customFormat="false" ht="15" hidden="false" customHeight="false" outlineLevel="0" collapsed="false">
      <c r="B32" s="34" t="str">
        <f aca="false">'Rep-Quarter Summary'!A27</f>
        <v>R012</v>
      </c>
      <c r="C32" s="34" t="str">
        <f aca="false">'Rep-Quarter Summary'!B27</f>
        <v>Omar Fischer</v>
      </c>
      <c r="D32" s="34" t="str">
        <f aca="false">'Rep-Quarter Summary'!C27</f>
        <v>Mid-Market</v>
      </c>
      <c r="E32" s="34" t="str">
        <f aca="false">'Rep-Quarter Summary'!E27</f>
        <v>Q1</v>
      </c>
      <c r="F32" s="87" t="n">
        <f aca="false">'Rep-Quarter Summary'!K27</f>
        <v>1.41049382716049</v>
      </c>
      <c r="G32" s="36" t="n">
        <f aca="false">'Rep-Quarter Summary'!H27</f>
        <v>65000</v>
      </c>
      <c r="H32" s="55" t="n">
        <f aca="false">'Rep-Quarter Summary'!M27</f>
        <v>10</v>
      </c>
      <c r="I32" s="35" t="str">
        <f aca="false">IF(F32&gt;1.5,"Accelerator review — attainment over 150%",IF(F32&lt;0.6,"Coaching flag — attainment under 60%",IF(G32=0,"Retention gap — zero renewals this quarter","")))</f>
        <v/>
      </c>
    </row>
    <row r="33" customFormat="false" ht="15" hidden="false" customHeight="false" outlineLevel="0" collapsed="false">
      <c r="B33" s="40" t="str">
        <f aca="false">'Rep-Quarter Summary'!A28</f>
        <v>R012</v>
      </c>
      <c r="C33" s="40" t="str">
        <f aca="false">'Rep-Quarter Summary'!B28</f>
        <v>Omar Fischer</v>
      </c>
      <c r="D33" s="40" t="str">
        <f aca="false">'Rep-Quarter Summary'!C28</f>
        <v>Mid-Market</v>
      </c>
      <c r="E33" s="40" t="str">
        <f aca="false">'Rep-Quarter Summary'!E28</f>
        <v>Q2</v>
      </c>
      <c r="F33" s="88" t="n">
        <f aca="false">'Rep-Quarter Summary'!K28</f>
        <v>1.77623456790123</v>
      </c>
      <c r="G33" s="42" t="n">
        <f aca="false">'Rep-Quarter Summary'!H28</f>
        <v>63500</v>
      </c>
      <c r="H33" s="57" t="n">
        <f aca="false">'Rep-Quarter Summary'!M28</f>
        <v>7</v>
      </c>
      <c r="I33" s="41" t="str">
        <f aca="false">IF(F33&gt;1.5,"Accelerator review — attainment over 150%",IF(F33&lt;0.6,"Coaching flag — attainment under 60%",IF(G33=0,"Retention gap — zero renewals this quarter","")))</f>
        <v>Accelerator review — attainment over 150%</v>
      </c>
    </row>
    <row r="34" customFormat="false" ht="15" hidden="false" customHeight="false" outlineLevel="0" collapsed="false">
      <c r="B34" s="34" t="str">
        <f aca="false">'Rep-Quarter Summary'!A29</f>
        <v>R013</v>
      </c>
      <c r="C34" s="34" t="str">
        <f aca="false">'Rep-Quarter Summary'!B29</f>
        <v>Grace Adeyemi</v>
      </c>
      <c r="D34" s="34" t="str">
        <f aca="false">'Rep-Quarter Summary'!C29</f>
        <v>Enterprise</v>
      </c>
      <c r="E34" s="34" t="str">
        <f aca="false">'Rep-Quarter Summary'!E29</f>
        <v>Q1</v>
      </c>
      <c r="F34" s="87" t="n">
        <f aca="false">'Rep-Quarter Summary'!K29</f>
        <v>0.644568690095847</v>
      </c>
      <c r="G34" s="36" t="n">
        <f aca="false">'Rep-Quarter Summary'!H29</f>
        <v>318500</v>
      </c>
      <c r="H34" s="55" t="n">
        <f aca="false">'Rep-Quarter Summary'!M29</f>
        <v>6</v>
      </c>
      <c r="I34" s="35" t="str">
        <f aca="false">IF(F34&gt;1.5,"Accelerator review — attainment over 150%",IF(F34&lt;0.6,"Coaching flag — attainment under 60%",IF(G34=0,"Retention gap — zero renewals this quarter","")))</f>
        <v/>
      </c>
    </row>
    <row r="35" customFormat="false" ht="15" hidden="false" customHeight="false" outlineLevel="0" collapsed="false">
      <c r="B35" s="40" t="str">
        <f aca="false">'Rep-Quarter Summary'!A30</f>
        <v>R013</v>
      </c>
      <c r="C35" s="40" t="str">
        <f aca="false">'Rep-Quarter Summary'!B30</f>
        <v>Grace Adeyemi</v>
      </c>
      <c r="D35" s="40" t="str">
        <f aca="false">'Rep-Quarter Summary'!C30</f>
        <v>Enterprise</v>
      </c>
      <c r="E35" s="40" t="str">
        <f aca="false">'Rep-Quarter Summary'!E30</f>
        <v>Q2</v>
      </c>
      <c r="F35" s="88" t="n">
        <f aca="false">'Rep-Quarter Summary'!K30</f>
        <v>0.597444089456869</v>
      </c>
      <c r="G35" s="42" t="n">
        <f aca="false">'Rep-Quarter Summary'!H30</f>
        <v>250000</v>
      </c>
      <c r="H35" s="57" t="n">
        <f aca="false">'Rep-Quarter Summary'!M30</f>
        <v>7</v>
      </c>
      <c r="I35" s="41" t="str">
        <f aca="false">IF(F35&gt;1.5,"Accelerator review — attainment over 150%",IF(F35&lt;0.6,"Coaching flag — attainment under 60%",IF(G35=0,"Retention gap — zero renewals this quarter","")))</f>
        <v>Coaching flag — attainment under 60%</v>
      </c>
    </row>
    <row r="36" customFormat="false" ht="15" hidden="false" customHeight="false" outlineLevel="0" collapsed="false">
      <c r="B36" s="34" t="str">
        <f aca="false">'Rep-Quarter Summary'!A31</f>
        <v>R014</v>
      </c>
      <c r="C36" s="34" t="str">
        <f aca="false">'Rep-Quarter Summary'!B31</f>
        <v>Kevin Novak</v>
      </c>
      <c r="D36" s="34" t="str">
        <f aca="false">'Rep-Quarter Summary'!C31</f>
        <v>Enterprise</v>
      </c>
      <c r="E36" s="34" t="str">
        <f aca="false">'Rep-Quarter Summary'!E31</f>
        <v>Q1</v>
      </c>
      <c r="F36" s="87" t="n">
        <f aca="false">'Rep-Quarter Summary'!K31</f>
        <v>0.787051482059282</v>
      </c>
      <c r="G36" s="36" t="n">
        <f aca="false">'Rep-Quarter Summary'!H31</f>
        <v>214500</v>
      </c>
      <c r="H36" s="55" t="n">
        <f aca="false">'Rep-Quarter Summary'!M31</f>
        <v>7</v>
      </c>
      <c r="I36" s="35" t="str">
        <f aca="false">IF(F36&gt;1.5,"Accelerator review — attainment over 150%",IF(F36&lt;0.6,"Coaching flag — attainment under 60%",IF(G36=0,"Retention gap — zero renewals this quarter","")))</f>
        <v/>
      </c>
    </row>
    <row r="37" customFormat="false" ht="15" hidden="false" customHeight="false" outlineLevel="0" collapsed="false">
      <c r="B37" s="40" t="str">
        <f aca="false">'Rep-Quarter Summary'!A32</f>
        <v>R014</v>
      </c>
      <c r="C37" s="40" t="str">
        <f aca="false">'Rep-Quarter Summary'!B32</f>
        <v>Kevin Novak</v>
      </c>
      <c r="D37" s="40" t="str">
        <f aca="false">'Rep-Quarter Summary'!C32</f>
        <v>Enterprise</v>
      </c>
      <c r="E37" s="40" t="str">
        <f aca="false">'Rep-Quarter Summary'!E32</f>
        <v>Q2</v>
      </c>
      <c r="F37" s="88" t="n">
        <f aca="false">'Rep-Quarter Summary'!K32</f>
        <v>0.889235569422777</v>
      </c>
      <c r="G37" s="42" t="n">
        <f aca="false">'Rep-Quarter Summary'!H32</f>
        <v>208000</v>
      </c>
      <c r="H37" s="57" t="n">
        <f aca="false">'Rep-Quarter Summary'!M32</f>
        <v>5</v>
      </c>
      <c r="I37" s="41" t="str">
        <f aca="false">IF(F37&gt;1.5,"Accelerator review — attainment over 150%",IF(F37&lt;0.6,"Coaching flag — attainment under 60%",IF(G37=0,"Retention gap — zero renewals this quarter","")))</f>
        <v/>
      </c>
    </row>
    <row r="38" customFormat="false" ht="15" hidden="false" customHeight="false" outlineLevel="0" collapsed="false">
      <c r="B38" s="34" t="str">
        <f aca="false">'Rep-Quarter Summary'!A33</f>
        <v>R015</v>
      </c>
      <c r="C38" s="34" t="str">
        <f aca="false">'Rep-Quarter Summary'!B33</f>
        <v>Lucia Larsen</v>
      </c>
      <c r="D38" s="34" t="str">
        <f aca="false">'Rep-Quarter Summary'!C33</f>
        <v>Enterprise</v>
      </c>
      <c r="E38" s="34" t="str">
        <f aca="false">'Rep-Quarter Summary'!E33</f>
        <v>Q1</v>
      </c>
      <c r="F38" s="87" t="n">
        <f aca="false">'Rep-Quarter Summary'!K33</f>
        <v>0.913299663299663</v>
      </c>
      <c r="G38" s="36" t="n">
        <f aca="false">'Rep-Quarter Summary'!H33</f>
        <v>270500</v>
      </c>
      <c r="H38" s="55" t="n">
        <f aca="false">'Rep-Quarter Summary'!M33</f>
        <v>9</v>
      </c>
      <c r="I38" s="35" t="str">
        <f aca="false">IF(F38&gt;1.5,"Accelerator review — attainment over 150%",IF(F38&lt;0.6,"Coaching flag — attainment under 60%",IF(G38=0,"Retention gap — zero renewals this quarter","")))</f>
        <v/>
      </c>
    </row>
    <row r="39" customFormat="false" ht="15" hidden="false" customHeight="false" outlineLevel="0" collapsed="false">
      <c r="B39" s="40" t="str">
        <f aca="false">'Rep-Quarter Summary'!A34</f>
        <v>R015</v>
      </c>
      <c r="C39" s="40" t="str">
        <f aca="false">'Rep-Quarter Summary'!B34</f>
        <v>Lucia Larsen</v>
      </c>
      <c r="D39" s="40" t="str">
        <f aca="false">'Rep-Quarter Summary'!C34</f>
        <v>Enterprise</v>
      </c>
      <c r="E39" s="40" t="str">
        <f aca="false">'Rep-Quarter Summary'!E34</f>
        <v>Q2</v>
      </c>
      <c r="F39" s="88" t="n">
        <f aca="false">'Rep-Quarter Summary'!K34</f>
        <v>1.00420875420875</v>
      </c>
      <c r="G39" s="42" t="n">
        <f aca="false">'Rep-Quarter Summary'!H34</f>
        <v>248000</v>
      </c>
      <c r="H39" s="57" t="n">
        <f aca="false">'Rep-Quarter Summary'!M34</f>
        <v>6</v>
      </c>
      <c r="I39" s="41" t="str">
        <f aca="false">IF(F39&gt;1.5,"Accelerator review — attainment over 150%",IF(F39&lt;0.6,"Coaching flag — attainment under 60%",IF(G39=0,"Retention gap — zero renewals this quarter","")))</f>
        <v/>
      </c>
    </row>
    <row r="42" customFormat="false" ht="15" hidden="false" customHeight="false" outlineLevel="0" collapsed="false">
      <c r="B42" s="8" t="s">
        <v>644</v>
      </c>
    </row>
    <row r="44" customFormat="false" ht="23.85" hidden="false" customHeight="false" outlineLevel="0" collapsed="false">
      <c r="B44" s="14" t="s">
        <v>119</v>
      </c>
      <c r="C44" s="14" t="s">
        <v>60</v>
      </c>
      <c r="D44" s="14" t="s">
        <v>123</v>
      </c>
      <c r="E44" s="14" t="s">
        <v>126</v>
      </c>
      <c r="F44" s="14" t="s">
        <v>645</v>
      </c>
      <c r="G44" s="14" t="s">
        <v>646</v>
      </c>
      <c r="H44" s="14" t="s">
        <v>643</v>
      </c>
    </row>
    <row r="45" customFormat="false" ht="15" hidden="false" customHeight="false" outlineLevel="0" collapsed="false">
      <c r="B45" s="34" t="str">
        <f aca="false">'Bookings Detail'!A5</f>
        <v>D00033</v>
      </c>
      <c r="C45" s="34" t="str">
        <f aca="false">'Bookings Detail'!B5</f>
        <v>R002</v>
      </c>
      <c r="D45" s="34" t="str">
        <f aca="false">'Bookings Detail'!H5</f>
        <v>Renewal</v>
      </c>
      <c r="E45" s="36" t="n">
        <f aca="false">'Bookings Detail'!K5</f>
        <v>8500</v>
      </c>
      <c r="F45" s="37" t="n">
        <f aca="false">AVERAGEIFS('Bookings Detail'!$K$5:$K$274,'Bookings Detail'!$B$5:$B$274,C45,'Bookings Detail'!$H$5:$H$274,D45)</f>
        <v>3357.14285714286</v>
      </c>
      <c r="G45" s="89" t="n">
        <f aca="false">IFERROR(E45/F45,0)</f>
        <v>2.53191489361702</v>
      </c>
      <c r="H45" s="35" t="str">
        <f aca="false">IF(G45&gt;=2.5,"Outlier — 2.5x+ rep's typical deal size for this type","")</f>
        <v>Outlier — 2.5x+ rep's typical deal size for this type</v>
      </c>
    </row>
    <row r="46" customFormat="false" ht="15" hidden="false" customHeight="false" outlineLevel="0" collapsed="false">
      <c r="B46" s="40" t="str">
        <f aca="false">'Bookings Detail'!A6</f>
        <v>D00133</v>
      </c>
      <c r="C46" s="40" t="str">
        <f aca="false">'Bookings Detail'!B6</f>
        <v>R007</v>
      </c>
      <c r="D46" s="40" t="str">
        <f aca="false">'Bookings Detail'!H6</f>
        <v>Renewal</v>
      </c>
      <c r="E46" s="42" t="n">
        <f aca="false">'Bookings Detail'!K6</f>
        <v>140000</v>
      </c>
      <c r="F46" s="43" t="n">
        <f aca="false">AVERAGEIFS('Bookings Detail'!$K$5:$K$274,'Bookings Detail'!$B$5:$B$274,C46,'Bookings Detail'!$H$5:$H$274,D46)</f>
        <v>67375</v>
      </c>
      <c r="G46" s="90" t="n">
        <f aca="false">IFERROR(E46/F46,0)</f>
        <v>2.07792207792208</v>
      </c>
      <c r="H46" s="41" t="str">
        <f aca="false">IF(G46&gt;=2.5,"Outlier — 2.5x+ rep's typical deal size for this type","")</f>
        <v/>
      </c>
    </row>
    <row r="47" customFormat="false" ht="15" hidden="false" customHeight="false" outlineLevel="0" collapsed="false">
      <c r="B47" s="34" t="str">
        <f aca="false">'Bookings Detail'!A7</f>
        <v>D00219</v>
      </c>
      <c r="C47" s="34" t="str">
        <f aca="false">'Bookings Detail'!B7</f>
        <v>R012</v>
      </c>
      <c r="D47" s="34" t="str">
        <f aca="false">'Bookings Detail'!H7</f>
        <v>Upsell</v>
      </c>
      <c r="E47" s="36" t="n">
        <f aca="false">'Bookings Detail'!K7</f>
        <v>25000</v>
      </c>
      <c r="F47" s="37" t="n">
        <f aca="false">AVERAGEIFS('Bookings Detail'!$K$5:$K$274,'Bookings Detail'!$B$5:$B$274,C47,'Bookings Detail'!$H$5:$H$274,D47)</f>
        <v>19300</v>
      </c>
      <c r="G47" s="89" t="n">
        <f aca="false">IFERROR(E47/F47,0)</f>
        <v>1.29533678756477</v>
      </c>
      <c r="H47" s="35" t="str">
        <f aca="false">IF(G47&gt;=2.5,"Outlier — 2.5x+ rep's typical deal size for this type","")</f>
        <v/>
      </c>
    </row>
    <row r="48" customFormat="false" ht="15" hidden="false" customHeight="false" outlineLevel="0" collapsed="false">
      <c r="B48" s="40" t="str">
        <f aca="false">'Bookings Detail'!A8</f>
        <v>D00069</v>
      </c>
      <c r="C48" s="40" t="str">
        <f aca="false">'Bookings Detail'!B8</f>
        <v>R004</v>
      </c>
      <c r="D48" s="40" t="str">
        <f aca="false">'Bookings Detail'!H8</f>
        <v>Upsell</v>
      </c>
      <c r="E48" s="42" t="n">
        <f aca="false">'Bookings Detail'!K8</f>
        <v>12500</v>
      </c>
      <c r="F48" s="43" t="n">
        <f aca="false">AVERAGEIFS('Bookings Detail'!$K$5:$K$274,'Bookings Detail'!$B$5:$B$274,C48,'Bookings Detail'!$H$5:$H$274,D48)</f>
        <v>10875</v>
      </c>
      <c r="G48" s="90" t="n">
        <f aca="false">IFERROR(E48/F48,0)</f>
        <v>1.14942528735632</v>
      </c>
      <c r="H48" s="41" t="str">
        <f aca="false">IF(G48&gt;=2.5,"Outlier — 2.5x+ rep's typical deal size for this type","")</f>
        <v/>
      </c>
    </row>
    <row r="49" customFormat="false" ht="15" hidden="false" customHeight="false" outlineLevel="0" collapsed="false">
      <c r="B49" s="34" t="str">
        <f aca="false">'Bookings Detail'!A9</f>
        <v>D00188</v>
      </c>
      <c r="C49" s="34" t="str">
        <f aca="false">'Bookings Detail'!B9</f>
        <v>R010</v>
      </c>
      <c r="D49" s="34" t="str">
        <f aca="false">'Bookings Detail'!H9</f>
        <v>Renewal</v>
      </c>
      <c r="E49" s="36" t="n">
        <f aca="false">'Bookings Detail'!K9</f>
        <v>9500</v>
      </c>
      <c r="F49" s="37" t="n">
        <f aca="false">AVERAGEIFS('Bookings Detail'!$K$5:$K$274,'Bookings Detail'!$B$5:$B$274,C49,'Bookings Detail'!$H$5:$H$274,D49)</f>
        <v>51642.8571428571</v>
      </c>
      <c r="G49" s="89" t="n">
        <f aca="false">IFERROR(E49/F49,0)</f>
        <v>0.183955739972337</v>
      </c>
      <c r="H49" s="35" t="str">
        <f aca="false">IF(G49&gt;=2.5,"Outlier — 2.5x+ rep's typical deal size for this type","")</f>
        <v/>
      </c>
    </row>
    <row r="50" customFormat="false" ht="15" hidden="false" customHeight="false" outlineLevel="0" collapsed="false">
      <c r="B50" s="40" t="str">
        <f aca="false">'Bookings Detail'!A10</f>
        <v>D00004</v>
      </c>
      <c r="C50" s="40" t="str">
        <f aca="false">'Bookings Detail'!B10</f>
        <v>R001</v>
      </c>
      <c r="D50" s="40" t="str">
        <f aca="false">'Bookings Detail'!H10</f>
        <v>New Business</v>
      </c>
      <c r="E50" s="42" t="n">
        <f aca="false">'Bookings Detail'!K10</f>
        <v>15500</v>
      </c>
      <c r="F50" s="43" t="n">
        <f aca="false">AVERAGEIFS('Bookings Detail'!$K$5:$K$274,'Bookings Detail'!$B$5:$B$274,C50,'Bookings Detail'!$H$5:$H$274,D50)</f>
        <v>25550</v>
      </c>
      <c r="G50" s="90" t="n">
        <f aca="false">IFERROR(E50/F50,0)</f>
        <v>0.606653620352251</v>
      </c>
      <c r="H50" s="41" t="str">
        <f aca="false">IF(G50&gt;=2.5,"Outlier — 2.5x+ rep's typical deal size for this type","")</f>
        <v/>
      </c>
    </row>
    <row r="51" customFormat="false" ht="15" hidden="false" customHeight="false" outlineLevel="0" collapsed="false">
      <c r="B51" s="34" t="str">
        <f aca="false">'Bookings Detail'!A11</f>
        <v>D00145</v>
      </c>
      <c r="C51" s="34" t="str">
        <f aca="false">'Bookings Detail'!B11</f>
        <v>R008</v>
      </c>
      <c r="D51" s="34" t="str">
        <f aca="false">'Bookings Detail'!H11</f>
        <v>Upsell</v>
      </c>
      <c r="E51" s="36" t="n">
        <f aca="false">'Bookings Detail'!K11</f>
        <v>33500</v>
      </c>
      <c r="F51" s="37" t="n">
        <f aca="false">AVERAGEIFS('Bookings Detail'!$K$5:$K$274,'Bookings Detail'!$B$5:$B$274,C51,'Bookings Detail'!$H$5:$H$274,D51)</f>
        <v>20250</v>
      </c>
      <c r="G51" s="89" t="n">
        <f aca="false">IFERROR(E51/F51,0)</f>
        <v>1.65432098765432</v>
      </c>
      <c r="H51" s="35" t="str">
        <f aca="false">IF(G51&gt;=2.5,"Outlier — 2.5x+ rep's typical deal size for this type","")</f>
        <v/>
      </c>
    </row>
    <row r="52" customFormat="false" ht="15" hidden="false" customHeight="false" outlineLevel="0" collapsed="false">
      <c r="B52" s="40" t="str">
        <f aca="false">'Bookings Detail'!A12</f>
        <v>D00200</v>
      </c>
      <c r="C52" s="40" t="str">
        <f aca="false">'Bookings Detail'!B12</f>
        <v>R011</v>
      </c>
      <c r="D52" s="40" t="str">
        <f aca="false">'Bookings Detail'!H12</f>
        <v>Upsell</v>
      </c>
      <c r="E52" s="42" t="n">
        <f aca="false">'Bookings Detail'!K12</f>
        <v>12500</v>
      </c>
      <c r="F52" s="43" t="n">
        <f aca="false">AVERAGEIFS('Bookings Detail'!$K$5:$K$274,'Bookings Detail'!$B$5:$B$274,C52,'Bookings Detail'!$H$5:$H$274,D52)</f>
        <v>20600</v>
      </c>
      <c r="G52" s="90" t="n">
        <f aca="false">IFERROR(E52/F52,0)</f>
        <v>0.606796116504854</v>
      </c>
      <c r="H52" s="41" t="str">
        <f aca="false">IF(G52&gt;=2.5,"Outlier — 2.5x+ rep's typical deal size for this type","")</f>
        <v/>
      </c>
    </row>
    <row r="53" customFormat="false" ht="15" hidden="false" customHeight="false" outlineLevel="0" collapsed="false">
      <c r="B53" s="34" t="str">
        <f aca="false">'Bookings Detail'!A13</f>
        <v>D00186</v>
      </c>
      <c r="C53" s="34" t="str">
        <f aca="false">'Bookings Detail'!B13</f>
        <v>R010</v>
      </c>
      <c r="D53" s="34" t="str">
        <f aca="false">'Bookings Detail'!H13</f>
        <v>Renewal</v>
      </c>
      <c r="E53" s="36" t="n">
        <f aca="false">'Bookings Detail'!K13</f>
        <v>2000</v>
      </c>
      <c r="F53" s="37" t="n">
        <f aca="false">AVERAGEIFS('Bookings Detail'!$K$5:$K$274,'Bookings Detail'!$B$5:$B$274,C53,'Bookings Detail'!$H$5:$H$274,D53)</f>
        <v>51642.8571428571</v>
      </c>
      <c r="G53" s="89" t="n">
        <f aca="false">IFERROR(E53/F53,0)</f>
        <v>0.0387275242047026</v>
      </c>
      <c r="H53" s="35" t="str">
        <f aca="false">IF(G53&gt;=2.5,"Outlier — 2.5x+ rep's typical deal size for this type","")</f>
        <v/>
      </c>
    </row>
    <row r="54" customFormat="false" ht="15" hidden="false" customHeight="false" outlineLevel="0" collapsed="false">
      <c r="B54" s="40" t="str">
        <f aca="false">'Bookings Detail'!A14</f>
        <v>D00030</v>
      </c>
      <c r="C54" s="40" t="str">
        <f aca="false">'Bookings Detail'!B14</f>
        <v>R002</v>
      </c>
      <c r="D54" s="40" t="str">
        <f aca="false">'Bookings Detail'!H14</f>
        <v>Upsell</v>
      </c>
      <c r="E54" s="42" t="n">
        <f aca="false">'Bookings Detail'!K14</f>
        <v>2500</v>
      </c>
      <c r="F54" s="43" t="n">
        <f aca="false">AVERAGEIFS('Bookings Detail'!$K$5:$K$274,'Bookings Detail'!$B$5:$B$274,C54,'Bookings Detail'!$H$5:$H$274,D54)</f>
        <v>2250</v>
      </c>
      <c r="G54" s="90" t="n">
        <f aca="false">IFERROR(E54/F54,0)</f>
        <v>1.11111111111111</v>
      </c>
      <c r="H54" s="41" t="str">
        <f aca="false">IF(G54&gt;=2.5,"Outlier — 2.5x+ rep's typical deal size for this type","")</f>
        <v/>
      </c>
    </row>
    <row r="55" customFormat="false" ht="15" hidden="false" customHeight="false" outlineLevel="0" collapsed="false">
      <c r="B55" s="34" t="str">
        <f aca="false">'Bookings Detail'!A15</f>
        <v>D00265</v>
      </c>
      <c r="C55" s="34" t="str">
        <f aca="false">'Bookings Detail'!B15</f>
        <v>R015</v>
      </c>
      <c r="D55" s="34" t="str">
        <f aca="false">'Bookings Detail'!H15</f>
        <v>Renewal</v>
      </c>
      <c r="E55" s="36" t="n">
        <f aca="false">'Bookings Detail'!K15</f>
        <v>3000</v>
      </c>
      <c r="F55" s="37" t="n">
        <f aca="false">AVERAGEIFS('Bookings Detail'!$K$5:$K$274,'Bookings Detail'!$B$5:$B$274,C55,'Bookings Detail'!$H$5:$H$274,D55)</f>
        <v>57611.1111111111</v>
      </c>
      <c r="G55" s="89" t="n">
        <f aca="false">IFERROR(E55/F55,0)</f>
        <v>0.0520732883317261</v>
      </c>
      <c r="H55" s="35" t="str">
        <f aca="false">IF(G55&gt;=2.5,"Outlier — 2.5x+ rep's typical deal size for this type","")</f>
        <v/>
      </c>
    </row>
    <row r="56" customFormat="false" ht="15" hidden="false" customHeight="false" outlineLevel="0" collapsed="false">
      <c r="B56" s="40" t="str">
        <f aca="false">'Bookings Detail'!A16</f>
        <v>D00222</v>
      </c>
      <c r="C56" s="40" t="str">
        <f aca="false">'Bookings Detail'!B16</f>
        <v>R012</v>
      </c>
      <c r="D56" s="40" t="str">
        <f aca="false">'Bookings Detail'!H16</f>
        <v>Renewal</v>
      </c>
      <c r="E56" s="42" t="n">
        <f aca="false">'Bookings Detail'!K16</f>
        <v>17500</v>
      </c>
      <c r="F56" s="43" t="n">
        <f aca="false">AVERAGEIFS('Bookings Detail'!$K$5:$K$274,'Bookings Detail'!$B$5:$B$274,C56,'Bookings Detail'!$H$5:$H$274,D56)</f>
        <v>25700</v>
      </c>
      <c r="G56" s="90" t="n">
        <f aca="false">IFERROR(E56/F56,0)</f>
        <v>0.680933852140078</v>
      </c>
      <c r="H56" s="41" t="str">
        <f aca="false">IF(G56&gt;=2.5,"Outlier — 2.5x+ rep's typical deal size for this type","")</f>
        <v/>
      </c>
    </row>
    <row r="57" customFormat="false" ht="15" hidden="false" customHeight="false" outlineLevel="0" collapsed="false">
      <c r="B57" s="34" t="str">
        <f aca="false">'Bookings Detail'!A17</f>
        <v>D00224</v>
      </c>
      <c r="C57" s="34" t="str">
        <f aca="false">'Bookings Detail'!B17</f>
        <v>R012</v>
      </c>
      <c r="D57" s="34" t="str">
        <f aca="false">'Bookings Detail'!H17</f>
        <v>Renewal</v>
      </c>
      <c r="E57" s="36" t="n">
        <f aca="false">'Bookings Detail'!K17</f>
        <v>5000</v>
      </c>
      <c r="F57" s="37" t="n">
        <f aca="false">AVERAGEIFS('Bookings Detail'!$K$5:$K$274,'Bookings Detail'!$B$5:$B$274,C57,'Bookings Detail'!$H$5:$H$274,D57)</f>
        <v>25700</v>
      </c>
      <c r="G57" s="89" t="n">
        <f aca="false">IFERROR(E57/F57,0)</f>
        <v>0.194552529182879</v>
      </c>
      <c r="H57" s="35" t="str">
        <f aca="false">IF(G57&gt;=2.5,"Outlier — 2.5x+ rep's typical deal size for this type","")</f>
        <v/>
      </c>
    </row>
    <row r="58" customFormat="false" ht="15" hidden="false" customHeight="false" outlineLevel="0" collapsed="false">
      <c r="B58" s="40" t="str">
        <f aca="false">'Bookings Detail'!A18</f>
        <v>D00183</v>
      </c>
      <c r="C58" s="40" t="str">
        <f aca="false">'Bookings Detail'!B18</f>
        <v>R010</v>
      </c>
      <c r="D58" s="40" t="str">
        <f aca="false">'Bookings Detail'!H18</f>
        <v>Upsell</v>
      </c>
      <c r="E58" s="42" t="n">
        <f aca="false">'Bookings Detail'!K18</f>
        <v>31000</v>
      </c>
      <c r="F58" s="43" t="n">
        <f aca="false">AVERAGEIFS('Bookings Detail'!$K$5:$K$274,'Bookings Detail'!$B$5:$B$274,C58,'Bookings Detail'!$H$5:$H$274,D58)</f>
        <v>40250</v>
      </c>
      <c r="G58" s="90" t="n">
        <f aca="false">IFERROR(E58/F58,0)</f>
        <v>0.770186335403727</v>
      </c>
      <c r="H58" s="41" t="str">
        <f aca="false">IF(G58&gt;=2.5,"Outlier — 2.5x+ rep's typical deal size for this type","")</f>
        <v/>
      </c>
    </row>
    <row r="59" customFormat="false" ht="15" hidden="false" customHeight="false" outlineLevel="0" collapsed="false">
      <c r="B59" s="34" t="str">
        <f aca="false">'Bookings Detail'!A19</f>
        <v>D00047</v>
      </c>
      <c r="C59" s="34" t="str">
        <f aca="false">'Bookings Detail'!B19</f>
        <v>R003</v>
      </c>
      <c r="D59" s="34" t="str">
        <f aca="false">'Bookings Detail'!H19</f>
        <v>Upsell</v>
      </c>
      <c r="E59" s="36" t="n">
        <f aca="false">'Bookings Detail'!K19</f>
        <v>25500</v>
      </c>
      <c r="F59" s="37" t="n">
        <f aca="false">AVERAGEIFS('Bookings Detail'!$K$5:$K$274,'Bookings Detail'!$B$5:$B$274,C59,'Bookings Detail'!$H$5:$H$274,D59)</f>
        <v>18100</v>
      </c>
      <c r="G59" s="89" t="n">
        <f aca="false">IFERROR(E59/F59,0)</f>
        <v>1.40883977900553</v>
      </c>
      <c r="H59" s="35" t="str">
        <f aca="false">IF(G59&gt;=2.5,"Outlier — 2.5x+ rep's typical deal size for this type","")</f>
        <v/>
      </c>
    </row>
    <row r="60" customFormat="false" ht="15" hidden="false" customHeight="false" outlineLevel="0" collapsed="false">
      <c r="B60" s="40" t="str">
        <f aca="false">'Bookings Detail'!A20</f>
        <v>D00128</v>
      </c>
      <c r="C60" s="40" t="str">
        <f aca="false">'Bookings Detail'!B20</f>
        <v>R007</v>
      </c>
      <c r="D60" s="40" t="str">
        <f aca="false">'Bookings Detail'!H20</f>
        <v>New Business</v>
      </c>
      <c r="E60" s="42" t="n">
        <f aca="false">'Bookings Detail'!K20</f>
        <v>66000</v>
      </c>
      <c r="F60" s="43" t="n">
        <f aca="false">AVERAGEIFS('Bookings Detail'!$K$5:$K$274,'Bookings Detail'!$B$5:$B$274,C60,'Bookings Detail'!$H$5:$H$274,D60)</f>
        <v>72785.7142857143</v>
      </c>
      <c r="G60" s="90" t="n">
        <f aca="false">IFERROR(E60/F60,0)</f>
        <v>0.906771344455348</v>
      </c>
      <c r="H60" s="41" t="str">
        <f aca="false">IF(G60&gt;=2.5,"Outlier — 2.5x+ rep's typical deal size for this type","")</f>
        <v/>
      </c>
    </row>
    <row r="61" customFormat="false" ht="15" hidden="false" customHeight="false" outlineLevel="0" collapsed="false">
      <c r="B61" s="34" t="str">
        <f aca="false">'Bookings Detail'!A21</f>
        <v>D00027</v>
      </c>
      <c r="C61" s="34" t="str">
        <f aca="false">'Bookings Detail'!B21</f>
        <v>R002</v>
      </c>
      <c r="D61" s="34" t="str">
        <f aca="false">'Bookings Detail'!H21</f>
        <v>New Business</v>
      </c>
      <c r="E61" s="36" t="n">
        <f aca="false">'Bookings Detail'!K21</f>
        <v>29500</v>
      </c>
      <c r="F61" s="37" t="n">
        <f aca="false">AVERAGEIFS('Bookings Detail'!$K$5:$K$274,'Bookings Detail'!$B$5:$B$274,C61,'Bookings Detail'!$H$5:$H$274,D61)</f>
        <v>39312.5</v>
      </c>
      <c r="G61" s="89" t="n">
        <f aca="false">IFERROR(E61/F61,0)</f>
        <v>0.750397456279809</v>
      </c>
      <c r="H61" s="35" t="str">
        <f aca="false">IF(G61&gt;=2.5,"Outlier — 2.5x+ rep's typical deal size for this type","")</f>
        <v/>
      </c>
    </row>
    <row r="62" customFormat="false" ht="15" hidden="false" customHeight="false" outlineLevel="0" collapsed="false">
      <c r="B62" s="40" t="str">
        <f aca="false">'Bookings Detail'!A22</f>
        <v>D00087</v>
      </c>
      <c r="C62" s="40" t="str">
        <f aca="false">'Bookings Detail'!B22</f>
        <v>R005</v>
      </c>
      <c r="D62" s="40" t="str">
        <f aca="false">'Bookings Detail'!H22</f>
        <v>Upsell</v>
      </c>
      <c r="E62" s="42" t="n">
        <f aca="false">'Bookings Detail'!K22</f>
        <v>16000</v>
      </c>
      <c r="F62" s="43" t="n">
        <f aca="false">AVERAGEIFS('Bookings Detail'!$K$5:$K$274,'Bookings Detail'!$B$5:$B$274,C62,'Bookings Detail'!$H$5:$H$274,D62)</f>
        <v>18750</v>
      </c>
      <c r="G62" s="90" t="n">
        <f aca="false">IFERROR(E62/F62,0)</f>
        <v>0.853333333333333</v>
      </c>
      <c r="H62" s="41" t="str">
        <f aca="false">IF(G62&gt;=2.5,"Outlier — 2.5x+ rep's typical deal size for this type","")</f>
        <v/>
      </c>
    </row>
    <row r="63" customFormat="false" ht="15" hidden="false" customHeight="false" outlineLevel="0" collapsed="false">
      <c r="B63" s="34" t="str">
        <f aca="false">'Bookings Detail'!A23</f>
        <v>D00071</v>
      </c>
      <c r="C63" s="34" t="str">
        <f aca="false">'Bookings Detail'!B23</f>
        <v>R004</v>
      </c>
      <c r="D63" s="34" t="str">
        <f aca="false">'Bookings Detail'!H23</f>
        <v>Upsell</v>
      </c>
      <c r="E63" s="36" t="n">
        <f aca="false">'Bookings Detail'!K23</f>
        <v>8500</v>
      </c>
      <c r="F63" s="37" t="n">
        <f aca="false">AVERAGEIFS('Bookings Detail'!$K$5:$K$274,'Bookings Detail'!$B$5:$B$274,C63,'Bookings Detail'!$H$5:$H$274,D63)</f>
        <v>10875</v>
      </c>
      <c r="G63" s="89" t="n">
        <f aca="false">IFERROR(E63/F63,0)</f>
        <v>0.781609195402299</v>
      </c>
      <c r="H63" s="35" t="str">
        <f aca="false">IF(G63&gt;=2.5,"Outlier — 2.5x+ rep's typical deal size for this type","")</f>
        <v/>
      </c>
    </row>
    <row r="64" customFormat="false" ht="15" hidden="false" customHeight="false" outlineLevel="0" collapsed="false">
      <c r="B64" s="40" t="str">
        <f aca="false">'Bookings Detail'!A24</f>
        <v>D00052</v>
      </c>
      <c r="C64" s="40" t="str">
        <f aca="false">'Bookings Detail'!B24</f>
        <v>R003</v>
      </c>
      <c r="D64" s="40" t="str">
        <f aca="false">'Bookings Detail'!H24</f>
        <v>Renewal</v>
      </c>
      <c r="E64" s="42" t="n">
        <f aca="false">'Bookings Detail'!K24</f>
        <v>5000</v>
      </c>
      <c r="F64" s="43" t="n">
        <f aca="false">AVERAGEIFS('Bookings Detail'!$K$5:$K$274,'Bookings Detail'!$B$5:$B$274,C64,'Bookings Detail'!$H$5:$H$274,D64)</f>
        <v>17200</v>
      </c>
      <c r="G64" s="90" t="n">
        <f aca="false">IFERROR(E64/F64,0)</f>
        <v>0.290697674418605</v>
      </c>
      <c r="H64" s="41" t="str">
        <f aca="false">IF(G64&gt;=2.5,"Outlier — 2.5x+ rep's typical deal size for this type","")</f>
        <v/>
      </c>
    </row>
    <row r="65" customFormat="false" ht="15" hidden="false" customHeight="false" outlineLevel="0" collapsed="false">
      <c r="B65" s="34" t="str">
        <f aca="false">'Bookings Detail'!A25</f>
        <v>D00044</v>
      </c>
      <c r="C65" s="34" t="str">
        <f aca="false">'Bookings Detail'!B25</f>
        <v>R003</v>
      </c>
      <c r="D65" s="34" t="str">
        <f aca="false">'Bookings Detail'!H25</f>
        <v>New Business</v>
      </c>
      <c r="E65" s="36" t="n">
        <f aca="false">'Bookings Detail'!K25</f>
        <v>7500</v>
      </c>
      <c r="F65" s="37" t="n">
        <f aca="false">AVERAGEIFS('Bookings Detail'!$K$5:$K$274,'Bookings Detail'!$B$5:$B$274,C65,'Bookings Detail'!$H$5:$H$274,D65)</f>
        <v>33928.5714285714</v>
      </c>
      <c r="G65" s="89" t="n">
        <f aca="false">IFERROR(E65/F65,0)</f>
        <v>0.221052631578947</v>
      </c>
      <c r="H65" s="35" t="str">
        <f aca="false">IF(G65&gt;=2.5,"Outlier — 2.5x+ rep's typical deal size for this type","")</f>
        <v/>
      </c>
    </row>
    <row r="66" customFormat="false" ht="15" hidden="false" customHeight="false" outlineLevel="0" collapsed="false">
      <c r="B66" s="40" t="str">
        <f aca="false">'Bookings Detail'!A26</f>
        <v>D00074</v>
      </c>
      <c r="C66" s="40" t="str">
        <f aca="false">'Bookings Detail'!B26</f>
        <v>R004</v>
      </c>
      <c r="D66" s="40" t="str">
        <f aca="false">'Bookings Detail'!H26</f>
        <v>Renewal</v>
      </c>
      <c r="E66" s="42" t="n">
        <f aca="false">'Bookings Detail'!K26</f>
        <v>19000</v>
      </c>
      <c r="F66" s="43" t="n">
        <f aca="false">AVERAGEIFS('Bookings Detail'!$K$5:$K$274,'Bookings Detail'!$B$5:$B$274,C66,'Bookings Detail'!$H$5:$H$274,D66)</f>
        <v>26250</v>
      </c>
      <c r="G66" s="90" t="n">
        <f aca="false">IFERROR(E66/F66,0)</f>
        <v>0.723809523809524</v>
      </c>
      <c r="H66" s="41" t="str">
        <f aca="false">IF(G66&gt;=2.5,"Outlier — 2.5x+ rep's typical deal size for this type","")</f>
        <v/>
      </c>
    </row>
    <row r="67" customFormat="false" ht="15" hidden="false" customHeight="false" outlineLevel="0" collapsed="false">
      <c r="B67" s="34" t="str">
        <f aca="false">'Bookings Detail'!A27</f>
        <v>D00220</v>
      </c>
      <c r="C67" s="34" t="str">
        <f aca="false">'Bookings Detail'!B27</f>
        <v>R012</v>
      </c>
      <c r="D67" s="34" t="str">
        <f aca="false">'Bookings Detail'!H27</f>
        <v>Upsell</v>
      </c>
      <c r="E67" s="36" t="n">
        <f aca="false">'Bookings Detail'!K27</f>
        <v>18000</v>
      </c>
      <c r="F67" s="37" t="n">
        <f aca="false">AVERAGEIFS('Bookings Detail'!$K$5:$K$274,'Bookings Detail'!$B$5:$B$274,C67,'Bookings Detail'!$H$5:$H$274,D67)</f>
        <v>19300</v>
      </c>
      <c r="G67" s="89" t="n">
        <f aca="false">IFERROR(E67/F67,0)</f>
        <v>0.932642487046632</v>
      </c>
      <c r="H67" s="35" t="str">
        <f aca="false">IF(G67&gt;=2.5,"Outlier — 2.5x+ rep's typical deal size for this type","")</f>
        <v/>
      </c>
    </row>
    <row r="68" customFormat="false" ht="15" hidden="false" customHeight="false" outlineLevel="0" collapsed="false">
      <c r="B68" s="40" t="str">
        <f aca="false">'Bookings Detail'!A28</f>
        <v>D00070</v>
      </c>
      <c r="C68" s="40" t="str">
        <f aca="false">'Bookings Detail'!B28</f>
        <v>R004</v>
      </c>
      <c r="D68" s="40" t="str">
        <f aca="false">'Bookings Detail'!H28</f>
        <v>Upsell</v>
      </c>
      <c r="E68" s="42" t="n">
        <f aca="false">'Bookings Detail'!K28</f>
        <v>16000</v>
      </c>
      <c r="F68" s="43" t="n">
        <f aca="false">AVERAGEIFS('Bookings Detail'!$K$5:$K$274,'Bookings Detail'!$B$5:$B$274,C68,'Bookings Detail'!$H$5:$H$274,D68)</f>
        <v>10875</v>
      </c>
      <c r="G68" s="90" t="n">
        <f aca="false">IFERROR(E68/F68,0)</f>
        <v>1.47126436781609</v>
      </c>
      <c r="H68" s="41" t="str">
        <f aca="false">IF(G68&gt;=2.5,"Outlier — 2.5x+ rep's typical deal size for this type","")</f>
        <v/>
      </c>
    </row>
    <row r="69" customFormat="false" ht="15" hidden="false" customHeight="false" outlineLevel="0" collapsed="false">
      <c r="B69" s="34" t="str">
        <f aca="false">'Bookings Detail'!A29</f>
        <v>D00205</v>
      </c>
      <c r="C69" s="34" t="str">
        <f aca="false">'Bookings Detail'!B29</f>
        <v>R011</v>
      </c>
      <c r="D69" s="34" t="str">
        <f aca="false">'Bookings Detail'!H29</f>
        <v>Renewal</v>
      </c>
      <c r="E69" s="36" t="n">
        <f aca="false">'Bookings Detail'!K29</f>
        <v>28500</v>
      </c>
      <c r="F69" s="37" t="n">
        <f aca="false">AVERAGEIFS('Bookings Detail'!$K$5:$K$274,'Bookings Detail'!$B$5:$B$274,C69,'Bookings Detail'!$H$5:$H$274,D69)</f>
        <v>24142.8571428571</v>
      </c>
      <c r="G69" s="89" t="n">
        <f aca="false">IFERROR(E69/F69,0)</f>
        <v>1.18047337278107</v>
      </c>
      <c r="H69" s="35" t="str">
        <f aca="false">IF(G69&gt;=2.5,"Outlier — 2.5x+ rep's typical deal size for this type","")</f>
        <v/>
      </c>
    </row>
    <row r="70" customFormat="false" ht="15" hidden="false" customHeight="false" outlineLevel="0" collapsed="false">
      <c r="B70" s="40" t="str">
        <f aca="false">'Bookings Detail'!A30</f>
        <v>D00216</v>
      </c>
      <c r="C70" s="40" t="str">
        <f aca="false">'Bookings Detail'!B30</f>
        <v>R012</v>
      </c>
      <c r="D70" s="40" t="str">
        <f aca="false">'Bookings Detail'!H30</f>
        <v>New Business</v>
      </c>
      <c r="E70" s="42" t="n">
        <f aca="false">'Bookings Detail'!K30</f>
        <v>121500</v>
      </c>
      <c r="F70" s="43" t="n">
        <f aca="false">AVERAGEIFS('Bookings Detail'!$K$5:$K$274,'Bookings Detail'!$B$5:$B$274,C70,'Bookings Detail'!$H$5:$H$274,D70)</f>
        <v>147500</v>
      </c>
      <c r="G70" s="90" t="n">
        <f aca="false">IFERROR(E70/F70,0)</f>
        <v>0.823728813559322</v>
      </c>
      <c r="H70" s="41" t="str">
        <f aca="false">IF(G70&gt;=2.5,"Outlier — 2.5x+ rep's typical deal size for this type","")</f>
        <v/>
      </c>
    </row>
    <row r="71" customFormat="false" ht="15" hidden="false" customHeight="false" outlineLevel="0" collapsed="false">
      <c r="B71" s="34" t="str">
        <f aca="false">'Bookings Detail'!A31</f>
        <v>D00248</v>
      </c>
      <c r="C71" s="34" t="str">
        <f aca="false">'Bookings Detail'!B31</f>
        <v>R014</v>
      </c>
      <c r="D71" s="34" t="str">
        <f aca="false">'Bookings Detail'!H31</f>
        <v>Upsell</v>
      </c>
      <c r="E71" s="36" t="n">
        <f aca="false">'Bookings Detail'!K31</f>
        <v>51000</v>
      </c>
      <c r="F71" s="37" t="n">
        <f aca="false">AVERAGEIFS('Bookings Detail'!$K$5:$K$274,'Bookings Detail'!$B$5:$B$274,C71,'Bookings Detail'!$H$5:$H$274,D71)</f>
        <v>44750</v>
      </c>
      <c r="G71" s="89" t="n">
        <f aca="false">IFERROR(E71/F71,0)</f>
        <v>1.13966480446927</v>
      </c>
      <c r="H71" s="35" t="str">
        <f aca="false">IF(G71&gt;=2.5,"Outlier — 2.5x+ rep's typical deal size for this type","")</f>
        <v/>
      </c>
    </row>
    <row r="72" customFormat="false" ht="15" hidden="false" customHeight="false" outlineLevel="0" collapsed="false">
      <c r="B72" s="40" t="str">
        <f aca="false">'Bookings Detail'!A32</f>
        <v>D00168</v>
      </c>
      <c r="C72" s="40" t="str">
        <f aca="false">'Bookings Detail'!B32</f>
        <v>R009</v>
      </c>
      <c r="D72" s="40" t="str">
        <f aca="false">'Bookings Detail'!H32</f>
        <v>Renewal</v>
      </c>
      <c r="E72" s="42" t="n">
        <f aca="false">'Bookings Detail'!K32</f>
        <v>18500</v>
      </c>
      <c r="F72" s="43" t="n">
        <f aca="false">AVERAGEIFS('Bookings Detail'!$K$5:$K$274,'Bookings Detail'!$B$5:$B$274,C72,'Bookings Detail'!$H$5:$H$274,D72)</f>
        <v>29600</v>
      </c>
      <c r="G72" s="90" t="n">
        <f aca="false">IFERROR(E72/F72,0)</f>
        <v>0.625</v>
      </c>
      <c r="H72" s="41" t="str">
        <f aca="false">IF(G72&gt;=2.5,"Outlier — 2.5x+ rep's typical deal size for this type","")</f>
        <v/>
      </c>
    </row>
    <row r="73" customFormat="false" ht="15" hidden="false" customHeight="false" outlineLevel="0" collapsed="false">
      <c r="B73" s="34" t="str">
        <f aca="false">'Bookings Detail'!A33</f>
        <v>D00264</v>
      </c>
      <c r="C73" s="34" t="str">
        <f aca="false">'Bookings Detail'!B33</f>
        <v>R015</v>
      </c>
      <c r="D73" s="34" t="str">
        <f aca="false">'Bookings Detail'!H33</f>
        <v>Renewal</v>
      </c>
      <c r="E73" s="36" t="n">
        <f aca="false">'Bookings Detail'!K33</f>
        <v>30500</v>
      </c>
      <c r="F73" s="37" t="n">
        <f aca="false">AVERAGEIFS('Bookings Detail'!$K$5:$K$274,'Bookings Detail'!$B$5:$B$274,C73,'Bookings Detail'!$H$5:$H$274,D73)</f>
        <v>57611.1111111111</v>
      </c>
      <c r="G73" s="89" t="n">
        <f aca="false">IFERROR(E73/F73,0)</f>
        <v>0.529411764705882</v>
      </c>
      <c r="H73" s="35" t="str">
        <f aca="false">IF(G73&gt;=2.5,"Outlier — 2.5x+ rep's typical deal size for this type","")</f>
        <v/>
      </c>
    </row>
    <row r="74" customFormat="false" ht="15" hidden="false" customHeight="false" outlineLevel="0" collapsed="false">
      <c r="B74" s="40" t="str">
        <f aca="false">'Bookings Detail'!A34</f>
        <v>D00132</v>
      </c>
      <c r="C74" s="40" t="str">
        <f aca="false">'Bookings Detail'!B34</f>
        <v>R007</v>
      </c>
      <c r="D74" s="40" t="str">
        <f aca="false">'Bookings Detail'!H34</f>
        <v>Upsell</v>
      </c>
      <c r="E74" s="42" t="n">
        <f aca="false">'Bookings Detail'!K34</f>
        <v>51500</v>
      </c>
      <c r="F74" s="43" t="n">
        <f aca="false">AVERAGEIFS('Bookings Detail'!$K$5:$K$274,'Bookings Detail'!$B$5:$B$274,C74,'Bookings Detail'!$H$5:$H$274,D74)</f>
        <v>49666.6666666667</v>
      </c>
      <c r="G74" s="90" t="n">
        <f aca="false">IFERROR(E74/F74,0)</f>
        <v>1.03691275167785</v>
      </c>
      <c r="H74" s="41" t="str">
        <f aca="false">IF(G74&gt;=2.5,"Outlier — 2.5x+ rep's typical deal size for this type","")</f>
        <v/>
      </c>
    </row>
    <row r="75" customFormat="false" ht="15" hidden="false" customHeight="false" outlineLevel="0" collapsed="false">
      <c r="B75" s="34" t="str">
        <f aca="false">'Bookings Detail'!A35</f>
        <v>D00199</v>
      </c>
      <c r="C75" s="34" t="str">
        <f aca="false">'Bookings Detail'!B35</f>
        <v>R011</v>
      </c>
      <c r="D75" s="34" t="str">
        <f aca="false">'Bookings Detail'!H35</f>
        <v>Upsell</v>
      </c>
      <c r="E75" s="36" t="n">
        <f aca="false">'Bookings Detail'!K35</f>
        <v>19500</v>
      </c>
      <c r="F75" s="37" t="n">
        <f aca="false">AVERAGEIFS('Bookings Detail'!$K$5:$K$274,'Bookings Detail'!$B$5:$B$274,C75,'Bookings Detail'!$H$5:$H$274,D75)</f>
        <v>20600</v>
      </c>
      <c r="G75" s="89" t="n">
        <f aca="false">IFERROR(E75/F75,0)</f>
        <v>0.946601941747573</v>
      </c>
      <c r="H75" s="35" t="str">
        <f aca="false">IF(G75&gt;=2.5,"Outlier — 2.5x+ rep's typical deal size for this type","")</f>
        <v/>
      </c>
    </row>
    <row r="76" customFormat="false" ht="15" hidden="false" customHeight="false" outlineLevel="0" collapsed="false">
      <c r="B76" s="40" t="str">
        <f aca="false">'Bookings Detail'!A36</f>
        <v>D00206</v>
      </c>
      <c r="C76" s="40" t="str">
        <f aca="false">'Bookings Detail'!B36</f>
        <v>R011</v>
      </c>
      <c r="D76" s="40" t="str">
        <f aca="false">'Bookings Detail'!H36</f>
        <v>Renewal</v>
      </c>
      <c r="E76" s="42" t="n">
        <f aca="false">'Bookings Detail'!K36</f>
        <v>16500</v>
      </c>
      <c r="F76" s="43" t="n">
        <f aca="false">AVERAGEIFS('Bookings Detail'!$K$5:$K$274,'Bookings Detail'!$B$5:$B$274,C76,'Bookings Detail'!$H$5:$H$274,D76)</f>
        <v>24142.8571428571</v>
      </c>
      <c r="G76" s="90" t="n">
        <f aca="false">IFERROR(E76/F76,0)</f>
        <v>0.683431952662722</v>
      </c>
      <c r="H76" s="41" t="str">
        <f aca="false">IF(G76&gt;=2.5,"Outlier — 2.5x+ rep's typical deal size for this type","")</f>
        <v/>
      </c>
    </row>
    <row r="77" customFormat="false" ht="15" hidden="false" customHeight="false" outlineLevel="0" collapsed="false">
      <c r="B77" s="34" t="str">
        <f aca="false">'Bookings Detail'!A37</f>
        <v>D00043</v>
      </c>
      <c r="C77" s="34" t="str">
        <f aca="false">'Bookings Detail'!B37</f>
        <v>R003</v>
      </c>
      <c r="D77" s="34" t="str">
        <f aca="false">'Bookings Detail'!H37</f>
        <v>New Business</v>
      </c>
      <c r="E77" s="36" t="n">
        <f aca="false">'Bookings Detail'!K37</f>
        <v>78000</v>
      </c>
      <c r="F77" s="37" t="n">
        <f aca="false">AVERAGEIFS('Bookings Detail'!$K$5:$K$274,'Bookings Detail'!$B$5:$B$274,C77,'Bookings Detail'!$H$5:$H$274,D77)</f>
        <v>33928.5714285714</v>
      </c>
      <c r="G77" s="89" t="n">
        <f aca="false">IFERROR(E77/F77,0)</f>
        <v>2.29894736842105</v>
      </c>
      <c r="H77" s="35" t="str">
        <f aca="false">IF(G77&gt;=2.5,"Outlier — 2.5x+ rep's typical deal size for this type","")</f>
        <v/>
      </c>
    </row>
    <row r="78" customFormat="false" ht="15" hidden="false" customHeight="false" outlineLevel="0" collapsed="false">
      <c r="B78" s="40" t="str">
        <f aca="false">'Bookings Detail'!A38</f>
        <v>D00009</v>
      </c>
      <c r="C78" s="40" t="str">
        <f aca="false">'Bookings Detail'!B38</f>
        <v>R001</v>
      </c>
      <c r="D78" s="40" t="str">
        <f aca="false">'Bookings Detail'!H38</f>
        <v>Renewal</v>
      </c>
      <c r="E78" s="42" t="n">
        <f aca="false">'Bookings Detail'!K38</f>
        <v>4500</v>
      </c>
      <c r="F78" s="43" t="n">
        <f aca="false">AVERAGEIFS('Bookings Detail'!$K$5:$K$274,'Bookings Detail'!$B$5:$B$274,C78,'Bookings Detail'!$H$5:$H$274,D78)</f>
        <v>19187.5</v>
      </c>
      <c r="G78" s="90" t="n">
        <f aca="false">IFERROR(E78/F78,0)</f>
        <v>0.234527687296417</v>
      </c>
      <c r="H78" s="41" t="str">
        <f aca="false">IF(G78&gt;=2.5,"Outlier — 2.5x+ rep's typical deal size for this type","")</f>
        <v/>
      </c>
    </row>
    <row r="79" customFormat="false" ht="15" hidden="false" customHeight="false" outlineLevel="0" collapsed="false">
      <c r="B79" s="34" t="str">
        <f aca="false">'Bookings Detail'!A39</f>
        <v>D00104</v>
      </c>
      <c r="C79" s="34" t="str">
        <f aca="false">'Bookings Detail'!B39</f>
        <v>R006</v>
      </c>
      <c r="D79" s="34" t="str">
        <f aca="false">'Bookings Detail'!H39</f>
        <v>New Business</v>
      </c>
      <c r="E79" s="36" t="n">
        <f aca="false">'Bookings Detail'!K39</f>
        <v>4500</v>
      </c>
      <c r="F79" s="37" t="n">
        <f aca="false">AVERAGEIFS('Bookings Detail'!$K$5:$K$274,'Bookings Detail'!$B$5:$B$274,C79,'Bookings Detail'!$H$5:$H$274,D79)</f>
        <v>37450</v>
      </c>
      <c r="G79" s="89" t="n">
        <f aca="false">IFERROR(E79/F79,0)</f>
        <v>0.120160213618158</v>
      </c>
      <c r="H79" s="35" t="str">
        <f aca="false">IF(G79&gt;=2.5,"Outlier — 2.5x+ rep's typical deal size for this type","")</f>
        <v/>
      </c>
    </row>
    <row r="80" customFormat="false" ht="15" hidden="false" customHeight="false" outlineLevel="0" collapsed="false">
      <c r="B80" s="40" t="str">
        <f aca="false">'Bookings Detail'!A40</f>
        <v>D00165</v>
      </c>
      <c r="C80" s="40" t="str">
        <f aca="false">'Bookings Detail'!B40</f>
        <v>R009</v>
      </c>
      <c r="D80" s="40" t="str">
        <f aca="false">'Bookings Detail'!H40</f>
        <v>Upsell</v>
      </c>
      <c r="E80" s="42" t="n">
        <f aca="false">'Bookings Detail'!K40</f>
        <v>58500</v>
      </c>
      <c r="F80" s="43" t="n">
        <f aca="false">AVERAGEIFS('Bookings Detail'!$K$5:$K$274,'Bookings Detail'!$B$5:$B$274,C80,'Bookings Detail'!$H$5:$H$274,D80)</f>
        <v>51500</v>
      </c>
      <c r="G80" s="90" t="n">
        <f aca="false">IFERROR(E80/F80,0)</f>
        <v>1.13592233009709</v>
      </c>
      <c r="H80" s="41" t="str">
        <f aca="false">IF(G80&gt;=2.5,"Outlier — 2.5x+ rep's typical deal size for this type","")</f>
        <v/>
      </c>
    </row>
    <row r="81" customFormat="false" ht="15" hidden="false" customHeight="false" outlineLevel="0" collapsed="false">
      <c r="B81" s="34" t="str">
        <f aca="false">'Bookings Detail'!A41</f>
        <v>D00086</v>
      </c>
      <c r="C81" s="34" t="str">
        <f aca="false">'Bookings Detail'!B41</f>
        <v>R005</v>
      </c>
      <c r="D81" s="34" t="str">
        <f aca="false">'Bookings Detail'!H41</f>
        <v>New Business</v>
      </c>
      <c r="E81" s="36" t="n">
        <f aca="false">'Bookings Detail'!K41</f>
        <v>32500</v>
      </c>
      <c r="F81" s="37" t="n">
        <f aca="false">AVERAGEIFS('Bookings Detail'!$K$5:$K$274,'Bookings Detail'!$B$5:$B$274,C81,'Bookings Detail'!$H$5:$H$274,D81)</f>
        <v>34444.4444444444</v>
      </c>
      <c r="G81" s="89" t="n">
        <f aca="false">IFERROR(E81/F81,0)</f>
        <v>0.943548387096774</v>
      </c>
      <c r="H81" s="35" t="str">
        <f aca="false">IF(G81&gt;=2.5,"Outlier — 2.5x+ rep's typical deal size for this type","")</f>
        <v/>
      </c>
    </row>
    <row r="82" customFormat="false" ht="15" hidden="false" customHeight="false" outlineLevel="0" collapsed="false">
      <c r="B82" s="40" t="str">
        <f aca="false">'Bookings Detail'!A42</f>
        <v>D00107</v>
      </c>
      <c r="C82" s="40" t="str">
        <f aca="false">'Bookings Detail'!B42</f>
        <v>R006</v>
      </c>
      <c r="D82" s="40" t="str">
        <f aca="false">'Bookings Detail'!H42</f>
        <v>Upsell</v>
      </c>
      <c r="E82" s="42" t="n">
        <f aca="false">'Bookings Detail'!K42</f>
        <v>21000</v>
      </c>
      <c r="F82" s="43" t="n">
        <f aca="false">AVERAGEIFS('Bookings Detail'!$K$5:$K$274,'Bookings Detail'!$B$5:$B$274,C82,'Bookings Detail'!$H$5:$H$274,D82)</f>
        <v>26333.3333333333</v>
      </c>
      <c r="G82" s="90" t="n">
        <f aca="false">IFERROR(E82/F82,0)</f>
        <v>0.79746835443038</v>
      </c>
      <c r="H82" s="41" t="str">
        <f aca="false">IF(G82&gt;=2.5,"Outlier — 2.5x+ rep's typical deal size for this type","")</f>
        <v/>
      </c>
    </row>
    <row r="83" customFormat="false" ht="15" hidden="false" customHeight="false" outlineLevel="0" collapsed="false">
      <c r="B83" s="34" t="str">
        <f aca="false">'Bookings Detail'!A43</f>
        <v>D00102</v>
      </c>
      <c r="C83" s="34" t="str">
        <f aca="false">'Bookings Detail'!B43</f>
        <v>R006</v>
      </c>
      <c r="D83" s="34" t="str">
        <f aca="false">'Bookings Detail'!H43</f>
        <v>New Business</v>
      </c>
      <c r="E83" s="36" t="n">
        <f aca="false">'Bookings Detail'!K43</f>
        <v>44000</v>
      </c>
      <c r="F83" s="37" t="n">
        <f aca="false">AVERAGEIFS('Bookings Detail'!$K$5:$K$274,'Bookings Detail'!$B$5:$B$274,C83,'Bookings Detail'!$H$5:$H$274,D83)</f>
        <v>37450</v>
      </c>
      <c r="G83" s="89" t="n">
        <f aca="false">IFERROR(E83/F83,0)</f>
        <v>1.17489986648865</v>
      </c>
      <c r="H83" s="35" t="str">
        <f aca="false">IF(G83&gt;=2.5,"Outlier — 2.5x+ rep's typical deal size for this type","")</f>
        <v/>
      </c>
    </row>
    <row r="84" customFormat="false" ht="15" hidden="false" customHeight="false" outlineLevel="0" collapsed="false">
      <c r="B84" s="40" t="str">
        <f aca="false">'Bookings Detail'!A44</f>
        <v>D00003</v>
      </c>
      <c r="C84" s="40" t="str">
        <f aca="false">'Bookings Detail'!B44</f>
        <v>R001</v>
      </c>
      <c r="D84" s="40" t="str">
        <f aca="false">'Bookings Detail'!H44</f>
        <v>New Business</v>
      </c>
      <c r="E84" s="42" t="n">
        <f aca="false">'Bookings Detail'!K44</f>
        <v>27000</v>
      </c>
      <c r="F84" s="43" t="n">
        <f aca="false">AVERAGEIFS('Bookings Detail'!$K$5:$K$274,'Bookings Detail'!$B$5:$B$274,C84,'Bookings Detail'!$H$5:$H$274,D84)</f>
        <v>25550</v>
      </c>
      <c r="G84" s="90" t="n">
        <f aca="false">IFERROR(E84/F84,0)</f>
        <v>1.05675146771037</v>
      </c>
      <c r="H84" s="41" t="str">
        <f aca="false">IF(G84&gt;=2.5,"Outlier — 2.5x+ rep's typical deal size for this type","")</f>
        <v/>
      </c>
    </row>
    <row r="85" customFormat="false" ht="15" hidden="false" customHeight="false" outlineLevel="0" collapsed="false">
      <c r="B85" s="34" t="str">
        <f aca="false">'Bookings Detail'!A45</f>
        <v>D00142</v>
      </c>
      <c r="C85" s="34" t="str">
        <f aca="false">'Bookings Detail'!B45</f>
        <v>R008</v>
      </c>
      <c r="D85" s="34" t="str">
        <f aca="false">'Bookings Detail'!H45</f>
        <v>New Business</v>
      </c>
      <c r="E85" s="36" t="n">
        <f aca="false">'Bookings Detail'!K45</f>
        <v>146000</v>
      </c>
      <c r="F85" s="37" t="n">
        <f aca="false">AVERAGEIFS('Bookings Detail'!$K$5:$K$274,'Bookings Detail'!$B$5:$B$274,C85,'Bookings Detail'!$H$5:$H$274,D85)</f>
        <v>82142.8571428571</v>
      </c>
      <c r="G85" s="89" t="n">
        <f aca="false">IFERROR(E85/F85,0)</f>
        <v>1.77739130434783</v>
      </c>
      <c r="H85" s="35" t="str">
        <f aca="false">IF(G85&gt;=2.5,"Outlier — 2.5x+ rep's typical deal size for this type","")</f>
        <v/>
      </c>
    </row>
    <row r="86" customFormat="false" ht="15" hidden="false" customHeight="false" outlineLevel="0" collapsed="false">
      <c r="B86" s="40" t="str">
        <f aca="false">'Bookings Detail'!A46</f>
        <v>D00085</v>
      </c>
      <c r="C86" s="40" t="str">
        <f aca="false">'Bookings Detail'!B46</f>
        <v>R005</v>
      </c>
      <c r="D86" s="40" t="str">
        <f aca="false">'Bookings Detail'!H46</f>
        <v>New Business</v>
      </c>
      <c r="E86" s="42" t="n">
        <f aca="false">'Bookings Detail'!K46</f>
        <v>15000</v>
      </c>
      <c r="F86" s="43" t="n">
        <f aca="false">AVERAGEIFS('Bookings Detail'!$K$5:$K$274,'Bookings Detail'!$B$5:$B$274,C86,'Bookings Detail'!$H$5:$H$274,D86)</f>
        <v>34444.4444444444</v>
      </c>
      <c r="G86" s="90" t="n">
        <f aca="false">IFERROR(E86/F86,0)</f>
        <v>0.435483870967742</v>
      </c>
      <c r="H86" s="41" t="str">
        <f aca="false">IF(G86&gt;=2.5,"Outlier — 2.5x+ rep's typical deal size for this type","")</f>
        <v/>
      </c>
    </row>
    <row r="87" customFormat="false" ht="15" hidden="false" customHeight="false" outlineLevel="0" collapsed="false">
      <c r="B87" s="34" t="str">
        <f aca="false">'Bookings Detail'!A47</f>
        <v>D00148</v>
      </c>
      <c r="C87" s="34" t="str">
        <f aca="false">'Bookings Detail'!B47</f>
        <v>R008</v>
      </c>
      <c r="D87" s="34" t="str">
        <f aca="false">'Bookings Detail'!H47</f>
        <v>Renewal</v>
      </c>
      <c r="E87" s="36" t="n">
        <f aca="false">'Bookings Detail'!K47</f>
        <v>1500</v>
      </c>
      <c r="F87" s="37" t="n">
        <f aca="false">AVERAGEIFS('Bookings Detail'!$K$5:$K$274,'Bookings Detail'!$B$5:$B$274,C87,'Bookings Detail'!$H$5:$H$274,D87)</f>
        <v>21000</v>
      </c>
      <c r="G87" s="89" t="n">
        <f aca="false">IFERROR(E87/F87,0)</f>
        <v>0.0714285714285714</v>
      </c>
      <c r="H87" s="35" t="str">
        <f aca="false">IF(G87&gt;=2.5,"Outlier — 2.5x+ rep's typical deal size for this type","")</f>
        <v/>
      </c>
    </row>
    <row r="88" customFormat="false" ht="15" hidden="false" customHeight="false" outlineLevel="0" collapsed="false">
      <c r="B88" s="40" t="str">
        <f aca="false">'Bookings Detail'!A48</f>
        <v>D00002</v>
      </c>
      <c r="C88" s="40" t="str">
        <f aca="false">'Bookings Detail'!B48</f>
        <v>R001</v>
      </c>
      <c r="D88" s="40" t="str">
        <f aca="false">'Bookings Detail'!H48</f>
        <v>New Business</v>
      </c>
      <c r="E88" s="42" t="n">
        <f aca="false">'Bookings Detail'!K48</f>
        <v>42500</v>
      </c>
      <c r="F88" s="43" t="n">
        <f aca="false">AVERAGEIFS('Bookings Detail'!$K$5:$K$274,'Bookings Detail'!$B$5:$B$274,C88,'Bookings Detail'!$H$5:$H$274,D88)</f>
        <v>25550</v>
      </c>
      <c r="G88" s="90" t="n">
        <f aca="false">IFERROR(E88/F88,0)</f>
        <v>1.66340508806262</v>
      </c>
      <c r="H88" s="41" t="str">
        <f aca="false">IF(G88&gt;=2.5,"Outlier — 2.5x+ rep's typical deal size for this type","")</f>
        <v/>
      </c>
    </row>
    <row r="89" customFormat="false" ht="15" hidden="false" customHeight="false" outlineLevel="0" collapsed="false">
      <c r="B89" s="34" t="str">
        <f aca="false">'Bookings Detail'!A49</f>
        <v>D00006</v>
      </c>
      <c r="C89" s="34" t="str">
        <f aca="false">'Bookings Detail'!B49</f>
        <v>R001</v>
      </c>
      <c r="D89" s="34" t="str">
        <f aca="false">'Bookings Detail'!H49</f>
        <v>Upsell</v>
      </c>
      <c r="E89" s="36" t="n">
        <f aca="false">'Bookings Detail'!K49</f>
        <v>11500</v>
      </c>
      <c r="F89" s="37" t="n">
        <f aca="false">AVERAGEIFS('Bookings Detail'!$K$5:$K$274,'Bookings Detail'!$B$5:$B$274,C89,'Bookings Detail'!$H$5:$H$274,D89)</f>
        <v>22916.6666666667</v>
      </c>
      <c r="G89" s="89" t="n">
        <f aca="false">IFERROR(E89/F89,0)</f>
        <v>0.501818181818182</v>
      </c>
      <c r="H89" s="35" t="str">
        <f aca="false">IF(G89&gt;=2.5,"Outlier — 2.5x+ rep's typical deal size for this type","")</f>
        <v/>
      </c>
    </row>
    <row r="90" customFormat="false" ht="15" hidden="false" customHeight="false" outlineLevel="0" collapsed="false">
      <c r="B90" s="40" t="str">
        <f aca="false">'Bookings Detail'!A50</f>
        <v>D00232</v>
      </c>
      <c r="C90" s="40" t="str">
        <f aca="false">'Bookings Detail'!B50</f>
        <v>R013</v>
      </c>
      <c r="D90" s="40" t="str">
        <f aca="false">'Bookings Detail'!H50</f>
        <v>New Business</v>
      </c>
      <c r="E90" s="42" t="n">
        <f aca="false">'Bookings Detail'!K50</f>
        <v>403500</v>
      </c>
      <c r="F90" s="43" t="n">
        <f aca="false">AVERAGEIFS('Bookings Detail'!$K$5:$K$274,'Bookings Detail'!$B$5:$B$274,C90,'Bookings Detail'!$H$5:$H$274,D90)</f>
        <v>259166.666666667</v>
      </c>
      <c r="G90" s="90" t="n">
        <f aca="false">IFERROR(E90/F90,0)</f>
        <v>1.55691318327974</v>
      </c>
      <c r="H90" s="41" t="str">
        <f aca="false">IF(G90&gt;=2.5,"Outlier — 2.5x+ rep's typical deal size for this type","")</f>
        <v/>
      </c>
    </row>
    <row r="91" customFormat="false" ht="15" hidden="false" customHeight="false" outlineLevel="0" collapsed="false">
      <c r="B91" s="34" t="str">
        <f aca="false">'Bookings Detail'!A51</f>
        <v>D00257</v>
      </c>
      <c r="C91" s="34" t="str">
        <f aca="false">'Bookings Detail'!B51</f>
        <v>R015</v>
      </c>
      <c r="D91" s="34" t="str">
        <f aca="false">'Bookings Detail'!H51</f>
        <v>New Business</v>
      </c>
      <c r="E91" s="36" t="n">
        <f aca="false">'Bookings Detail'!K51</f>
        <v>542500</v>
      </c>
      <c r="F91" s="37" t="n">
        <f aca="false">AVERAGEIFS('Bookings Detail'!$K$5:$K$274,'Bookings Detail'!$B$5:$B$274,C91,'Bookings Detail'!$H$5:$H$274,D91)</f>
        <v>379666.666666667</v>
      </c>
      <c r="G91" s="89" t="n">
        <f aca="false">IFERROR(E91/F91,0)</f>
        <v>1.42888498683055</v>
      </c>
      <c r="H91" s="35" t="str">
        <f aca="false">IF(G91&gt;=2.5,"Outlier — 2.5x+ rep's typical deal size for this type","")</f>
        <v/>
      </c>
    </row>
    <row r="92" customFormat="false" ht="15" hidden="false" customHeight="false" outlineLevel="0" collapsed="false">
      <c r="B92" s="40" t="str">
        <f aca="false">'Bookings Detail'!A52</f>
        <v>D00127</v>
      </c>
      <c r="C92" s="40" t="str">
        <f aca="false">'Bookings Detail'!B52</f>
        <v>R007</v>
      </c>
      <c r="D92" s="40" t="str">
        <f aca="false">'Bookings Detail'!H52</f>
        <v>New Business</v>
      </c>
      <c r="E92" s="42" t="n">
        <f aca="false">'Bookings Detail'!K52</f>
        <v>112000</v>
      </c>
      <c r="F92" s="43" t="n">
        <f aca="false">AVERAGEIFS('Bookings Detail'!$K$5:$K$274,'Bookings Detail'!$B$5:$B$274,C92,'Bookings Detail'!$H$5:$H$274,D92)</f>
        <v>72785.7142857143</v>
      </c>
      <c r="G92" s="90" t="n">
        <f aca="false">IFERROR(E92/F92,0)</f>
        <v>1.5387634936212</v>
      </c>
      <c r="H92" s="41" t="str">
        <f aca="false">IF(G92&gt;=2.5,"Outlier — 2.5x+ rep's typical deal size for this type","")</f>
        <v/>
      </c>
    </row>
    <row r="93" customFormat="false" ht="15" hidden="false" customHeight="false" outlineLevel="0" collapsed="false">
      <c r="B93" s="34" t="str">
        <f aca="false">'Bookings Detail'!A53</f>
        <v>D00108</v>
      </c>
      <c r="C93" s="34" t="str">
        <f aca="false">'Bookings Detail'!B53</f>
        <v>R006</v>
      </c>
      <c r="D93" s="34" t="str">
        <f aca="false">'Bookings Detail'!H53</f>
        <v>Upsell</v>
      </c>
      <c r="E93" s="36" t="n">
        <f aca="false">'Bookings Detail'!K53</f>
        <v>22500</v>
      </c>
      <c r="F93" s="37" t="n">
        <f aca="false">AVERAGEIFS('Bookings Detail'!$K$5:$K$274,'Bookings Detail'!$B$5:$B$274,C93,'Bookings Detail'!$H$5:$H$274,D93)</f>
        <v>26333.3333333333</v>
      </c>
      <c r="G93" s="89" t="n">
        <f aca="false">IFERROR(E93/F93,0)</f>
        <v>0.854430379746835</v>
      </c>
      <c r="H93" s="35" t="str">
        <f aca="false">IF(G93&gt;=2.5,"Outlier — 2.5x+ rep's typical deal size for this type","")</f>
        <v/>
      </c>
    </row>
    <row r="94" customFormat="false" ht="15" hidden="false" customHeight="false" outlineLevel="0" collapsed="false">
      <c r="B94" s="40" t="str">
        <f aca="false">'Bookings Detail'!A54</f>
        <v>D00065</v>
      </c>
      <c r="C94" s="40" t="str">
        <f aca="false">'Bookings Detail'!B54</f>
        <v>R004</v>
      </c>
      <c r="D94" s="40" t="str">
        <f aca="false">'Bookings Detail'!H54</f>
        <v>New Business</v>
      </c>
      <c r="E94" s="42" t="n">
        <f aca="false">'Bookings Detail'!K54</f>
        <v>47000</v>
      </c>
      <c r="F94" s="43" t="n">
        <f aca="false">AVERAGEIFS('Bookings Detail'!$K$5:$K$274,'Bookings Detail'!$B$5:$B$274,C94,'Bookings Detail'!$H$5:$H$274,D94)</f>
        <v>31785.7142857143</v>
      </c>
      <c r="G94" s="90" t="n">
        <f aca="false">IFERROR(E94/F94,0)</f>
        <v>1.47865168539326</v>
      </c>
      <c r="H94" s="41" t="str">
        <f aca="false">IF(G94&gt;=2.5,"Outlier — 2.5x+ rep's typical deal size for this type","")</f>
        <v/>
      </c>
    </row>
    <row r="95" customFormat="false" ht="15" hidden="false" customHeight="false" outlineLevel="0" collapsed="false">
      <c r="B95" s="34" t="str">
        <f aca="false">'Bookings Detail'!A55</f>
        <v>D00109</v>
      </c>
      <c r="C95" s="34" t="str">
        <f aca="false">'Bookings Detail'!B55</f>
        <v>R006</v>
      </c>
      <c r="D95" s="34" t="str">
        <f aca="false">'Bookings Detail'!H55</f>
        <v>Upsell</v>
      </c>
      <c r="E95" s="36" t="n">
        <f aca="false">'Bookings Detail'!K55</f>
        <v>21000</v>
      </c>
      <c r="F95" s="37" t="n">
        <f aca="false">AVERAGEIFS('Bookings Detail'!$K$5:$K$274,'Bookings Detail'!$B$5:$B$274,C95,'Bookings Detail'!$H$5:$H$274,D95)</f>
        <v>26333.3333333333</v>
      </c>
      <c r="G95" s="89" t="n">
        <f aca="false">IFERROR(E95/F95,0)</f>
        <v>0.79746835443038</v>
      </c>
      <c r="H95" s="35" t="str">
        <f aca="false">IF(G95&gt;=2.5,"Outlier — 2.5x+ rep's typical deal size for this type","")</f>
        <v/>
      </c>
    </row>
    <row r="96" customFormat="false" ht="15" hidden="false" customHeight="false" outlineLevel="0" collapsed="false">
      <c r="B96" s="40" t="str">
        <f aca="false">'Bookings Detail'!A56</f>
        <v>D00110</v>
      </c>
      <c r="C96" s="40" t="str">
        <f aca="false">'Bookings Detail'!B56</f>
        <v>R006</v>
      </c>
      <c r="D96" s="40" t="str">
        <f aca="false">'Bookings Detail'!H56</f>
        <v>Renewal</v>
      </c>
      <c r="E96" s="42" t="n">
        <f aca="false">'Bookings Detail'!K56</f>
        <v>18000</v>
      </c>
      <c r="F96" s="43" t="n">
        <f aca="false">AVERAGEIFS('Bookings Detail'!$K$5:$K$274,'Bookings Detail'!$B$5:$B$274,C96,'Bookings Detail'!$H$5:$H$274,D96)</f>
        <v>20277.7777777778</v>
      </c>
      <c r="G96" s="90" t="n">
        <f aca="false">IFERROR(E96/F96,0)</f>
        <v>0.887671232876712</v>
      </c>
      <c r="H96" s="41" t="str">
        <f aca="false">IF(G96&gt;=2.5,"Outlier — 2.5x+ rep's typical deal size for this type","")</f>
        <v/>
      </c>
    </row>
    <row r="97" customFormat="false" ht="15" hidden="false" customHeight="false" outlineLevel="0" collapsed="false">
      <c r="B97" s="34" t="str">
        <f aca="false">'Bookings Detail'!A57</f>
        <v>D00235</v>
      </c>
      <c r="C97" s="34" t="str">
        <f aca="false">'Bookings Detail'!B57</f>
        <v>R013</v>
      </c>
      <c r="D97" s="34" t="str">
        <f aca="false">'Bookings Detail'!H57</f>
        <v>Renewal</v>
      </c>
      <c r="E97" s="36" t="n">
        <f aca="false">'Bookings Detail'!K57</f>
        <v>101500</v>
      </c>
      <c r="F97" s="37" t="n">
        <f aca="false">AVERAGEIFS('Bookings Detail'!$K$5:$K$274,'Bookings Detail'!$B$5:$B$274,C97,'Bookings Detail'!$H$5:$H$274,D97)</f>
        <v>94750</v>
      </c>
      <c r="G97" s="89" t="n">
        <f aca="false">IFERROR(E97/F97,0)</f>
        <v>1.0712401055409</v>
      </c>
      <c r="H97" s="35" t="str">
        <f aca="false">IF(G97&gt;=2.5,"Outlier — 2.5x+ rep's typical deal size for this type","")</f>
        <v/>
      </c>
    </row>
    <row r="98" customFormat="false" ht="15" hidden="false" customHeight="false" outlineLevel="0" collapsed="false">
      <c r="B98" s="40" t="str">
        <f aca="false">'Bookings Detail'!A58</f>
        <v>D00217</v>
      </c>
      <c r="C98" s="40" t="str">
        <f aca="false">'Bookings Detail'!B58</f>
        <v>R012</v>
      </c>
      <c r="D98" s="40" t="str">
        <f aca="false">'Bookings Detail'!H58</f>
        <v>New Business</v>
      </c>
      <c r="E98" s="42" t="n">
        <f aca="false">'Bookings Detail'!K58</f>
        <v>61500</v>
      </c>
      <c r="F98" s="43" t="n">
        <f aca="false">AVERAGEIFS('Bookings Detail'!$K$5:$K$274,'Bookings Detail'!$B$5:$B$274,C98,'Bookings Detail'!$H$5:$H$274,D98)</f>
        <v>147500</v>
      </c>
      <c r="G98" s="90" t="n">
        <f aca="false">IFERROR(E98/F98,0)</f>
        <v>0.416949152542373</v>
      </c>
      <c r="H98" s="41" t="str">
        <f aca="false">IF(G98&gt;=2.5,"Outlier — 2.5x+ rep's typical deal size for this type","")</f>
        <v/>
      </c>
    </row>
    <row r="99" customFormat="false" ht="15" hidden="false" customHeight="false" outlineLevel="0" collapsed="false">
      <c r="B99" s="34" t="str">
        <f aca="false">'Bookings Detail'!A59</f>
        <v>D00147</v>
      </c>
      <c r="C99" s="34" t="str">
        <f aca="false">'Bookings Detail'!B59</f>
        <v>R008</v>
      </c>
      <c r="D99" s="34" t="str">
        <f aca="false">'Bookings Detail'!H59</f>
        <v>Renewal</v>
      </c>
      <c r="E99" s="36" t="n">
        <f aca="false">'Bookings Detail'!K59</f>
        <v>79000</v>
      </c>
      <c r="F99" s="37" t="n">
        <f aca="false">AVERAGEIFS('Bookings Detail'!$K$5:$K$274,'Bookings Detail'!$B$5:$B$274,C99,'Bookings Detail'!$H$5:$H$274,D99)</f>
        <v>21000</v>
      </c>
      <c r="G99" s="89" t="n">
        <f aca="false">IFERROR(E99/F99,0)</f>
        <v>3.76190476190476</v>
      </c>
      <c r="H99" s="35" t="str">
        <f aca="false">IF(G99&gt;=2.5,"Outlier — 2.5x+ rep's typical deal size for this type","")</f>
        <v>Outlier — 2.5x+ rep's typical deal size for this type</v>
      </c>
    </row>
    <row r="100" customFormat="false" ht="15" hidden="false" customHeight="false" outlineLevel="0" collapsed="false">
      <c r="B100" s="40" t="str">
        <f aca="false">'Bookings Detail'!A60</f>
        <v>D00105</v>
      </c>
      <c r="C100" s="40" t="str">
        <f aca="false">'Bookings Detail'!B60</f>
        <v>R006</v>
      </c>
      <c r="D100" s="40" t="str">
        <f aca="false">'Bookings Detail'!H60</f>
        <v>New Business</v>
      </c>
      <c r="E100" s="42" t="n">
        <f aca="false">'Bookings Detail'!K60</f>
        <v>14500</v>
      </c>
      <c r="F100" s="43" t="n">
        <f aca="false">AVERAGEIFS('Bookings Detail'!$K$5:$K$274,'Bookings Detail'!$B$5:$B$274,C100,'Bookings Detail'!$H$5:$H$274,D100)</f>
        <v>37450</v>
      </c>
      <c r="G100" s="90" t="n">
        <f aca="false">IFERROR(E100/F100,0)</f>
        <v>0.387182910547397</v>
      </c>
      <c r="H100" s="41" t="str">
        <f aca="false">IF(G100&gt;=2.5,"Outlier — 2.5x+ rep's typical deal size for this type","")</f>
        <v/>
      </c>
    </row>
    <row r="101" customFormat="false" ht="15" hidden="false" customHeight="false" outlineLevel="0" collapsed="false">
      <c r="B101" s="34" t="str">
        <f aca="false">'Bookings Detail'!A61</f>
        <v>D00131</v>
      </c>
      <c r="C101" s="34" t="str">
        <f aca="false">'Bookings Detail'!B61</f>
        <v>R007</v>
      </c>
      <c r="D101" s="34" t="str">
        <f aca="false">'Bookings Detail'!H61</f>
        <v>Upsell</v>
      </c>
      <c r="E101" s="36" t="n">
        <f aca="false">'Bookings Detail'!K61</f>
        <v>65000</v>
      </c>
      <c r="F101" s="37" t="n">
        <f aca="false">AVERAGEIFS('Bookings Detail'!$K$5:$K$274,'Bookings Detail'!$B$5:$B$274,C101,'Bookings Detail'!$H$5:$H$274,D101)</f>
        <v>49666.6666666667</v>
      </c>
      <c r="G101" s="89" t="n">
        <f aca="false">IFERROR(E101/F101,0)</f>
        <v>1.30872483221477</v>
      </c>
      <c r="H101" s="35" t="str">
        <f aca="false">IF(G101&gt;=2.5,"Outlier — 2.5x+ rep's typical deal size for this type","")</f>
        <v/>
      </c>
    </row>
    <row r="102" customFormat="false" ht="15" hidden="false" customHeight="false" outlineLevel="0" collapsed="false">
      <c r="B102" s="40" t="str">
        <f aca="false">'Bookings Detail'!A62</f>
        <v>D00247</v>
      </c>
      <c r="C102" s="40" t="str">
        <f aca="false">'Bookings Detail'!B62</f>
        <v>R014</v>
      </c>
      <c r="D102" s="40" t="str">
        <f aca="false">'Bookings Detail'!H62</f>
        <v>Upsell</v>
      </c>
      <c r="E102" s="42" t="n">
        <f aca="false">'Bookings Detail'!K62</f>
        <v>38500</v>
      </c>
      <c r="F102" s="43" t="n">
        <f aca="false">AVERAGEIFS('Bookings Detail'!$K$5:$K$274,'Bookings Detail'!$B$5:$B$274,C102,'Bookings Detail'!$H$5:$H$274,D102)</f>
        <v>44750</v>
      </c>
      <c r="G102" s="90" t="n">
        <f aca="false">IFERROR(E102/F102,0)</f>
        <v>0.860335195530726</v>
      </c>
      <c r="H102" s="41" t="str">
        <f aca="false">IF(G102&gt;=2.5,"Outlier — 2.5x+ rep's typical deal size for this type","")</f>
        <v/>
      </c>
    </row>
    <row r="103" customFormat="false" ht="15" hidden="false" customHeight="false" outlineLevel="0" collapsed="false">
      <c r="B103" s="34" t="str">
        <f aca="false">'Bookings Detail'!A63</f>
        <v>D00001</v>
      </c>
      <c r="C103" s="34" t="str">
        <f aca="false">'Bookings Detail'!B63</f>
        <v>R001</v>
      </c>
      <c r="D103" s="34" t="str">
        <f aca="false">'Bookings Detail'!H63</f>
        <v>New Business</v>
      </c>
      <c r="E103" s="36" t="n">
        <f aca="false">'Bookings Detail'!K63</f>
        <v>54000</v>
      </c>
      <c r="F103" s="37" t="n">
        <f aca="false">AVERAGEIFS('Bookings Detail'!$K$5:$K$274,'Bookings Detail'!$B$5:$B$274,C103,'Bookings Detail'!$H$5:$H$274,D103)</f>
        <v>25550</v>
      </c>
      <c r="G103" s="89" t="n">
        <f aca="false">IFERROR(E103/F103,0)</f>
        <v>2.11350293542074</v>
      </c>
      <c r="H103" s="35" t="str">
        <f aca="false">IF(G103&gt;=2.5,"Outlier — 2.5x+ rep's typical deal size for this type","")</f>
        <v/>
      </c>
    </row>
    <row r="104" customFormat="false" ht="15" hidden="false" customHeight="false" outlineLevel="0" collapsed="false">
      <c r="B104" s="40" t="str">
        <f aca="false">'Bookings Detail'!A64</f>
        <v>D00066</v>
      </c>
      <c r="C104" s="40" t="str">
        <f aca="false">'Bookings Detail'!B64</f>
        <v>R004</v>
      </c>
      <c r="D104" s="40" t="str">
        <f aca="false">'Bookings Detail'!H64</f>
        <v>New Business</v>
      </c>
      <c r="E104" s="42" t="n">
        <f aca="false">'Bookings Detail'!K64</f>
        <v>63500</v>
      </c>
      <c r="F104" s="43" t="n">
        <f aca="false">AVERAGEIFS('Bookings Detail'!$K$5:$K$274,'Bookings Detail'!$B$5:$B$274,C104,'Bookings Detail'!$H$5:$H$274,D104)</f>
        <v>31785.7142857143</v>
      </c>
      <c r="G104" s="90" t="n">
        <f aca="false">IFERROR(E104/F104,0)</f>
        <v>1.99775280898876</v>
      </c>
      <c r="H104" s="41" t="str">
        <f aca="false">IF(G104&gt;=2.5,"Outlier — 2.5x+ rep's typical deal size for this type","")</f>
        <v/>
      </c>
    </row>
    <row r="105" customFormat="false" ht="15" hidden="false" customHeight="false" outlineLevel="0" collapsed="false">
      <c r="B105" s="34" t="str">
        <f aca="false">'Bookings Detail'!A65</f>
        <v>D00196</v>
      </c>
      <c r="C105" s="34" t="str">
        <f aca="false">'Bookings Detail'!B65</f>
        <v>R011</v>
      </c>
      <c r="D105" s="34" t="str">
        <f aca="false">'Bookings Detail'!H65</f>
        <v>New Business</v>
      </c>
      <c r="E105" s="36" t="n">
        <f aca="false">'Bookings Detail'!K65</f>
        <v>139500</v>
      </c>
      <c r="F105" s="37" t="n">
        <f aca="false">AVERAGEIFS('Bookings Detail'!$K$5:$K$274,'Bookings Detail'!$B$5:$B$274,C105,'Bookings Detail'!$H$5:$H$274,D105)</f>
        <v>70062.5</v>
      </c>
      <c r="G105" s="89" t="n">
        <f aca="false">IFERROR(E105/F105,0)</f>
        <v>1.99107939339875</v>
      </c>
      <c r="H105" s="35" t="str">
        <f aca="false">IF(G105&gt;=2.5,"Outlier — 2.5x+ rep's typical deal size for this type","")</f>
        <v/>
      </c>
    </row>
    <row r="106" customFormat="false" ht="15" hidden="false" customHeight="false" outlineLevel="0" collapsed="false">
      <c r="B106" s="40" t="str">
        <f aca="false">'Bookings Detail'!A66</f>
        <v>D00250</v>
      </c>
      <c r="C106" s="40" t="str">
        <f aca="false">'Bookings Detail'!B66</f>
        <v>R014</v>
      </c>
      <c r="D106" s="40" t="str">
        <f aca="false">'Bookings Detail'!H66</f>
        <v>Renewal</v>
      </c>
      <c r="E106" s="42" t="n">
        <f aca="false">'Bookings Detail'!K66</f>
        <v>57000</v>
      </c>
      <c r="F106" s="43" t="n">
        <f aca="false">AVERAGEIFS('Bookings Detail'!$K$5:$K$274,'Bookings Detail'!$B$5:$B$274,C106,'Bookings Detail'!$H$5:$H$274,D106)</f>
        <v>60357.1428571429</v>
      </c>
      <c r="G106" s="90" t="n">
        <f aca="false">IFERROR(E106/F106,0)</f>
        <v>0.944378698224852</v>
      </c>
      <c r="H106" s="41" t="str">
        <f aca="false">IF(G106&gt;=2.5,"Outlier — 2.5x+ rep's typical deal size for this type","")</f>
        <v/>
      </c>
    </row>
    <row r="107" customFormat="false" ht="15" hidden="false" customHeight="false" outlineLevel="0" collapsed="false">
      <c r="B107" s="34" t="str">
        <f aca="false">'Bookings Detail'!A67</f>
        <v>D00197</v>
      </c>
      <c r="C107" s="34" t="str">
        <f aca="false">'Bookings Detail'!B67</f>
        <v>R011</v>
      </c>
      <c r="D107" s="34" t="str">
        <f aca="false">'Bookings Detail'!H67</f>
        <v>New Business</v>
      </c>
      <c r="E107" s="36" t="n">
        <f aca="false">'Bookings Detail'!K67</f>
        <v>17500</v>
      </c>
      <c r="F107" s="37" t="n">
        <f aca="false">AVERAGEIFS('Bookings Detail'!$K$5:$K$274,'Bookings Detail'!$B$5:$B$274,C107,'Bookings Detail'!$H$5:$H$274,D107)</f>
        <v>70062.5</v>
      </c>
      <c r="G107" s="89" t="n">
        <f aca="false">IFERROR(E107/F107,0)</f>
        <v>0.249776984834969</v>
      </c>
      <c r="H107" s="35" t="str">
        <f aca="false">IF(G107&gt;=2.5,"Outlier — 2.5x+ rep's typical deal size for this type","")</f>
        <v/>
      </c>
    </row>
    <row r="108" customFormat="false" ht="15" hidden="false" customHeight="false" outlineLevel="0" collapsed="false">
      <c r="B108" s="40" t="str">
        <f aca="false">'Bookings Detail'!A68</f>
        <v>D00025</v>
      </c>
      <c r="C108" s="40" t="str">
        <f aca="false">'Bookings Detail'!B68</f>
        <v>R002</v>
      </c>
      <c r="D108" s="40" t="str">
        <f aca="false">'Bookings Detail'!H68</f>
        <v>New Business</v>
      </c>
      <c r="E108" s="42" t="n">
        <f aca="false">'Bookings Detail'!K68</f>
        <v>29500</v>
      </c>
      <c r="F108" s="43" t="n">
        <f aca="false">AVERAGEIFS('Bookings Detail'!$K$5:$K$274,'Bookings Detail'!$B$5:$B$274,C108,'Bookings Detail'!$H$5:$H$274,D108)</f>
        <v>39312.5</v>
      </c>
      <c r="G108" s="90" t="n">
        <f aca="false">IFERROR(E108/F108,0)</f>
        <v>0.750397456279809</v>
      </c>
      <c r="H108" s="41" t="str">
        <f aca="false">IF(G108&gt;=2.5,"Outlier — 2.5x+ rep's typical deal size for this type","")</f>
        <v/>
      </c>
    </row>
    <row r="109" customFormat="false" ht="15" hidden="false" customHeight="false" outlineLevel="0" collapsed="false">
      <c r="B109" s="34" t="str">
        <f aca="false">'Bookings Detail'!A69</f>
        <v>D00012</v>
      </c>
      <c r="C109" s="34" t="str">
        <f aca="false">'Bookings Detail'!B69</f>
        <v>R001</v>
      </c>
      <c r="D109" s="34" t="str">
        <f aca="false">'Bookings Detail'!H69</f>
        <v>Renewal</v>
      </c>
      <c r="E109" s="36" t="n">
        <f aca="false">'Bookings Detail'!K69</f>
        <v>26500</v>
      </c>
      <c r="F109" s="37" t="n">
        <f aca="false">AVERAGEIFS('Bookings Detail'!$K$5:$K$274,'Bookings Detail'!$B$5:$B$274,C109,'Bookings Detail'!$H$5:$H$274,D109)</f>
        <v>19187.5</v>
      </c>
      <c r="G109" s="89" t="n">
        <f aca="false">IFERROR(E109/F109,0)</f>
        <v>1.38110749185668</v>
      </c>
      <c r="H109" s="35" t="str">
        <f aca="false">IF(G109&gt;=2.5,"Outlier — 2.5x+ rep's typical deal size for this type","")</f>
        <v/>
      </c>
    </row>
    <row r="110" customFormat="false" ht="15" hidden="false" customHeight="false" outlineLevel="0" collapsed="false">
      <c r="B110" s="40" t="str">
        <f aca="false">'Bookings Detail'!A70</f>
        <v>D00129</v>
      </c>
      <c r="C110" s="40" t="str">
        <f aca="false">'Bookings Detail'!B70</f>
        <v>R007</v>
      </c>
      <c r="D110" s="40" t="str">
        <f aca="false">'Bookings Detail'!H70</f>
        <v>New Business</v>
      </c>
      <c r="E110" s="42" t="n">
        <f aca="false">'Bookings Detail'!K70</f>
        <v>81000</v>
      </c>
      <c r="F110" s="43" t="n">
        <f aca="false">AVERAGEIFS('Bookings Detail'!$K$5:$K$274,'Bookings Detail'!$B$5:$B$274,C110,'Bookings Detail'!$H$5:$H$274,D110)</f>
        <v>72785.7142857143</v>
      </c>
      <c r="G110" s="90" t="n">
        <f aca="false">IFERROR(E110/F110,0)</f>
        <v>1.11285574092247</v>
      </c>
      <c r="H110" s="41" t="str">
        <f aca="false">IF(G110&gt;=2.5,"Outlier — 2.5x+ rep's typical deal size for this type","")</f>
        <v/>
      </c>
    </row>
    <row r="111" customFormat="false" ht="15" hidden="false" customHeight="false" outlineLevel="0" collapsed="false">
      <c r="B111" s="34" t="str">
        <f aca="false">'Bookings Detail'!A71</f>
        <v>D00008</v>
      </c>
      <c r="C111" s="34" t="str">
        <f aca="false">'Bookings Detail'!B71</f>
        <v>R001</v>
      </c>
      <c r="D111" s="34" t="str">
        <f aca="false">'Bookings Detail'!H71</f>
        <v>Upsell</v>
      </c>
      <c r="E111" s="36" t="n">
        <f aca="false">'Bookings Detail'!K71</f>
        <v>19500</v>
      </c>
      <c r="F111" s="37" t="n">
        <f aca="false">AVERAGEIFS('Bookings Detail'!$K$5:$K$274,'Bookings Detail'!$B$5:$B$274,C111,'Bookings Detail'!$H$5:$H$274,D111)</f>
        <v>22916.6666666667</v>
      </c>
      <c r="G111" s="89" t="n">
        <f aca="false">IFERROR(E111/F111,0)</f>
        <v>0.850909090909091</v>
      </c>
      <c r="H111" s="35" t="str">
        <f aca="false">IF(G111&gt;=2.5,"Outlier — 2.5x+ rep's typical deal size for this type","")</f>
        <v/>
      </c>
    </row>
    <row r="112" customFormat="false" ht="15" hidden="false" customHeight="false" outlineLevel="0" collapsed="false">
      <c r="B112" s="40" t="str">
        <f aca="false">'Bookings Detail'!A72</f>
        <v>D00144</v>
      </c>
      <c r="C112" s="40" t="str">
        <f aca="false">'Bookings Detail'!B72</f>
        <v>R008</v>
      </c>
      <c r="D112" s="40" t="str">
        <f aca="false">'Bookings Detail'!H72</f>
        <v>Upsell</v>
      </c>
      <c r="E112" s="42" t="n">
        <f aca="false">'Bookings Detail'!K72</f>
        <v>28000</v>
      </c>
      <c r="F112" s="43" t="n">
        <f aca="false">AVERAGEIFS('Bookings Detail'!$K$5:$K$274,'Bookings Detail'!$B$5:$B$274,C112,'Bookings Detail'!$H$5:$H$274,D112)</f>
        <v>20250</v>
      </c>
      <c r="G112" s="90" t="n">
        <f aca="false">IFERROR(E112/F112,0)</f>
        <v>1.38271604938272</v>
      </c>
      <c r="H112" s="41" t="str">
        <f aca="false">IF(G112&gt;=2.5,"Outlier — 2.5x+ rep's typical deal size for this type","")</f>
        <v/>
      </c>
    </row>
    <row r="113" customFormat="false" ht="15" hidden="false" customHeight="false" outlineLevel="0" collapsed="false">
      <c r="B113" s="34" t="str">
        <f aca="false">'Bookings Detail'!A73</f>
        <v>D00161</v>
      </c>
      <c r="C113" s="34" t="str">
        <f aca="false">'Bookings Detail'!B73</f>
        <v>R009</v>
      </c>
      <c r="D113" s="34" t="str">
        <f aca="false">'Bookings Detail'!H73</f>
        <v>New Business</v>
      </c>
      <c r="E113" s="36" t="n">
        <f aca="false">'Bookings Detail'!K73</f>
        <v>13000</v>
      </c>
      <c r="F113" s="37" t="n">
        <f aca="false">AVERAGEIFS('Bookings Detail'!$K$5:$K$274,'Bookings Detail'!$B$5:$B$274,C113,'Bookings Detail'!$H$5:$H$274,D113)</f>
        <v>86500</v>
      </c>
      <c r="G113" s="89" t="n">
        <f aca="false">IFERROR(E113/F113,0)</f>
        <v>0.15028901734104</v>
      </c>
      <c r="H113" s="35" t="str">
        <f aca="false">IF(G113&gt;=2.5,"Outlier — 2.5x+ rep's typical deal size for this type","")</f>
        <v/>
      </c>
    </row>
    <row r="114" customFormat="false" ht="15" hidden="false" customHeight="false" outlineLevel="0" collapsed="false">
      <c r="B114" s="40" t="str">
        <f aca="false">'Bookings Detail'!A74</f>
        <v>D00169</v>
      </c>
      <c r="C114" s="40" t="str">
        <f aca="false">'Bookings Detail'!B74</f>
        <v>R009</v>
      </c>
      <c r="D114" s="40" t="str">
        <f aca="false">'Bookings Detail'!H74</f>
        <v>Renewal</v>
      </c>
      <c r="E114" s="42" t="n">
        <f aca="false">'Bookings Detail'!K74</f>
        <v>33000</v>
      </c>
      <c r="F114" s="43" t="n">
        <f aca="false">AVERAGEIFS('Bookings Detail'!$K$5:$K$274,'Bookings Detail'!$B$5:$B$274,C114,'Bookings Detail'!$H$5:$H$274,D114)</f>
        <v>29600</v>
      </c>
      <c r="G114" s="90" t="n">
        <f aca="false">IFERROR(E114/F114,0)</f>
        <v>1.11486486486487</v>
      </c>
      <c r="H114" s="41" t="str">
        <f aca="false">IF(G114&gt;=2.5,"Outlier — 2.5x+ rep's typical deal size for this type","")</f>
        <v/>
      </c>
    </row>
    <row r="115" customFormat="false" ht="15" hidden="false" customHeight="false" outlineLevel="0" collapsed="false">
      <c r="B115" s="34" t="str">
        <f aca="false">'Bookings Detail'!A75</f>
        <v>D00031</v>
      </c>
      <c r="C115" s="34" t="str">
        <f aca="false">'Bookings Detail'!B75</f>
        <v>R002</v>
      </c>
      <c r="D115" s="34" t="str">
        <f aca="false">'Bookings Detail'!H75</f>
        <v>Upsell</v>
      </c>
      <c r="E115" s="36" t="n">
        <f aca="false">'Bookings Detail'!K75</f>
        <v>2000</v>
      </c>
      <c r="F115" s="37" t="n">
        <f aca="false">AVERAGEIFS('Bookings Detail'!$K$5:$K$274,'Bookings Detail'!$B$5:$B$274,C115,'Bookings Detail'!$H$5:$H$274,D115)</f>
        <v>2250</v>
      </c>
      <c r="G115" s="89" t="n">
        <f aca="false">IFERROR(E115/F115,0)</f>
        <v>0.888888888888889</v>
      </c>
      <c r="H115" s="35" t="str">
        <f aca="false">IF(G115&gt;=2.5,"Outlier — 2.5x+ rep's typical deal size for this type","")</f>
        <v/>
      </c>
    </row>
    <row r="116" customFormat="false" ht="15" hidden="false" customHeight="false" outlineLevel="0" collapsed="false">
      <c r="B116" s="40" t="str">
        <f aca="false">'Bookings Detail'!A76</f>
        <v>D00234</v>
      </c>
      <c r="C116" s="40" t="str">
        <f aca="false">'Bookings Detail'!B76</f>
        <v>R013</v>
      </c>
      <c r="D116" s="40" t="str">
        <f aca="false">'Bookings Detail'!H76</f>
        <v>Upsell</v>
      </c>
      <c r="E116" s="42" t="n">
        <f aca="false">'Bookings Detail'!K76</f>
        <v>60500</v>
      </c>
      <c r="F116" s="43" t="n">
        <f aca="false">AVERAGEIFS('Bookings Detail'!$K$5:$K$274,'Bookings Detail'!$B$5:$B$274,C116,'Bookings Detail'!$H$5:$H$274,D116)</f>
        <v>72250</v>
      </c>
      <c r="G116" s="90" t="n">
        <f aca="false">IFERROR(E116/F116,0)</f>
        <v>0.837370242214533</v>
      </c>
      <c r="H116" s="41" t="str">
        <f aca="false">IF(G116&gt;=2.5,"Outlier — 2.5x+ rep's typical deal size for this type","")</f>
        <v/>
      </c>
    </row>
    <row r="117" customFormat="false" ht="15" hidden="false" customHeight="false" outlineLevel="0" collapsed="false">
      <c r="B117" s="34" t="str">
        <f aca="false">'Bookings Detail'!A77</f>
        <v>D00141</v>
      </c>
      <c r="C117" s="34" t="str">
        <f aca="false">'Bookings Detail'!B77</f>
        <v>R008</v>
      </c>
      <c r="D117" s="34" t="str">
        <f aca="false">'Bookings Detail'!H77</f>
        <v>New Business</v>
      </c>
      <c r="E117" s="36" t="n">
        <f aca="false">'Bookings Detail'!K77</f>
        <v>64500</v>
      </c>
      <c r="F117" s="37" t="n">
        <f aca="false">AVERAGEIFS('Bookings Detail'!$K$5:$K$274,'Bookings Detail'!$B$5:$B$274,C117,'Bookings Detail'!$H$5:$H$274,D117)</f>
        <v>82142.8571428571</v>
      </c>
      <c r="G117" s="89" t="n">
        <f aca="false">IFERROR(E117/F117,0)</f>
        <v>0.785217391304348</v>
      </c>
      <c r="H117" s="35" t="str">
        <f aca="false">IF(G117&gt;=2.5,"Outlier — 2.5x+ rep's typical deal size for this type","")</f>
        <v/>
      </c>
    </row>
    <row r="118" customFormat="false" ht="15" hidden="false" customHeight="false" outlineLevel="0" collapsed="false">
      <c r="B118" s="40" t="str">
        <f aca="false">'Bookings Detail'!A78</f>
        <v>D00130</v>
      </c>
      <c r="C118" s="40" t="str">
        <f aca="false">'Bookings Detail'!B78</f>
        <v>R007</v>
      </c>
      <c r="D118" s="40" t="str">
        <f aca="false">'Bookings Detail'!H78</f>
        <v>Upsell</v>
      </c>
      <c r="E118" s="42" t="n">
        <f aca="false">'Bookings Detail'!K78</f>
        <v>32500</v>
      </c>
      <c r="F118" s="43" t="n">
        <f aca="false">AVERAGEIFS('Bookings Detail'!$K$5:$K$274,'Bookings Detail'!$B$5:$B$274,C118,'Bookings Detail'!$H$5:$H$274,D118)</f>
        <v>49666.6666666667</v>
      </c>
      <c r="G118" s="90" t="n">
        <f aca="false">IFERROR(E118/F118,0)</f>
        <v>0.654362416107383</v>
      </c>
      <c r="H118" s="41" t="str">
        <f aca="false">IF(G118&gt;=2.5,"Outlier — 2.5x+ rep's typical deal size for this type","")</f>
        <v/>
      </c>
    </row>
    <row r="119" customFormat="false" ht="15" hidden="false" customHeight="false" outlineLevel="0" collapsed="false">
      <c r="B119" s="34" t="str">
        <f aca="false">'Bookings Detail'!A79</f>
        <v>D00090</v>
      </c>
      <c r="C119" s="34" t="str">
        <f aca="false">'Bookings Detail'!B79</f>
        <v>R005</v>
      </c>
      <c r="D119" s="34" t="str">
        <f aca="false">'Bookings Detail'!H79</f>
        <v>Renewal</v>
      </c>
      <c r="E119" s="36" t="n">
        <f aca="false">'Bookings Detail'!K79</f>
        <v>40000</v>
      </c>
      <c r="F119" s="37" t="n">
        <f aca="false">AVERAGEIFS('Bookings Detail'!$K$5:$K$274,'Bookings Detail'!$B$5:$B$274,C119,'Bookings Detail'!$H$5:$H$274,D119)</f>
        <v>21687.5</v>
      </c>
      <c r="G119" s="89" t="n">
        <f aca="false">IFERROR(E119/F119,0)</f>
        <v>1.84438040345821</v>
      </c>
      <c r="H119" s="35" t="str">
        <f aca="false">IF(G119&gt;=2.5,"Outlier — 2.5x+ rep's typical deal size for this type","")</f>
        <v/>
      </c>
    </row>
    <row r="120" customFormat="false" ht="15" hidden="false" customHeight="false" outlineLevel="0" collapsed="false">
      <c r="B120" s="40" t="str">
        <f aca="false">'Bookings Detail'!A80</f>
        <v>D00251</v>
      </c>
      <c r="C120" s="40" t="str">
        <f aca="false">'Bookings Detail'!B80</f>
        <v>R014</v>
      </c>
      <c r="D120" s="40" t="str">
        <f aca="false">'Bookings Detail'!H80</f>
        <v>Renewal</v>
      </c>
      <c r="E120" s="42" t="n">
        <f aca="false">'Bookings Detail'!K80</f>
        <v>28000</v>
      </c>
      <c r="F120" s="43" t="n">
        <f aca="false">AVERAGEIFS('Bookings Detail'!$K$5:$K$274,'Bookings Detail'!$B$5:$B$274,C120,'Bookings Detail'!$H$5:$H$274,D120)</f>
        <v>60357.1428571429</v>
      </c>
      <c r="G120" s="90" t="n">
        <f aca="false">IFERROR(E120/F120,0)</f>
        <v>0.463905325443787</v>
      </c>
      <c r="H120" s="41" t="str">
        <f aca="false">IF(G120&gt;=2.5,"Outlier — 2.5x+ rep's typical deal size for this type","")</f>
        <v/>
      </c>
    </row>
    <row r="121" customFormat="false" ht="15" hidden="false" customHeight="false" outlineLevel="0" collapsed="false">
      <c r="B121" s="34" t="str">
        <f aca="false">'Bookings Detail'!A81</f>
        <v>D00198</v>
      </c>
      <c r="C121" s="34" t="str">
        <f aca="false">'Bookings Detail'!B81</f>
        <v>R011</v>
      </c>
      <c r="D121" s="34" t="str">
        <f aca="false">'Bookings Detail'!H81</f>
        <v>New Business</v>
      </c>
      <c r="E121" s="36" t="n">
        <f aca="false">'Bookings Detail'!K81</f>
        <v>77000</v>
      </c>
      <c r="F121" s="37" t="n">
        <f aca="false">AVERAGEIFS('Bookings Detail'!$K$5:$K$274,'Bookings Detail'!$B$5:$B$274,C121,'Bookings Detail'!$H$5:$H$274,D121)</f>
        <v>70062.5</v>
      </c>
      <c r="G121" s="89" t="n">
        <f aca="false">IFERROR(E121/F121,0)</f>
        <v>1.09901873327386</v>
      </c>
      <c r="H121" s="35" t="str">
        <f aca="false">IF(G121&gt;=2.5,"Outlier — 2.5x+ rep's typical deal size for this type","")</f>
        <v/>
      </c>
    </row>
    <row r="122" customFormat="false" ht="15" hidden="false" customHeight="false" outlineLevel="0" collapsed="false">
      <c r="B122" s="40" t="str">
        <f aca="false">'Bookings Detail'!A82</f>
        <v>D00263</v>
      </c>
      <c r="C122" s="40" t="str">
        <f aca="false">'Bookings Detail'!B82</f>
        <v>R015</v>
      </c>
      <c r="D122" s="40" t="str">
        <f aca="false">'Bookings Detail'!H82</f>
        <v>Renewal</v>
      </c>
      <c r="E122" s="42" t="n">
        <f aca="false">'Bookings Detail'!K82</f>
        <v>72000</v>
      </c>
      <c r="F122" s="43" t="n">
        <f aca="false">AVERAGEIFS('Bookings Detail'!$K$5:$K$274,'Bookings Detail'!$B$5:$B$274,C122,'Bookings Detail'!$H$5:$H$274,D122)</f>
        <v>57611.1111111111</v>
      </c>
      <c r="G122" s="90" t="n">
        <f aca="false">IFERROR(E122/F122,0)</f>
        <v>1.24975891996143</v>
      </c>
      <c r="H122" s="41" t="str">
        <f aca="false">IF(G122&gt;=2.5,"Outlier — 2.5x+ rep's typical deal size for this type","")</f>
        <v/>
      </c>
    </row>
    <row r="123" customFormat="false" ht="15" hidden="false" customHeight="false" outlineLevel="0" collapsed="false">
      <c r="B123" s="34" t="str">
        <f aca="false">'Bookings Detail'!A83</f>
        <v>D00091</v>
      </c>
      <c r="C123" s="34" t="str">
        <f aca="false">'Bookings Detail'!B83</f>
        <v>R005</v>
      </c>
      <c r="D123" s="34" t="str">
        <f aca="false">'Bookings Detail'!H83</f>
        <v>Renewal</v>
      </c>
      <c r="E123" s="36" t="n">
        <f aca="false">'Bookings Detail'!K83</f>
        <v>3500</v>
      </c>
      <c r="F123" s="37" t="n">
        <f aca="false">AVERAGEIFS('Bookings Detail'!$K$5:$K$274,'Bookings Detail'!$B$5:$B$274,C123,'Bookings Detail'!$H$5:$H$274,D123)</f>
        <v>21687.5</v>
      </c>
      <c r="G123" s="89" t="n">
        <f aca="false">IFERROR(E123/F123,0)</f>
        <v>0.161383285302594</v>
      </c>
      <c r="H123" s="35" t="str">
        <f aca="false">IF(G123&gt;=2.5,"Outlier — 2.5x+ rep's typical deal size for this type","")</f>
        <v/>
      </c>
    </row>
    <row r="124" customFormat="false" ht="15" hidden="false" customHeight="false" outlineLevel="0" collapsed="false">
      <c r="B124" s="40" t="str">
        <f aca="false">'Bookings Detail'!A84</f>
        <v>D00073</v>
      </c>
      <c r="C124" s="40" t="str">
        <f aca="false">'Bookings Detail'!B84</f>
        <v>R004</v>
      </c>
      <c r="D124" s="40" t="str">
        <f aca="false">'Bookings Detail'!H84</f>
        <v>Renewal</v>
      </c>
      <c r="E124" s="42" t="n">
        <f aca="false">'Bookings Detail'!K84</f>
        <v>5500</v>
      </c>
      <c r="F124" s="43" t="n">
        <f aca="false">AVERAGEIFS('Bookings Detail'!$K$5:$K$274,'Bookings Detail'!$B$5:$B$274,C124,'Bookings Detail'!$H$5:$H$274,D124)</f>
        <v>26250</v>
      </c>
      <c r="G124" s="90" t="n">
        <f aca="false">IFERROR(E124/F124,0)</f>
        <v>0.20952380952381</v>
      </c>
      <c r="H124" s="41" t="str">
        <f aca="false">IF(G124&gt;=2.5,"Outlier — 2.5x+ rep's typical deal size for this type","")</f>
        <v/>
      </c>
    </row>
    <row r="125" customFormat="false" ht="15" hidden="false" customHeight="false" outlineLevel="0" collapsed="false">
      <c r="B125" s="34" t="str">
        <f aca="false">'Bookings Detail'!A85</f>
        <v>D00089</v>
      </c>
      <c r="C125" s="34" t="str">
        <f aca="false">'Bookings Detail'!B85</f>
        <v>R005</v>
      </c>
      <c r="D125" s="34" t="str">
        <f aca="false">'Bookings Detail'!H85</f>
        <v>Renewal</v>
      </c>
      <c r="E125" s="36" t="n">
        <f aca="false">'Bookings Detail'!K85</f>
        <v>42500</v>
      </c>
      <c r="F125" s="37" t="n">
        <f aca="false">AVERAGEIFS('Bookings Detail'!$K$5:$K$274,'Bookings Detail'!$B$5:$B$274,C125,'Bookings Detail'!$H$5:$H$274,D125)</f>
        <v>21687.5</v>
      </c>
      <c r="G125" s="89" t="n">
        <f aca="false">IFERROR(E125/F125,0)</f>
        <v>1.95965417867435</v>
      </c>
      <c r="H125" s="35" t="str">
        <f aca="false">IF(G125&gt;=2.5,"Outlier — 2.5x+ rep's typical deal size for this type","")</f>
        <v/>
      </c>
    </row>
    <row r="126" customFormat="false" ht="15" hidden="false" customHeight="false" outlineLevel="0" collapsed="false">
      <c r="B126" s="40" t="str">
        <f aca="false">'Bookings Detail'!A86</f>
        <v>D00164</v>
      </c>
      <c r="C126" s="40" t="str">
        <f aca="false">'Bookings Detail'!B86</f>
        <v>R009</v>
      </c>
      <c r="D126" s="40" t="str">
        <f aca="false">'Bookings Detail'!H86</f>
        <v>New Business</v>
      </c>
      <c r="E126" s="42" t="n">
        <f aca="false">'Bookings Detail'!K86</f>
        <v>68500</v>
      </c>
      <c r="F126" s="43" t="n">
        <f aca="false">AVERAGEIFS('Bookings Detail'!$K$5:$K$274,'Bookings Detail'!$B$5:$B$274,C126,'Bookings Detail'!$H$5:$H$274,D126)</f>
        <v>86500</v>
      </c>
      <c r="G126" s="90" t="n">
        <f aca="false">IFERROR(E126/F126,0)</f>
        <v>0.791907514450867</v>
      </c>
      <c r="H126" s="41" t="str">
        <f aca="false">IF(G126&gt;=2.5,"Outlier — 2.5x+ rep's typical deal size for this type","")</f>
        <v/>
      </c>
    </row>
    <row r="127" customFormat="false" ht="15" hidden="false" customHeight="false" outlineLevel="0" collapsed="false">
      <c r="B127" s="34" t="str">
        <f aca="false">'Bookings Detail'!A87</f>
        <v>D00067</v>
      </c>
      <c r="C127" s="34" t="str">
        <f aca="false">'Bookings Detail'!B87</f>
        <v>R004</v>
      </c>
      <c r="D127" s="34" t="str">
        <f aca="false">'Bookings Detail'!H87</f>
        <v>New Business</v>
      </c>
      <c r="E127" s="36" t="n">
        <f aca="false">'Bookings Detail'!K87</f>
        <v>19500</v>
      </c>
      <c r="F127" s="37" t="n">
        <f aca="false">AVERAGEIFS('Bookings Detail'!$K$5:$K$274,'Bookings Detail'!$B$5:$B$274,C127,'Bookings Detail'!$H$5:$H$274,D127)</f>
        <v>31785.7142857143</v>
      </c>
      <c r="G127" s="89" t="n">
        <f aca="false">IFERROR(E127/F127,0)</f>
        <v>0.613483146067416</v>
      </c>
      <c r="H127" s="35" t="str">
        <f aca="false">IF(G127&gt;=2.5,"Outlier — 2.5x+ rep's typical deal size for this type","")</f>
        <v/>
      </c>
    </row>
    <row r="128" customFormat="false" ht="15" hidden="false" customHeight="false" outlineLevel="0" collapsed="false">
      <c r="B128" s="40" t="str">
        <f aca="false">'Bookings Detail'!A88</f>
        <v>D00233</v>
      </c>
      <c r="C128" s="40" t="str">
        <f aca="false">'Bookings Detail'!B88</f>
        <v>R013</v>
      </c>
      <c r="D128" s="40" t="str">
        <f aca="false">'Bookings Detail'!H88</f>
        <v>Upsell</v>
      </c>
      <c r="E128" s="42" t="n">
        <f aca="false">'Bookings Detail'!K88</f>
        <v>36500</v>
      </c>
      <c r="F128" s="43" t="n">
        <f aca="false">AVERAGEIFS('Bookings Detail'!$K$5:$K$274,'Bookings Detail'!$B$5:$B$274,C128,'Bookings Detail'!$H$5:$H$274,D128)</f>
        <v>72250</v>
      </c>
      <c r="G128" s="90" t="n">
        <f aca="false">IFERROR(E128/F128,0)</f>
        <v>0.505190311418685</v>
      </c>
      <c r="H128" s="41" t="str">
        <f aca="false">IF(G128&gt;=2.5,"Outlier — 2.5x+ rep's typical deal size for this type","")</f>
        <v/>
      </c>
    </row>
    <row r="129" customFormat="false" ht="15" hidden="false" customHeight="false" outlineLevel="0" collapsed="false">
      <c r="B129" s="34" t="str">
        <f aca="false">'Bookings Detail'!A89</f>
        <v>D00170</v>
      </c>
      <c r="C129" s="34" t="str">
        <f aca="false">'Bookings Detail'!B89</f>
        <v>R009</v>
      </c>
      <c r="D129" s="34" t="str">
        <f aca="false">'Bookings Detail'!H89</f>
        <v>Renewal</v>
      </c>
      <c r="E129" s="36" t="n">
        <f aca="false">'Bookings Detail'!K89</f>
        <v>16500</v>
      </c>
      <c r="F129" s="37" t="n">
        <f aca="false">AVERAGEIFS('Bookings Detail'!$K$5:$K$274,'Bookings Detail'!$B$5:$B$274,C129,'Bookings Detail'!$H$5:$H$274,D129)</f>
        <v>29600</v>
      </c>
      <c r="G129" s="89" t="n">
        <f aca="false">IFERROR(E129/F129,0)</f>
        <v>0.557432432432433</v>
      </c>
      <c r="H129" s="35" t="str">
        <f aca="false">IF(G129&gt;=2.5,"Outlier — 2.5x+ rep's typical deal size for this type","")</f>
        <v/>
      </c>
    </row>
    <row r="130" customFormat="false" ht="15" hidden="false" customHeight="false" outlineLevel="0" collapsed="false">
      <c r="B130" s="40" t="str">
        <f aca="false">'Bookings Detail'!A90</f>
        <v>D00259</v>
      </c>
      <c r="C130" s="40" t="str">
        <f aca="false">'Bookings Detail'!B90</f>
        <v>R015</v>
      </c>
      <c r="D130" s="40" t="str">
        <f aca="false">'Bookings Detail'!H90</f>
        <v>Upsell</v>
      </c>
      <c r="E130" s="42" t="n">
        <f aca="false">'Bookings Detail'!K90</f>
        <v>86500</v>
      </c>
      <c r="F130" s="43" t="n">
        <f aca="false">AVERAGEIFS('Bookings Detail'!$K$5:$K$274,'Bookings Detail'!$B$5:$B$274,C130,'Bookings Detail'!$H$5:$H$274,D130)</f>
        <v>98333.3333333333</v>
      </c>
      <c r="G130" s="90" t="n">
        <f aca="false">IFERROR(E130/F130,0)</f>
        <v>0.879661016949153</v>
      </c>
      <c r="H130" s="41" t="str">
        <f aca="false">IF(G130&gt;=2.5,"Outlier — 2.5x+ rep's typical deal size for this type","")</f>
        <v/>
      </c>
    </row>
    <row r="131" customFormat="false" ht="15" hidden="false" customHeight="false" outlineLevel="0" collapsed="false">
      <c r="B131" s="34" t="str">
        <f aca="false">'Bookings Detail'!A91</f>
        <v>D00103</v>
      </c>
      <c r="C131" s="34" t="str">
        <f aca="false">'Bookings Detail'!B91</f>
        <v>R006</v>
      </c>
      <c r="D131" s="34" t="str">
        <f aca="false">'Bookings Detail'!H91</f>
        <v>New Business</v>
      </c>
      <c r="E131" s="36" t="n">
        <f aca="false">'Bookings Detail'!K91</f>
        <v>31000</v>
      </c>
      <c r="F131" s="37" t="n">
        <f aca="false">AVERAGEIFS('Bookings Detail'!$K$5:$K$274,'Bookings Detail'!$B$5:$B$274,C131,'Bookings Detail'!$H$5:$H$274,D131)</f>
        <v>37450</v>
      </c>
      <c r="G131" s="89" t="n">
        <f aca="false">IFERROR(E131/F131,0)</f>
        <v>0.827770360480641</v>
      </c>
      <c r="H131" s="35" t="str">
        <f aca="false">IF(G131&gt;=2.5,"Outlier — 2.5x+ rep's typical deal size for this type","")</f>
        <v/>
      </c>
    </row>
    <row r="132" customFormat="false" ht="15" hidden="false" customHeight="false" outlineLevel="0" collapsed="false">
      <c r="B132" s="40" t="str">
        <f aca="false">'Bookings Detail'!A92</f>
        <v>D00189</v>
      </c>
      <c r="C132" s="40" t="str">
        <f aca="false">'Bookings Detail'!B92</f>
        <v>R010</v>
      </c>
      <c r="D132" s="40" t="str">
        <f aca="false">'Bookings Detail'!H92</f>
        <v>Renewal</v>
      </c>
      <c r="E132" s="42" t="n">
        <f aca="false">'Bookings Detail'!K92</f>
        <v>33000</v>
      </c>
      <c r="F132" s="43" t="n">
        <f aca="false">AVERAGEIFS('Bookings Detail'!$K$5:$K$274,'Bookings Detail'!$B$5:$B$274,C132,'Bookings Detail'!$H$5:$H$274,D132)</f>
        <v>51642.8571428571</v>
      </c>
      <c r="G132" s="90" t="n">
        <f aca="false">IFERROR(E132/F132,0)</f>
        <v>0.639004149377593</v>
      </c>
      <c r="H132" s="41" t="str">
        <f aca="false">IF(G132&gt;=2.5,"Outlier — 2.5x+ rep's typical deal size for this type","")</f>
        <v/>
      </c>
    </row>
    <row r="133" customFormat="false" ht="15" hidden="false" customHeight="false" outlineLevel="0" collapsed="false">
      <c r="B133" s="34" t="str">
        <f aca="false">'Bookings Detail'!A93</f>
        <v>D00048</v>
      </c>
      <c r="C133" s="34" t="str">
        <f aca="false">'Bookings Detail'!B93</f>
        <v>R003</v>
      </c>
      <c r="D133" s="34" t="str">
        <f aca="false">'Bookings Detail'!H93</f>
        <v>Renewal</v>
      </c>
      <c r="E133" s="36" t="n">
        <f aca="false">'Bookings Detail'!K93</f>
        <v>1500</v>
      </c>
      <c r="F133" s="37" t="n">
        <f aca="false">AVERAGEIFS('Bookings Detail'!$K$5:$K$274,'Bookings Detail'!$B$5:$B$274,C133,'Bookings Detail'!$H$5:$H$274,D133)</f>
        <v>17200</v>
      </c>
      <c r="G133" s="89" t="n">
        <f aca="false">IFERROR(E133/F133,0)</f>
        <v>0.0872093023255814</v>
      </c>
      <c r="H133" s="35" t="str">
        <f aca="false">IF(G133&gt;=2.5,"Outlier — 2.5x+ rep's typical deal size for this type","")</f>
        <v/>
      </c>
    </row>
    <row r="134" customFormat="false" ht="15" hidden="false" customHeight="false" outlineLevel="0" collapsed="false">
      <c r="B134" s="40" t="str">
        <f aca="false">'Bookings Detail'!A94</f>
        <v>D00181</v>
      </c>
      <c r="C134" s="40" t="str">
        <f aca="false">'Bookings Detail'!B94</f>
        <v>R010</v>
      </c>
      <c r="D134" s="40" t="str">
        <f aca="false">'Bookings Detail'!H94</f>
        <v>New Business</v>
      </c>
      <c r="E134" s="42" t="n">
        <f aca="false">'Bookings Detail'!K94</f>
        <v>142000</v>
      </c>
      <c r="F134" s="43" t="n">
        <f aca="false">AVERAGEIFS('Bookings Detail'!$K$5:$K$274,'Bookings Detail'!$B$5:$B$274,C134,'Bookings Detail'!$H$5:$H$274,D134)</f>
        <v>96333.3333333333</v>
      </c>
      <c r="G134" s="90" t="n">
        <f aca="false">IFERROR(E134/F134,0)</f>
        <v>1.47404844290657</v>
      </c>
      <c r="H134" s="41" t="str">
        <f aca="false">IF(G134&gt;=2.5,"Outlier — 2.5x+ rep's typical deal size for this type","")</f>
        <v/>
      </c>
    </row>
    <row r="135" customFormat="false" ht="15" hidden="false" customHeight="false" outlineLevel="0" collapsed="false">
      <c r="B135" s="34" t="str">
        <f aca="false">'Bookings Detail'!A95</f>
        <v>D00084</v>
      </c>
      <c r="C135" s="34" t="str">
        <f aca="false">'Bookings Detail'!B95</f>
        <v>R005</v>
      </c>
      <c r="D135" s="34" t="str">
        <f aca="false">'Bookings Detail'!H95</f>
        <v>New Business</v>
      </c>
      <c r="E135" s="36" t="n">
        <f aca="false">'Bookings Detail'!K95</f>
        <v>9000</v>
      </c>
      <c r="F135" s="37" t="n">
        <f aca="false">AVERAGEIFS('Bookings Detail'!$K$5:$K$274,'Bookings Detail'!$B$5:$B$274,C135,'Bookings Detail'!$H$5:$H$274,D135)</f>
        <v>34444.4444444444</v>
      </c>
      <c r="G135" s="89" t="n">
        <f aca="false">IFERROR(E135/F135,0)</f>
        <v>0.261290322580645</v>
      </c>
      <c r="H135" s="35" t="str">
        <f aca="false">IF(G135&gt;=2.5,"Outlier — 2.5x+ rep's typical deal size for this type","")</f>
        <v/>
      </c>
    </row>
    <row r="136" customFormat="false" ht="15" hidden="false" customHeight="false" outlineLevel="0" collapsed="false">
      <c r="B136" s="40" t="str">
        <f aca="false">'Bookings Detail'!A96</f>
        <v>D00167</v>
      </c>
      <c r="C136" s="40" t="str">
        <f aca="false">'Bookings Detail'!B96</f>
        <v>R009</v>
      </c>
      <c r="D136" s="40" t="str">
        <f aca="false">'Bookings Detail'!H96</f>
        <v>Renewal</v>
      </c>
      <c r="E136" s="42" t="n">
        <f aca="false">'Bookings Detail'!K96</f>
        <v>37000</v>
      </c>
      <c r="F136" s="43" t="n">
        <f aca="false">AVERAGEIFS('Bookings Detail'!$K$5:$K$274,'Bookings Detail'!$B$5:$B$274,C136,'Bookings Detail'!$H$5:$H$274,D136)</f>
        <v>29600</v>
      </c>
      <c r="G136" s="90" t="n">
        <f aca="false">IFERROR(E136/F136,0)</f>
        <v>1.25</v>
      </c>
      <c r="H136" s="41" t="str">
        <f aca="false">IF(G136&gt;=2.5,"Outlier — 2.5x+ rep's typical deal size for this type","")</f>
        <v/>
      </c>
    </row>
    <row r="137" customFormat="false" ht="15" hidden="false" customHeight="false" outlineLevel="0" collapsed="false">
      <c r="B137" s="34" t="str">
        <f aca="false">'Bookings Detail'!A97</f>
        <v>D00185</v>
      </c>
      <c r="C137" s="34" t="str">
        <f aca="false">'Bookings Detail'!B97</f>
        <v>R010</v>
      </c>
      <c r="D137" s="34" t="str">
        <f aca="false">'Bookings Detail'!H97</f>
        <v>Renewal</v>
      </c>
      <c r="E137" s="36" t="n">
        <f aca="false">'Bookings Detail'!K97</f>
        <v>22000</v>
      </c>
      <c r="F137" s="37" t="n">
        <f aca="false">AVERAGEIFS('Bookings Detail'!$K$5:$K$274,'Bookings Detail'!$B$5:$B$274,C137,'Bookings Detail'!$H$5:$H$274,D137)</f>
        <v>51642.8571428571</v>
      </c>
      <c r="G137" s="89" t="n">
        <f aca="false">IFERROR(E137/F137,0)</f>
        <v>0.426002766251729</v>
      </c>
      <c r="H137" s="35" t="str">
        <f aca="false">IF(G137&gt;=2.5,"Outlier — 2.5x+ rep's typical deal size for this type","")</f>
        <v/>
      </c>
    </row>
    <row r="138" customFormat="false" ht="15" hidden="false" customHeight="false" outlineLevel="0" collapsed="false">
      <c r="B138" s="40" t="str">
        <f aca="false">'Bookings Detail'!A98</f>
        <v>D00187</v>
      </c>
      <c r="C138" s="40" t="str">
        <f aca="false">'Bookings Detail'!B98</f>
        <v>R010</v>
      </c>
      <c r="D138" s="40" t="str">
        <f aca="false">'Bookings Detail'!H98</f>
        <v>Renewal</v>
      </c>
      <c r="E138" s="42" t="n">
        <f aca="false">'Bookings Detail'!K98</f>
        <v>114500</v>
      </c>
      <c r="F138" s="43" t="n">
        <f aca="false">AVERAGEIFS('Bookings Detail'!$K$5:$K$274,'Bookings Detail'!$B$5:$B$274,C138,'Bookings Detail'!$H$5:$H$274,D138)</f>
        <v>51642.8571428571</v>
      </c>
      <c r="G138" s="90" t="n">
        <f aca="false">IFERROR(E138/F138,0)</f>
        <v>2.21715076071923</v>
      </c>
      <c r="H138" s="41" t="str">
        <f aca="false">IF(G138&gt;=2.5,"Outlier — 2.5x+ rep's typical deal size for this type","")</f>
        <v/>
      </c>
    </row>
    <row r="139" customFormat="false" ht="15" hidden="false" customHeight="false" outlineLevel="0" collapsed="false">
      <c r="B139" s="34" t="str">
        <f aca="false">'Bookings Detail'!A99</f>
        <v>D00218</v>
      </c>
      <c r="C139" s="34" t="str">
        <f aca="false">'Bookings Detail'!B99</f>
        <v>R012</v>
      </c>
      <c r="D139" s="34" t="str">
        <f aca="false">'Bookings Detail'!H99</f>
        <v>New Business</v>
      </c>
      <c r="E139" s="36" t="n">
        <f aca="false">'Bookings Detail'!K99</f>
        <v>223500</v>
      </c>
      <c r="F139" s="37" t="n">
        <f aca="false">AVERAGEIFS('Bookings Detail'!$K$5:$K$274,'Bookings Detail'!$B$5:$B$274,C139,'Bookings Detail'!$H$5:$H$274,D139)</f>
        <v>147500</v>
      </c>
      <c r="G139" s="89" t="n">
        <f aca="false">IFERROR(E139/F139,0)</f>
        <v>1.51525423728814</v>
      </c>
      <c r="H139" s="35" t="str">
        <f aca="false">IF(G139&gt;=2.5,"Outlier — 2.5x+ rep's typical deal size for this type","")</f>
        <v/>
      </c>
    </row>
    <row r="140" customFormat="false" ht="15" hidden="false" customHeight="false" outlineLevel="0" collapsed="false">
      <c r="B140" s="40" t="str">
        <f aca="false">'Bookings Detail'!A100</f>
        <v>D00146</v>
      </c>
      <c r="C140" s="40" t="str">
        <f aca="false">'Bookings Detail'!B100</f>
        <v>R008</v>
      </c>
      <c r="D140" s="40" t="str">
        <f aca="false">'Bookings Detail'!H100</f>
        <v>Upsell</v>
      </c>
      <c r="E140" s="42" t="n">
        <f aca="false">'Bookings Detail'!K100</f>
        <v>12000</v>
      </c>
      <c r="F140" s="43" t="n">
        <f aca="false">AVERAGEIFS('Bookings Detail'!$K$5:$K$274,'Bookings Detail'!$B$5:$B$274,C140,'Bookings Detail'!$H$5:$H$274,D140)</f>
        <v>20250</v>
      </c>
      <c r="G140" s="90" t="n">
        <f aca="false">IFERROR(E140/F140,0)</f>
        <v>0.592592592592593</v>
      </c>
      <c r="H140" s="41" t="str">
        <f aca="false">IF(G140&gt;=2.5,"Outlier — 2.5x+ rep's typical deal size for this type","")</f>
        <v/>
      </c>
    </row>
    <row r="141" customFormat="false" ht="15" hidden="false" customHeight="false" outlineLevel="0" collapsed="false">
      <c r="B141" s="34" t="str">
        <f aca="false">'Bookings Detail'!A101</f>
        <v>D00028</v>
      </c>
      <c r="C141" s="34" t="str">
        <f aca="false">'Bookings Detail'!B101</f>
        <v>R002</v>
      </c>
      <c r="D141" s="34" t="str">
        <f aca="false">'Bookings Detail'!H101</f>
        <v>New Business</v>
      </c>
      <c r="E141" s="36" t="n">
        <f aca="false">'Bookings Detail'!K101</f>
        <v>36500</v>
      </c>
      <c r="F141" s="37" t="n">
        <f aca="false">AVERAGEIFS('Bookings Detail'!$K$5:$K$274,'Bookings Detail'!$B$5:$B$274,C141,'Bookings Detail'!$H$5:$H$274,D141)</f>
        <v>39312.5</v>
      </c>
      <c r="G141" s="89" t="n">
        <f aca="false">IFERROR(E141/F141,0)</f>
        <v>0.92845786963434</v>
      </c>
      <c r="H141" s="35" t="str">
        <f aca="false">IF(G141&gt;=2.5,"Outlier — 2.5x+ rep's typical deal size for this type","")</f>
        <v/>
      </c>
    </row>
    <row r="142" customFormat="false" ht="15" hidden="false" customHeight="false" outlineLevel="0" collapsed="false">
      <c r="B142" s="40" t="str">
        <f aca="false">'Bookings Detail'!A102</f>
        <v>D00088</v>
      </c>
      <c r="C142" s="40" t="str">
        <f aca="false">'Bookings Detail'!B102</f>
        <v>R005</v>
      </c>
      <c r="D142" s="40" t="str">
        <f aca="false">'Bookings Detail'!H102</f>
        <v>Upsell</v>
      </c>
      <c r="E142" s="42" t="n">
        <f aca="false">'Bookings Detail'!K102</f>
        <v>21500</v>
      </c>
      <c r="F142" s="43" t="n">
        <f aca="false">AVERAGEIFS('Bookings Detail'!$K$5:$K$274,'Bookings Detail'!$B$5:$B$274,C142,'Bookings Detail'!$H$5:$H$274,D142)</f>
        <v>18750</v>
      </c>
      <c r="G142" s="90" t="n">
        <f aca="false">IFERROR(E142/F142,0)</f>
        <v>1.14666666666667</v>
      </c>
      <c r="H142" s="41" t="str">
        <f aca="false">IF(G142&gt;=2.5,"Outlier — 2.5x+ rep's typical deal size for this type","")</f>
        <v/>
      </c>
    </row>
    <row r="143" customFormat="false" ht="15" hidden="false" customHeight="false" outlineLevel="0" collapsed="false">
      <c r="B143" s="34" t="str">
        <f aca="false">'Bookings Detail'!A103</f>
        <v>D00072</v>
      </c>
      <c r="C143" s="34" t="str">
        <f aca="false">'Bookings Detail'!B103</f>
        <v>R004</v>
      </c>
      <c r="D143" s="34" t="str">
        <f aca="false">'Bookings Detail'!H103</f>
        <v>Renewal</v>
      </c>
      <c r="E143" s="36" t="n">
        <f aca="false">'Bookings Detail'!K103</f>
        <v>14000</v>
      </c>
      <c r="F143" s="37" t="n">
        <f aca="false">AVERAGEIFS('Bookings Detail'!$K$5:$K$274,'Bookings Detail'!$B$5:$B$274,C143,'Bookings Detail'!$H$5:$H$274,D143)</f>
        <v>26250</v>
      </c>
      <c r="G143" s="89" t="n">
        <f aca="false">IFERROR(E143/F143,0)</f>
        <v>0.533333333333333</v>
      </c>
      <c r="H143" s="35" t="str">
        <f aca="false">IF(G143&gt;=2.5,"Outlier — 2.5x+ rep's typical deal size for this type","")</f>
        <v/>
      </c>
    </row>
    <row r="144" customFormat="false" ht="15" hidden="false" customHeight="false" outlineLevel="0" collapsed="false">
      <c r="B144" s="40" t="str">
        <f aca="false">'Bookings Detail'!A104</f>
        <v>D00064</v>
      </c>
      <c r="C144" s="40" t="str">
        <f aca="false">'Bookings Detail'!B104</f>
        <v>R004</v>
      </c>
      <c r="D144" s="40" t="str">
        <f aca="false">'Bookings Detail'!H104</f>
        <v>New Business</v>
      </c>
      <c r="E144" s="42" t="n">
        <f aca="false">'Bookings Detail'!K104</f>
        <v>49500</v>
      </c>
      <c r="F144" s="43" t="n">
        <f aca="false">AVERAGEIFS('Bookings Detail'!$K$5:$K$274,'Bookings Detail'!$B$5:$B$274,C144,'Bookings Detail'!$H$5:$H$274,D144)</f>
        <v>31785.7142857143</v>
      </c>
      <c r="G144" s="90" t="n">
        <f aca="false">IFERROR(E144/F144,0)</f>
        <v>1.55730337078652</v>
      </c>
      <c r="H144" s="41" t="str">
        <f aca="false">IF(G144&gt;=2.5,"Outlier — 2.5x+ rep's typical deal size for this type","")</f>
        <v/>
      </c>
    </row>
    <row r="145" customFormat="false" ht="15" hidden="false" customHeight="false" outlineLevel="0" collapsed="false">
      <c r="B145" s="34" t="str">
        <f aca="false">'Bookings Detail'!A105</f>
        <v>D00083</v>
      </c>
      <c r="C145" s="34" t="str">
        <f aca="false">'Bookings Detail'!B105</f>
        <v>R005</v>
      </c>
      <c r="D145" s="34" t="str">
        <f aca="false">'Bookings Detail'!H105</f>
        <v>New Business</v>
      </c>
      <c r="E145" s="36" t="n">
        <f aca="false">'Bookings Detail'!K105</f>
        <v>97000</v>
      </c>
      <c r="F145" s="37" t="n">
        <f aca="false">AVERAGEIFS('Bookings Detail'!$K$5:$K$274,'Bookings Detail'!$B$5:$B$274,C145,'Bookings Detail'!$H$5:$H$274,D145)</f>
        <v>34444.4444444444</v>
      </c>
      <c r="G145" s="89" t="n">
        <f aca="false">IFERROR(E145/F145,0)</f>
        <v>2.81612903225806</v>
      </c>
      <c r="H145" s="35" t="str">
        <f aca="false">IF(G145&gt;=2.5,"Outlier — 2.5x+ rep's typical deal size for this type","")</f>
        <v>Outlier — 2.5x+ rep's typical deal size for this type</v>
      </c>
    </row>
    <row r="146" customFormat="false" ht="15" hidden="false" customHeight="false" outlineLevel="0" collapsed="false">
      <c r="B146" s="40" t="str">
        <f aca="false">'Bookings Detail'!A106</f>
        <v>D00007</v>
      </c>
      <c r="C146" s="40" t="str">
        <f aca="false">'Bookings Detail'!B106</f>
        <v>R001</v>
      </c>
      <c r="D146" s="40" t="str">
        <f aca="false">'Bookings Detail'!H106</f>
        <v>Upsell</v>
      </c>
      <c r="E146" s="42" t="n">
        <f aca="false">'Bookings Detail'!K106</f>
        <v>22500</v>
      </c>
      <c r="F146" s="43" t="n">
        <f aca="false">AVERAGEIFS('Bookings Detail'!$K$5:$K$274,'Bookings Detail'!$B$5:$B$274,C146,'Bookings Detail'!$H$5:$H$274,D146)</f>
        <v>22916.6666666667</v>
      </c>
      <c r="G146" s="90" t="n">
        <f aca="false">IFERROR(E146/F146,0)</f>
        <v>0.981818181818182</v>
      </c>
      <c r="H146" s="41" t="str">
        <f aca="false">IF(G146&gt;=2.5,"Outlier — 2.5x+ rep's typical deal size for this type","")</f>
        <v/>
      </c>
    </row>
    <row r="147" customFormat="false" ht="15" hidden="false" customHeight="false" outlineLevel="0" collapsed="false">
      <c r="B147" s="34" t="str">
        <f aca="false">'Bookings Detail'!A107</f>
        <v>D00163</v>
      </c>
      <c r="C147" s="34" t="str">
        <f aca="false">'Bookings Detail'!B107</f>
        <v>R009</v>
      </c>
      <c r="D147" s="34" t="str">
        <f aca="false">'Bookings Detail'!H107</f>
        <v>New Business</v>
      </c>
      <c r="E147" s="36" t="n">
        <f aca="false">'Bookings Detail'!K107</f>
        <v>67000</v>
      </c>
      <c r="F147" s="37" t="n">
        <f aca="false">AVERAGEIFS('Bookings Detail'!$K$5:$K$274,'Bookings Detail'!$B$5:$B$274,C147,'Bookings Detail'!$H$5:$H$274,D147)</f>
        <v>86500</v>
      </c>
      <c r="G147" s="89" t="n">
        <f aca="false">IFERROR(E147/F147,0)</f>
        <v>0.774566473988439</v>
      </c>
      <c r="H147" s="35" t="str">
        <f aca="false">IF(G147&gt;=2.5,"Outlier — 2.5x+ rep's typical deal size for this type","")</f>
        <v/>
      </c>
    </row>
    <row r="148" customFormat="false" ht="15" hidden="false" customHeight="false" outlineLevel="0" collapsed="false">
      <c r="B148" s="40" t="str">
        <f aca="false">'Bookings Detail'!A108</f>
        <v>D00215</v>
      </c>
      <c r="C148" s="40" t="str">
        <f aca="false">'Bookings Detail'!B108</f>
        <v>R012</v>
      </c>
      <c r="D148" s="40" t="str">
        <f aca="false">'Bookings Detail'!H108</f>
        <v>New Business</v>
      </c>
      <c r="E148" s="42" t="n">
        <f aca="false">'Bookings Detail'!K108</f>
        <v>50500</v>
      </c>
      <c r="F148" s="43" t="n">
        <f aca="false">AVERAGEIFS('Bookings Detail'!$K$5:$K$274,'Bookings Detail'!$B$5:$B$274,C148,'Bookings Detail'!$H$5:$H$274,D148)</f>
        <v>147500</v>
      </c>
      <c r="G148" s="90" t="n">
        <f aca="false">IFERROR(E148/F148,0)</f>
        <v>0.342372881355932</v>
      </c>
      <c r="H148" s="41" t="str">
        <f aca="false">IF(G148&gt;=2.5,"Outlier — 2.5x+ rep's typical deal size for this type","")</f>
        <v/>
      </c>
    </row>
    <row r="149" customFormat="false" ht="15" hidden="false" customHeight="false" outlineLevel="0" collapsed="false">
      <c r="B149" s="34" t="str">
        <f aca="false">'Bookings Detail'!A109</f>
        <v>D00249</v>
      </c>
      <c r="C149" s="34" t="str">
        <f aca="false">'Bookings Detail'!B109</f>
        <v>R014</v>
      </c>
      <c r="D149" s="34" t="str">
        <f aca="false">'Bookings Detail'!H109</f>
        <v>Renewal</v>
      </c>
      <c r="E149" s="36" t="n">
        <f aca="false">'Bookings Detail'!K109</f>
        <v>129500</v>
      </c>
      <c r="F149" s="37" t="n">
        <f aca="false">AVERAGEIFS('Bookings Detail'!$K$5:$K$274,'Bookings Detail'!$B$5:$B$274,C149,'Bookings Detail'!$H$5:$H$274,D149)</f>
        <v>60357.1428571429</v>
      </c>
      <c r="G149" s="89" t="n">
        <f aca="false">IFERROR(E149/F149,0)</f>
        <v>2.14556213017752</v>
      </c>
      <c r="H149" s="35" t="str">
        <f aca="false">IF(G149&gt;=2.5,"Outlier — 2.5x+ rep's typical deal size for this type","")</f>
        <v/>
      </c>
    </row>
    <row r="150" customFormat="false" ht="15" hidden="false" customHeight="false" outlineLevel="0" collapsed="false">
      <c r="B150" s="40" t="str">
        <f aca="false">'Bookings Detail'!A110</f>
        <v>D00112</v>
      </c>
      <c r="C150" s="40" t="str">
        <f aca="false">'Bookings Detail'!B110</f>
        <v>R006</v>
      </c>
      <c r="D150" s="40" t="str">
        <f aca="false">'Bookings Detail'!H110</f>
        <v>Renewal</v>
      </c>
      <c r="E150" s="42" t="n">
        <f aca="false">'Bookings Detail'!K110</f>
        <v>2000</v>
      </c>
      <c r="F150" s="43" t="n">
        <f aca="false">AVERAGEIFS('Bookings Detail'!$K$5:$K$274,'Bookings Detail'!$B$5:$B$274,C150,'Bookings Detail'!$H$5:$H$274,D150)</f>
        <v>20277.7777777778</v>
      </c>
      <c r="G150" s="90" t="n">
        <f aca="false">IFERROR(E150/F150,0)</f>
        <v>0.0986301369863014</v>
      </c>
      <c r="H150" s="41" t="str">
        <f aca="false">IF(G150&gt;=2.5,"Outlier — 2.5x+ rep's typical deal size for this type","")</f>
        <v/>
      </c>
    </row>
    <row r="151" customFormat="false" ht="15" hidden="false" customHeight="false" outlineLevel="0" collapsed="false">
      <c r="B151" s="34" t="str">
        <f aca="false">'Bookings Detail'!A111</f>
        <v>D00202</v>
      </c>
      <c r="C151" s="34" t="str">
        <f aca="false">'Bookings Detail'!B111</f>
        <v>R011</v>
      </c>
      <c r="D151" s="34" t="str">
        <f aca="false">'Bookings Detail'!H111</f>
        <v>Renewal</v>
      </c>
      <c r="E151" s="36" t="n">
        <f aca="false">'Bookings Detail'!K111</f>
        <v>15000</v>
      </c>
      <c r="F151" s="37" t="n">
        <f aca="false">AVERAGEIFS('Bookings Detail'!$K$5:$K$274,'Bookings Detail'!$B$5:$B$274,C151,'Bookings Detail'!$H$5:$H$274,D151)</f>
        <v>24142.8571428571</v>
      </c>
      <c r="G151" s="89" t="n">
        <f aca="false">IFERROR(E151/F151,0)</f>
        <v>0.621301775147929</v>
      </c>
      <c r="H151" s="35" t="str">
        <f aca="false">IF(G151&gt;=2.5,"Outlier — 2.5x+ rep's typical deal size for this type","")</f>
        <v/>
      </c>
    </row>
    <row r="152" customFormat="false" ht="15" hidden="false" customHeight="false" outlineLevel="0" collapsed="false">
      <c r="B152" s="40" t="str">
        <f aca="false">'Bookings Detail'!A112</f>
        <v>D00013</v>
      </c>
      <c r="C152" s="40" t="str">
        <f aca="false">'Bookings Detail'!B112</f>
        <v>R001</v>
      </c>
      <c r="D152" s="40" t="str">
        <f aca="false">'Bookings Detail'!H112</f>
        <v>Renewal</v>
      </c>
      <c r="E152" s="42" t="n">
        <f aca="false">'Bookings Detail'!K112</f>
        <v>17500</v>
      </c>
      <c r="F152" s="43" t="n">
        <f aca="false">AVERAGEIFS('Bookings Detail'!$K$5:$K$274,'Bookings Detail'!$B$5:$B$274,C152,'Bookings Detail'!$H$5:$H$274,D152)</f>
        <v>19187.5</v>
      </c>
      <c r="G152" s="90" t="n">
        <f aca="false">IFERROR(E152/F152,0)</f>
        <v>0.912052117263844</v>
      </c>
      <c r="H152" s="41" t="str">
        <f aca="false">IF(G152&gt;=2.5,"Outlier — 2.5x+ rep's typical deal size for this type","")</f>
        <v/>
      </c>
    </row>
    <row r="153" customFormat="false" ht="15" hidden="false" customHeight="false" outlineLevel="0" collapsed="false">
      <c r="B153" s="34" t="str">
        <f aca="false">'Bookings Detail'!A113</f>
        <v>D00223</v>
      </c>
      <c r="C153" s="34" t="str">
        <f aca="false">'Bookings Detail'!B113</f>
        <v>R012</v>
      </c>
      <c r="D153" s="34" t="str">
        <f aca="false">'Bookings Detail'!H113</f>
        <v>Renewal</v>
      </c>
      <c r="E153" s="36" t="n">
        <f aca="false">'Bookings Detail'!K113</f>
        <v>42500</v>
      </c>
      <c r="F153" s="37" t="n">
        <f aca="false">AVERAGEIFS('Bookings Detail'!$K$5:$K$274,'Bookings Detail'!$B$5:$B$274,C153,'Bookings Detail'!$H$5:$H$274,D153)</f>
        <v>25700</v>
      </c>
      <c r="G153" s="89" t="n">
        <f aca="false">IFERROR(E153/F153,0)</f>
        <v>1.65369649805447</v>
      </c>
      <c r="H153" s="35" t="str">
        <f aca="false">IF(G153&gt;=2.5,"Outlier — 2.5x+ rep's typical deal size for this type","")</f>
        <v/>
      </c>
    </row>
    <row r="154" customFormat="false" ht="15" hidden="false" customHeight="false" outlineLevel="0" collapsed="false">
      <c r="B154" s="40" t="str">
        <f aca="false">'Bookings Detail'!A114</f>
        <v>D00236</v>
      </c>
      <c r="C154" s="40" t="str">
        <f aca="false">'Bookings Detail'!B114</f>
        <v>R013</v>
      </c>
      <c r="D154" s="40" t="str">
        <f aca="false">'Bookings Detail'!H114</f>
        <v>Renewal</v>
      </c>
      <c r="E154" s="42" t="n">
        <f aca="false">'Bookings Detail'!K114</f>
        <v>65500</v>
      </c>
      <c r="F154" s="43" t="n">
        <f aca="false">AVERAGEIFS('Bookings Detail'!$K$5:$K$274,'Bookings Detail'!$B$5:$B$274,C154,'Bookings Detail'!$H$5:$H$274,D154)</f>
        <v>94750</v>
      </c>
      <c r="G154" s="90" t="n">
        <f aca="false">IFERROR(E154/F154,0)</f>
        <v>0.691292875989446</v>
      </c>
      <c r="H154" s="41" t="str">
        <f aca="false">IF(G154&gt;=2.5,"Outlier — 2.5x+ rep's typical deal size for this type","")</f>
        <v/>
      </c>
    </row>
    <row r="155" customFormat="false" ht="15" hidden="false" customHeight="false" outlineLevel="0" collapsed="false">
      <c r="B155" s="34" t="str">
        <f aca="false">'Bookings Detail'!A115</f>
        <v>D00221</v>
      </c>
      <c r="C155" s="34" t="str">
        <f aca="false">'Bookings Detail'!B115</f>
        <v>R012</v>
      </c>
      <c r="D155" s="34" t="str">
        <f aca="false">'Bookings Detail'!H115</f>
        <v>Upsell</v>
      </c>
      <c r="E155" s="36" t="n">
        <f aca="false">'Bookings Detail'!K115</f>
        <v>26500</v>
      </c>
      <c r="F155" s="37" t="n">
        <f aca="false">AVERAGEIFS('Bookings Detail'!$K$5:$K$274,'Bookings Detail'!$B$5:$B$274,C155,'Bookings Detail'!$H$5:$H$274,D155)</f>
        <v>19300</v>
      </c>
      <c r="G155" s="89" t="n">
        <f aca="false">IFERROR(E155/F155,0)</f>
        <v>1.37305699481865</v>
      </c>
      <c r="H155" s="35" t="str">
        <f aca="false">IF(G155&gt;=2.5,"Outlier — 2.5x+ rep's typical deal size for this type","")</f>
        <v/>
      </c>
    </row>
    <row r="156" customFormat="false" ht="15" hidden="false" customHeight="false" outlineLevel="0" collapsed="false">
      <c r="B156" s="40" t="str">
        <f aca="false">'Bookings Detail'!A116</f>
        <v>D00106</v>
      </c>
      <c r="C156" s="40" t="str">
        <f aca="false">'Bookings Detail'!B116</f>
        <v>R006</v>
      </c>
      <c r="D156" s="40" t="str">
        <f aca="false">'Bookings Detail'!H116</f>
        <v>New Business</v>
      </c>
      <c r="E156" s="42" t="n">
        <f aca="false">'Bookings Detail'!K116</f>
        <v>80500</v>
      </c>
      <c r="F156" s="43" t="n">
        <f aca="false">AVERAGEIFS('Bookings Detail'!$K$5:$K$274,'Bookings Detail'!$B$5:$B$274,C156,'Bookings Detail'!$H$5:$H$274,D156)</f>
        <v>37450</v>
      </c>
      <c r="G156" s="90" t="n">
        <f aca="false">IFERROR(E156/F156,0)</f>
        <v>2.14953271028037</v>
      </c>
      <c r="H156" s="41" t="str">
        <f aca="false">IF(G156&gt;=2.5,"Outlier — 2.5x+ rep's typical deal size for this type","")</f>
        <v/>
      </c>
    </row>
    <row r="157" customFormat="false" ht="15" hidden="false" customHeight="false" outlineLevel="0" collapsed="false">
      <c r="B157" s="34" t="str">
        <f aca="false">'Bookings Detail'!A117</f>
        <v>D00179</v>
      </c>
      <c r="C157" s="34" t="str">
        <f aca="false">'Bookings Detail'!B117</f>
        <v>R010</v>
      </c>
      <c r="D157" s="34" t="str">
        <f aca="false">'Bookings Detail'!H117</f>
        <v>New Business</v>
      </c>
      <c r="E157" s="36" t="n">
        <f aca="false">'Bookings Detail'!K117</f>
        <v>90500</v>
      </c>
      <c r="F157" s="37" t="n">
        <f aca="false">AVERAGEIFS('Bookings Detail'!$K$5:$K$274,'Bookings Detail'!$B$5:$B$274,C157,'Bookings Detail'!$H$5:$H$274,D157)</f>
        <v>96333.3333333333</v>
      </c>
      <c r="G157" s="89" t="n">
        <f aca="false">IFERROR(E157/F157,0)</f>
        <v>0.939446366782007</v>
      </c>
      <c r="H157" s="35" t="str">
        <f aca="false">IF(G157&gt;=2.5,"Outlier — 2.5x+ rep's typical deal size for this type","")</f>
        <v/>
      </c>
    </row>
    <row r="158" customFormat="false" ht="15" hidden="false" customHeight="false" outlineLevel="0" collapsed="false">
      <c r="B158" s="40" t="str">
        <f aca="false">'Bookings Detail'!A118</f>
        <v>D00005</v>
      </c>
      <c r="C158" s="40" t="str">
        <f aca="false">'Bookings Detail'!B118</f>
        <v>R001</v>
      </c>
      <c r="D158" s="40" t="str">
        <f aca="false">'Bookings Detail'!H118</f>
        <v>New Business</v>
      </c>
      <c r="E158" s="42" t="n">
        <f aca="false">'Bookings Detail'!K118</f>
        <v>3000</v>
      </c>
      <c r="F158" s="43" t="n">
        <f aca="false">AVERAGEIFS('Bookings Detail'!$K$5:$K$274,'Bookings Detail'!$B$5:$B$274,C158,'Bookings Detail'!$H$5:$H$274,D158)</f>
        <v>25550</v>
      </c>
      <c r="G158" s="90" t="n">
        <f aca="false">IFERROR(E158/F158,0)</f>
        <v>0.117416829745597</v>
      </c>
      <c r="H158" s="41" t="str">
        <f aca="false">IF(G158&gt;=2.5,"Outlier — 2.5x+ rep's typical deal size for this type","")</f>
        <v/>
      </c>
    </row>
    <row r="159" customFormat="false" ht="15" hidden="false" customHeight="false" outlineLevel="0" collapsed="false">
      <c r="B159" s="34" t="str">
        <f aca="false">'Bookings Detail'!A119</f>
        <v>D00068</v>
      </c>
      <c r="C159" s="34" t="str">
        <f aca="false">'Bookings Detail'!B119</f>
        <v>R004</v>
      </c>
      <c r="D159" s="34" t="str">
        <f aca="false">'Bookings Detail'!H119</f>
        <v>New Business</v>
      </c>
      <c r="E159" s="36" t="n">
        <f aca="false">'Bookings Detail'!K119</f>
        <v>17000</v>
      </c>
      <c r="F159" s="37" t="n">
        <f aca="false">AVERAGEIFS('Bookings Detail'!$K$5:$K$274,'Bookings Detail'!$B$5:$B$274,C159,'Bookings Detail'!$H$5:$H$274,D159)</f>
        <v>31785.7142857143</v>
      </c>
      <c r="G159" s="89" t="n">
        <f aca="false">IFERROR(E159/F159,0)</f>
        <v>0.534831460674157</v>
      </c>
      <c r="H159" s="35" t="str">
        <f aca="false">IF(G159&gt;=2.5,"Outlier — 2.5x+ rep's typical deal size for this type","")</f>
        <v/>
      </c>
    </row>
    <row r="160" customFormat="false" ht="15" hidden="false" customHeight="false" outlineLevel="0" collapsed="false">
      <c r="B160" s="40" t="str">
        <f aca="false">'Bookings Detail'!A120</f>
        <v>D00026</v>
      </c>
      <c r="C160" s="40" t="str">
        <f aca="false">'Bookings Detail'!B120</f>
        <v>R002</v>
      </c>
      <c r="D160" s="40" t="str">
        <f aca="false">'Bookings Detail'!H120</f>
        <v>New Business</v>
      </c>
      <c r="E160" s="42" t="n">
        <f aca="false">'Bookings Detail'!K120</f>
        <v>43500</v>
      </c>
      <c r="F160" s="43" t="n">
        <f aca="false">AVERAGEIFS('Bookings Detail'!$K$5:$K$274,'Bookings Detail'!$B$5:$B$274,C160,'Bookings Detail'!$H$5:$H$274,D160)</f>
        <v>39312.5</v>
      </c>
      <c r="G160" s="90" t="n">
        <f aca="false">IFERROR(E160/F160,0)</f>
        <v>1.10651828298887</v>
      </c>
      <c r="H160" s="41" t="str">
        <f aca="false">IF(G160&gt;=2.5,"Outlier — 2.5x+ rep's typical deal size for this type","")</f>
        <v/>
      </c>
    </row>
    <row r="161" customFormat="false" ht="15" hidden="false" customHeight="false" outlineLevel="0" collapsed="false">
      <c r="B161" s="34" t="str">
        <f aca="false">'Bookings Detail'!A121</f>
        <v>D00195</v>
      </c>
      <c r="C161" s="34" t="str">
        <f aca="false">'Bookings Detail'!B121</f>
        <v>R011</v>
      </c>
      <c r="D161" s="34" t="str">
        <f aca="false">'Bookings Detail'!H121</f>
        <v>New Business</v>
      </c>
      <c r="E161" s="36" t="n">
        <f aca="false">'Bookings Detail'!K121</f>
        <v>33000</v>
      </c>
      <c r="F161" s="37" t="n">
        <f aca="false">AVERAGEIFS('Bookings Detail'!$K$5:$K$274,'Bookings Detail'!$B$5:$B$274,C161,'Bookings Detail'!$H$5:$H$274,D161)</f>
        <v>70062.5</v>
      </c>
      <c r="G161" s="89" t="n">
        <f aca="false">IFERROR(E161/F161,0)</f>
        <v>0.471008028545941</v>
      </c>
      <c r="H161" s="35" t="str">
        <f aca="false">IF(G161&gt;=2.5,"Outlier — 2.5x+ rep's typical deal size for this type","")</f>
        <v/>
      </c>
    </row>
    <row r="162" customFormat="false" ht="15" hidden="false" customHeight="false" outlineLevel="0" collapsed="false">
      <c r="B162" s="40" t="str">
        <f aca="false">'Bookings Detail'!A122</f>
        <v>D00166</v>
      </c>
      <c r="C162" s="40" t="str">
        <f aca="false">'Bookings Detail'!B122</f>
        <v>R009</v>
      </c>
      <c r="D162" s="40" t="str">
        <f aca="false">'Bookings Detail'!H122</f>
        <v>Renewal</v>
      </c>
      <c r="E162" s="42" t="n">
        <f aca="false">'Bookings Detail'!K122</f>
        <v>33500</v>
      </c>
      <c r="F162" s="43" t="n">
        <f aca="false">AVERAGEIFS('Bookings Detail'!$K$5:$K$274,'Bookings Detail'!$B$5:$B$274,C162,'Bookings Detail'!$H$5:$H$274,D162)</f>
        <v>29600</v>
      </c>
      <c r="G162" s="90" t="n">
        <f aca="false">IFERROR(E162/F162,0)</f>
        <v>1.13175675675676</v>
      </c>
      <c r="H162" s="41" t="str">
        <f aca="false">IF(G162&gt;=2.5,"Outlier — 2.5x+ rep's typical deal size for this type","")</f>
        <v/>
      </c>
    </row>
    <row r="163" customFormat="false" ht="15" hidden="false" customHeight="false" outlineLevel="0" collapsed="false">
      <c r="B163" s="34" t="str">
        <f aca="false">'Bookings Detail'!A123</f>
        <v>D00113</v>
      </c>
      <c r="C163" s="34" t="str">
        <f aca="false">'Bookings Detail'!B123</f>
        <v>R006</v>
      </c>
      <c r="D163" s="34" t="str">
        <f aca="false">'Bookings Detail'!H123</f>
        <v>Renewal</v>
      </c>
      <c r="E163" s="36" t="n">
        <f aca="false">'Bookings Detail'!K123</f>
        <v>47000</v>
      </c>
      <c r="F163" s="37" t="n">
        <f aca="false">AVERAGEIFS('Bookings Detail'!$K$5:$K$274,'Bookings Detail'!$B$5:$B$274,C163,'Bookings Detail'!$H$5:$H$274,D163)</f>
        <v>20277.7777777778</v>
      </c>
      <c r="G163" s="89" t="n">
        <f aca="false">IFERROR(E163/F163,0)</f>
        <v>2.31780821917808</v>
      </c>
      <c r="H163" s="35" t="str">
        <f aca="false">IF(G163&gt;=2.5,"Outlier — 2.5x+ rep's typical deal size for this type","")</f>
        <v/>
      </c>
    </row>
    <row r="164" customFormat="false" ht="15" hidden="false" customHeight="false" outlineLevel="0" collapsed="false">
      <c r="B164" s="40" t="str">
        <f aca="false">'Bookings Detail'!A124</f>
        <v>D00245</v>
      </c>
      <c r="C164" s="40" t="str">
        <f aca="false">'Bookings Detail'!B124</f>
        <v>R014</v>
      </c>
      <c r="D164" s="40" t="str">
        <f aca="false">'Bookings Detail'!H124</f>
        <v>New Business</v>
      </c>
      <c r="E164" s="42" t="n">
        <f aca="false">'Bookings Detail'!K124</f>
        <v>404000</v>
      </c>
      <c r="F164" s="43" t="n">
        <f aca="false">AVERAGEIFS('Bookings Detail'!$K$5:$K$274,'Bookings Detail'!$B$5:$B$274,C164,'Bookings Detail'!$H$5:$H$274,D164)</f>
        <v>358166.666666667</v>
      </c>
      <c r="G164" s="90" t="n">
        <f aca="false">IFERROR(E164/F164,0)</f>
        <v>1.12796649604467</v>
      </c>
      <c r="H164" s="41" t="str">
        <f aca="false">IF(G164&gt;=2.5,"Outlier — 2.5x+ rep's typical deal size for this type","")</f>
        <v/>
      </c>
    </row>
    <row r="165" customFormat="false" ht="15" hidden="false" customHeight="false" outlineLevel="0" collapsed="false">
      <c r="B165" s="34" t="str">
        <f aca="false">'Bookings Detail'!A125</f>
        <v>D00042</v>
      </c>
      <c r="C165" s="34" t="str">
        <f aca="false">'Bookings Detail'!B125</f>
        <v>R003</v>
      </c>
      <c r="D165" s="34" t="str">
        <f aca="false">'Bookings Detail'!H125</f>
        <v>New Business</v>
      </c>
      <c r="E165" s="36" t="n">
        <f aca="false">'Bookings Detail'!K125</f>
        <v>3000</v>
      </c>
      <c r="F165" s="37" t="n">
        <f aca="false">AVERAGEIFS('Bookings Detail'!$K$5:$K$274,'Bookings Detail'!$B$5:$B$274,C165,'Bookings Detail'!$H$5:$H$274,D165)</f>
        <v>33928.5714285714</v>
      </c>
      <c r="G165" s="89" t="n">
        <f aca="false">IFERROR(E165/F165,0)</f>
        <v>0.088421052631579</v>
      </c>
      <c r="H165" s="35" t="str">
        <f aca="false">IF(G165&gt;=2.5,"Outlier — 2.5x+ rep's typical deal size for this type","")</f>
        <v/>
      </c>
    </row>
    <row r="166" customFormat="false" ht="15" hidden="false" customHeight="false" outlineLevel="0" collapsed="false">
      <c r="B166" s="40" t="str">
        <f aca="false">'Bookings Detail'!A126</f>
        <v>D00049</v>
      </c>
      <c r="C166" s="40" t="str">
        <f aca="false">'Bookings Detail'!B126</f>
        <v>R003</v>
      </c>
      <c r="D166" s="40" t="str">
        <f aca="false">'Bookings Detail'!H126</f>
        <v>Renewal</v>
      </c>
      <c r="E166" s="42" t="n">
        <f aca="false">'Bookings Detail'!K126</f>
        <v>19000</v>
      </c>
      <c r="F166" s="43" t="n">
        <f aca="false">AVERAGEIFS('Bookings Detail'!$K$5:$K$274,'Bookings Detail'!$B$5:$B$274,C166,'Bookings Detail'!$H$5:$H$274,D166)</f>
        <v>17200</v>
      </c>
      <c r="G166" s="90" t="n">
        <f aca="false">IFERROR(E166/F166,0)</f>
        <v>1.1046511627907</v>
      </c>
      <c r="H166" s="41" t="str">
        <f aca="false">IF(G166&gt;=2.5,"Outlier — 2.5x+ rep's typical deal size for this type","")</f>
        <v/>
      </c>
    </row>
    <row r="167" customFormat="false" ht="15" hidden="false" customHeight="false" outlineLevel="0" collapsed="false">
      <c r="B167" s="34" t="str">
        <f aca="false">'Bookings Detail'!A127</f>
        <v>D00258</v>
      </c>
      <c r="C167" s="34" t="str">
        <f aca="false">'Bookings Detail'!B127</f>
        <v>R015</v>
      </c>
      <c r="D167" s="34" t="str">
        <f aca="false">'Bookings Detail'!H127</f>
        <v>Upsell</v>
      </c>
      <c r="E167" s="36" t="n">
        <f aca="false">'Bookings Detail'!K127</f>
        <v>128000</v>
      </c>
      <c r="F167" s="37" t="n">
        <f aca="false">AVERAGEIFS('Bookings Detail'!$K$5:$K$274,'Bookings Detail'!$B$5:$B$274,C167,'Bookings Detail'!$H$5:$H$274,D167)</f>
        <v>98333.3333333333</v>
      </c>
      <c r="G167" s="89" t="n">
        <f aca="false">IFERROR(E167/F167,0)</f>
        <v>1.30169491525424</v>
      </c>
      <c r="H167" s="35" t="str">
        <f aca="false">IF(G167&gt;=2.5,"Outlier — 2.5x+ rep's typical deal size for this type","")</f>
        <v/>
      </c>
    </row>
    <row r="168" customFormat="false" ht="15" hidden="false" customHeight="false" outlineLevel="0" collapsed="false">
      <c r="B168" s="40" t="str">
        <f aca="false">'Bookings Detail'!A128</f>
        <v>D00262</v>
      </c>
      <c r="C168" s="40" t="str">
        <f aca="false">'Bookings Detail'!B128</f>
        <v>R015</v>
      </c>
      <c r="D168" s="40" t="str">
        <f aca="false">'Bookings Detail'!H128</f>
        <v>Renewal</v>
      </c>
      <c r="E168" s="42" t="n">
        <f aca="false">'Bookings Detail'!K128</f>
        <v>24000</v>
      </c>
      <c r="F168" s="43" t="n">
        <f aca="false">AVERAGEIFS('Bookings Detail'!$K$5:$K$274,'Bookings Detail'!$B$5:$B$274,C168,'Bookings Detail'!$H$5:$H$274,D168)</f>
        <v>57611.1111111111</v>
      </c>
      <c r="G168" s="90" t="n">
        <f aca="false">IFERROR(E168/F168,0)</f>
        <v>0.416586306653809</v>
      </c>
      <c r="H168" s="41" t="str">
        <f aca="false">IF(G168&gt;=2.5,"Outlier — 2.5x+ rep's typical deal size for this type","")</f>
        <v/>
      </c>
    </row>
    <row r="169" customFormat="false" ht="15" hidden="false" customHeight="false" outlineLevel="0" collapsed="false">
      <c r="B169" s="34" t="str">
        <f aca="false">'Bookings Detail'!A129</f>
        <v>D00260</v>
      </c>
      <c r="C169" s="34" t="str">
        <f aca="false">'Bookings Detail'!B129</f>
        <v>R015</v>
      </c>
      <c r="D169" s="34" t="str">
        <f aca="false">'Bookings Detail'!H129</f>
        <v>Upsell</v>
      </c>
      <c r="E169" s="36" t="n">
        <f aca="false">'Bookings Detail'!K129</f>
        <v>80500</v>
      </c>
      <c r="F169" s="37" t="n">
        <f aca="false">AVERAGEIFS('Bookings Detail'!$K$5:$K$274,'Bookings Detail'!$B$5:$B$274,C169,'Bookings Detail'!$H$5:$H$274,D169)</f>
        <v>98333.3333333333</v>
      </c>
      <c r="G169" s="89" t="n">
        <f aca="false">IFERROR(E169/F169,0)</f>
        <v>0.81864406779661</v>
      </c>
      <c r="H169" s="35" t="str">
        <f aca="false">IF(G169&gt;=2.5,"Outlier — 2.5x+ rep's typical deal size for this type","")</f>
        <v/>
      </c>
    </row>
    <row r="170" customFormat="false" ht="15" hidden="false" customHeight="false" outlineLevel="0" collapsed="false">
      <c r="B170" s="40" t="str">
        <f aca="false">'Bookings Detail'!A130</f>
        <v>D00180</v>
      </c>
      <c r="C170" s="40" t="str">
        <f aca="false">'Bookings Detail'!B130</f>
        <v>R010</v>
      </c>
      <c r="D170" s="40" t="str">
        <f aca="false">'Bookings Detail'!H130</f>
        <v>New Business</v>
      </c>
      <c r="E170" s="42" t="n">
        <f aca="false">'Bookings Detail'!K130</f>
        <v>28000</v>
      </c>
      <c r="F170" s="43" t="n">
        <f aca="false">AVERAGEIFS('Bookings Detail'!$K$5:$K$274,'Bookings Detail'!$B$5:$B$274,C170,'Bookings Detail'!$H$5:$H$274,D170)</f>
        <v>96333.3333333333</v>
      </c>
      <c r="G170" s="90" t="n">
        <f aca="false">IFERROR(E170/F170,0)</f>
        <v>0.290657439446367</v>
      </c>
      <c r="H170" s="41" t="str">
        <f aca="false">IF(G170&gt;=2.5,"Outlier — 2.5x+ rep's typical deal size for this type","")</f>
        <v/>
      </c>
    </row>
    <row r="171" customFormat="false" ht="15" hidden="false" customHeight="false" outlineLevel="0" collapsed="false">
      <c r="B171" s="34" t="str">
        <f aca="false">'Bookings Detail'!A131</f>
        <v>D00201</v>
      </c>
      <c r="C171" s="34" t="str">
        <f aca="false">'Bookings Detail'!B131</f>
        <v>R011</v>
      </c>
      <c r="D171" s="34" t="str">
        <f aca="false">'Bookings Detail'!H131</f>
        <v>Upsell</v>
      </c>
      <c r="E171" s="36" t="n">
        <f aca="false">'Bookings Detail'!K131</f>
        <v>10000</v>
      </c>
      <c r="F171" s="37" t="n">
        <f aca="false">AVERAGEIFS('Bookings Detail'!$K$5:$K$274,'Bookings Detail'!$B$5:$B$274,C171,'Bookings Detail'!$H$5:$H$274,D171)</f>
        <v>20600</v>
      </c>
      <c r="G171" s="89" t="n">
        <f aca="false">IFERROR(E171/F171,0)</f>
        <v>0.485436893203884</v>
      </c>
      <c r="H171" s="35" t="str">
        <f aca="false">IF(G171&gt;=2.5,"Outlier — 2.5x+ rep's typical deal size for this type","")</f>
        <v/>
      </c>
    </row>
    <row r="172" customFormat="false" ht="15" hidden="false" customHeight="false" outlineLevel="0" collapsed="false">
      <c r="B172" s="40" t="str">
        <f aca="false">'Bookings Detail'!A132</f>
        <v>D00162</v>
      </c>
      <c r="C172" s="40" t="str">
        <f aca="false">'Bookings Detail'!B132</f>
        <v>R009</v>
      </c>
      <c r="D172" s="40" t="str">
        <f aca="false">'Bookings Detail'!H132</f>
        <v>New Business</v>
      </c>
      <c r="E172" s="42" t="n">
        <f aca="false">'Bookings Detail'!K132</f>
        <v>117500</v>
      </c>
      <c r="F172" s="43" t="n">
        <f aca="false">AVERAGEIFS('Bookings Detail'!$K$5:$K$274,'Bookings Detail'!$B$5:$B$274,C172,'Bookings Detail'!$H$5:$H$274,D172)</f>
        <v>86500</v>
      </c>
      <c r="G172" s="90" t="n">
        <f aca="false">IFERROR(E172/F172,0)</f>
        <v>1.35838150289017</v>
      </c>
      <c r="H172" s="41" t="str">
        <f aca="false">IF(G172&gt;=2.5,"Outlier — 2.5x+ rep's typical deal size for this type","")</f>
        <v/>
      </c>
    </row>
    <row r="173" customFormat="false" ht="15" hidden="false" customHeight="false" outlineLevel="0" collapsed="false">
      <c r="B173" s="34" t="str">
        <f aca="false">'Bookings Detail'!A133</f>
        <v>D00010</v>
      </c>
      <c r="C173" s="34" t="str">
        <f aca="false">'Bookings Detail'!B133</f>
        <v>R001</v>
      </c>
      <c r="D173" s="34" t="str">
        <f aca="false">'Bookings Detail'!H133</f>
        <v>Renewal</v>
      </c>
      <c r="E173" s="36" t="n">
        <f aca="false">'Bookings Detail'!K133</f>
        <v>17000</v>
      </c>
      <c r="F173" s="37" t="n">
        <f aca="false">AVERAGEIFS('Bookings Detail'!$K$5:$K$274,'Bookings Detail'!$B$5:$B$274,C173,'Bookings Detail'!$H$5:$H$274,D173)</f>
        <v>19187.5</v>
      </c>
      <c r="G173" s="89" t="n">
        <f aca="false">IFERROR(E173/F173,0)</f>
        <v>0.88599348534202</v>
      </c>
      <c r="H173" s="35" t="str">
        <f aca="false">IF(G173&gt;=2.5,"Outlier — 2.5x+ rep's typical deal size for this type","")</f>
        <v/>
      </c>
    </row>
    <row r="174" customFormat="false" ht="15" hidden="false" customHeight="false" outlineLevel="0" collapsed="false">
      <c r="B174" s="40" t="str">
        <f aca="false">'Bookings Detail'!A134</f>
        <v>D00011</v>
      </c>
      <c r="C174" s="40" t="str">
        <f aca="false">'Bookings Detail'!B134</f>
        <v>R001</v>
      </c>
      <c r="D174" s="40" t="str">
        <f aca="false">'Bookings Detail'!H134</f>
        <v>Renewal</v>
      </c>
      <c r="E174" s="42" t="n">
        <f aca="false">'Bookings Detail'!K134</f>
        <v>8500</v>
      </c>
      <c r="F174" s="43" t="n">
        <f aca="false">AVERAGEIFS('Bookings Detail'!$K$5:$K$274,'Bookings Detail'!$B$5:$B$274,C174,'Bookings Detail'!$H$5:$H$274,D174)</f>
        <v>19187.5</v>
      </c>
      <c r="G174" s="90" t="n">
        <f aca="false">IFERROR(E174/F174,0)</f>
        <v>0.44299674267101</v>
      </c>
      <c r="H174" s="41" t="str">
        <f aca="false">IF(G174&gt;=2.5,"Outlier — 2.5x+ rep's typical deal size for this type","")</f>
        <v/>
      </c>
    </row>
    <row r="175" customFormat="false" ht="15" hidden="false" customHeight="false" outlineLevel="0" collapsed="false">
      <c r="B175" s="34" t="str">
        <f aca="false">'Bookings Detail'!A135</f>
        <v>D00143</v>
      </c>
      <c r="C175" s="34" t="str">
        <f aca="false">'Bookings Detail'!B135</f>
        <v>R008</v>
      </c>
      <c r="D175" s="34" t="str">
        <f aca="false">'Bookings Detail'!H135</f>
        <v>New Business</v>
      </c>
      <c r="E175" s="36" t="n">
        <f aca="false">'Bookings Detail'!K135</f>
        <v>50000</v>
      </c>
      <c r="F175" s="37" t="n">
        <f aca="false">AVERAGEIFS('Bookings Detail'!$K$5:$K$274,'Bookings Detail'!$B$5:$B$274,C175,'Bookings Detail'!$H$5:$H$274,D175)</f>
        <v>82142.8571428571</v>
      </c>
      <c r="G175" s="89" t="n">
        <f aca="false">IFERROR(E175/F175,0)</f>
        <v>0.608695652173913</v>
      </c>
      <c r="H175" s="35" t="str">
        <f aca="false">IF(G175&gt;=2.5,"Outlier — 2.5x+ rep's typical deal size for this type","")</f>
        <v/>
      </c>
    </row>
    <row r="176" customFormat="false" ht="15" hidden="false" customHeight="false" outlineLevel="0" collapsed="false">
      <c r="B176" s="40" t="str">
        <f aca="false">'Bookings Detail'!A136</f>
        <v>D00204</v>
      </c>
      <c r="C176" s="40" t="str">
        <f aca="false">'Bookings Detail'!B136</f>
        <v>R011</v>
      </c>
      <c r="D176" s="40" t="str">
        <f aca="false">'Bookings Detail'!H136</f>
        <v>Renewal</v>
      </c>
      <c r="E176" s="42" t="n">
        <f aca="false">'Bookings Detail'!K136</f>
        <v>2000</v>
      </c>
      <c r="F176" s="43" t="n">
        <f aca="false">AVERAGEIFS('Bookings Detail'!$K$5:$K$274,'Bookings Detail'!$B$5:$B$274,C176,'Bookings Detail'!$H$5:$H$274,D176)</f>
        <v>24142.8571428571</v>
      </c>
      <c r="G176" s="90" t="n">
        <f aca="false">IFERROR(E176/F176,0)</f>
        <v>0.0828402366863905</v>
      </c>
      <c r="H176" s="41" t="str">
        <f aca="false">IF(G176&gt;=2.5,"Outlier — 2.5x+ rep's typical deal size for this type","")</f>
        <v/>
      </c>
    </row>
    <row r="177" customFormat="false" ht="15" hidden="false" customHeight="false" outlineLevel="0" collapsed="false">
      <c r="B177" s="34" t="str">
        <f aca="false">'Bookings Detail'!A137</f>
        <v>D00029</v>
      </c>
      <c r="C177" s="34" t="str">
        <f aca="false">'Bookings Detail'!B137</f>
        <v>R002</v>
      </c>
      <c r="D177" s="34" t="str">
        <f aca="false">'Bookings Detail'!H137</f>
        <v>New Business</v>
      </c>
      <c r="E177" s="36" t="n">
        <f aca="false">'Bookings Detail'!K137</f>
        <v>31500</v>
      </c>
      <c r="F177" s="37" t="n">
        <f aca="false">AVERAGEIFS('Bookings Detail'!$K$5:$K$274,'Bookings Detail'!$B$5:$B$274,C177,'Bookings Detail'!$H$5:$H$274,D177)</f>
        <v>39312.5</v>
      </c>
      <c r="G177" s="89" t="n">
        <f aca="false">IFERROR(E177/F177,0)</f>
        <v>0.80127186009539</v>
      </c>
      <c r="H177" s="35" t="str">
        <f aca="false">IF(G177&gt;=2.5,"Outlier — 2.5x+ rep's typical deal size for this type","")</f>
        <v/>
      </c>
    </row>
    <row r="178" customFormat="false" ht="15" hidden="false" customHeight="false" outlineLevel="0" collapsed="false">
      <c r="B178" s="40" t="str">
        <f aca="false">'Bookings Detail'!A138</f>
        <v>D00182</v>
      </c>
      <c r="C178" s="40" t="str">
        <f aca="false">'Bookings Detail'!B138</f>
        <v>R010</v>
      </c>
      <c r="D178" s="40" t="str">
        <f aca="false">'Bookings Detail'!H138</f>
        <v>New Business</v>
      </c>
      <c r="E178" s="42" t="n">
        <f aca="false">'Bookings Detail'!K138</f>
        <v>10500</v>
      </c>
      <c r="F178" s="43" t="n">
        <f aca="false">AVERAGEIFS('Bookings Detail'!$K$5:$K$274,'Bookings Detail'!$B$5:$B$274,C178,'Bookings Detail'!$H$5:$H$274,D178)</f>
        <v>96333.3333333333</v>
      </c>
      <c r="G178" s="90" t="n">
        <f aca="false">IFERROR(E178/F178,0)</f>
        <v>0.108996539792388</v>
      </c>
      <c r="H178" s="41" t="str">
        <f aca="false">IF(G178&gt;=2.5,"Outlier — 2.5x+ rep's typical deal size for this type","")</f>
        <v/>
      </c>
    </row>
    <row r="179" customFormat="false" ht="15" hidden="false" customHeight="false" outlineLevel="0" collapsed="false">
      <c r="B179" s="34" t="str">
        <f aca="false">'Bookings Detail'!A139</f>
        <v>D00051</v>
      </c>
      <c r="C179" s="34" t="str">
        <f aca="false">'Bookings Detail'!B139</f>
        <v>R003</v>
      </c>
      <c r="D179" s="34" t="str">
        <f aca="false">'Bookings Detail'!H139</f>
        <v>Renewal</v>
      </c>
      <c r="E179" s="36" t="n">
        <f aca="false">'Bookings Detail'!K139</f>
        <v>52500</v>
      </c>
      <c r="F179" s="37" t="n">
        <f aca="false">AVERAGEIFS('Bookings Detail'!$K$5:$K$274,'Bookings Detail'!$B$5:$B$274,C179,'Bookings Detail'!$H$5:$H$274,D179)</f>
        <v>17200</v>
      </c>
      <c r="G179" s="89" t="n">
        <f aca="false">IFERROR(E179/F179,0)</f>
        <v>3.05232558139535</v>
      </c>
      <c r="H179" s="35" t="str">
        <f aca="false">IF(G179&gt;=2.5,"Outlier — 2.5x+ rep's typical deal size for this type","")</f>
        <v>Outlier — 2.5x+ rep's typical deal size for this type</v>
      </c>
    </row>
    <row r="180" customFormat="false" ht="15" hidden="false" customHeight="false" outlineLevel="0" collapsed="false">
      <c r="B180" s="40" t="str">
        <f aca="false">'Bookings Detail'!A140</f>
        <v>D00237</v>
      </c>
      <c r="C180" s="40" t="str">
        <f aca="false">'Bookings Detail'!B140</f>
        <v>R013</v>
      </c>
      <c r="D180" s="40" t="str">
        <f aca="false">'Bookings Detail'!H140</f>
        <v>Renewal</v>
      </c>
      <c r="E180" s="42" t="n">
        <f aca="false">'Bookings Detail'!K140</f>
        <v>151500</v>
      </c>
      <c r="F180" s="43" t="n">
        <f aca="false">AVERAGEIFS('Bookings Detail'!$K$5:$K$274,'Bookings Detail'!$B$5:$B$274,C180,'Bookings Detail'!$H$5:$H$274,D180)</f>
        <v>94750</v>
      </c>
      <c r="G180" s="90" t="n">
        <f aca="false">IFERROR(E180/F180,0)</f>
        <v>1.59894459102902</v>
      </c>
      <c r="H180" s="41" t="str">
        <f aca="false">IF(G180&gt;=2.5,"Outlier — 2.5x+ rep's typical deal size for this type","")</f>
        <v/>
      </c>
    </row>
    <row r="181" customFormat="false" ht="15" hidden="false" customHeight="false" outlineLevel="0" collapsed="false">
      <c r="B181" s="34" t="str">
        <f aca="false">'Bookings Detail'!A141</f>
        <v>D00246</v>
      </c>
      <c r="C181" s="34" t="str">
        <f aca="false">'Bookings Detail'!B141</f>
        <v>R014</v>
      </c>
      <c r="D181" s="34" t="str">
        <f aca="false">'Bookings Detail'!H141</f>
        <v>New Business</v>
      </c>
      <c r="E181" s="36" t="n">
        <f aca="false">'Bookings Detail'!K141</f>
        <v>100500</v>
      </c>
      <c r="F181" s="37" t="n">
        <f aca="false">AVERAGEIFS('Bookings Detail'!$K$5:$K$274,'Bookings Detail'!$B$5:$B$274,C181,'Bookings Detail'!$H$5:$H$274,D181)</f>
        <v>358166.666666667</v>
      </c>
      <c r="G181" s="89" t="n">
        <f aca="false">IFERROR(E181/F181,0)</f>
        <v>0.280595625872499</v>
      </c>
      <c r="H181" s="35" t="str">
        <f aca="false">IF(G181&gt;=2.5,"Outlier — 2.5x+ rep's typical deal size for this type","")</f>
        <v/>
      </c>
    </row>
    <row r="182" customFormat="false" ht="15" hidden="false" customHeight="false" outlineLevel="0" collapsed="false">
      <c r="B182" s="40" t="str">
        <f aca="false">'Bookings Detail'!A142</f>
        <v>D00045</v>
      </c>
      <c r="C182" s="40" t="str">
        <f aca="false">'Bookings Detail'!B142</f>
        <v>R003</v>
      </c>
      <c r="D182" s="40" t="str">
        <f aca="false">'Bookings Detail'!H142</f>
        <v>New Business</v>
      </c>
      <c r="E182" s="42" t="n">
        <f aca="false">'Bookings Detail'!K142</f>
        <v>30000</v>
      </c>
      <c r="F182" s="43" t="n">
        <f aca="false">AVERAGEIFS('Bookings Detail'!$K$5:$K$274,'Bookings Detail'!$B$5:$B$274,C182,'Bookings Detail'!$H$5:$H$274,D182)</f>
        <v>33928.5714285714</v>
      </c>
      <c r="G182" s="90" t="n">
        <f aca="false">IFERROR(E182/F182,0)</f>
        <v>0.884210526315789</v>
      </c>
      <c r="H182" s="41" t="str">
        <f aca="false">IF(G182&gt;=2.5,"Outlier — 2.5x+ rep's typical deal size for this type","")</f>
        <v/>
      </c>
    </row>
    <row r="183" customFormat="false" ht="15" hidden="false" customHeight="false" outlineLevel="0" collapsed="false">
      <c r="B183" s="34" t="str">
        <f aca="false">'Bookings Detail'!A143</f>
        <v>D00046</v>
      </c>
      <c r="C183" s="34" t="str">
        <f aca="false">'Bookings Detail'!B143</f>
        <v>R003</v>
      </c>
      <c r="D183" s="34" t="str">
        <f aca="false">'Bookings Detail'!H143</f>
        <v>Upsell</v>
      </c>
      <c r="E183" s="36" t="n">
        <f aca="false">'Bookings Detail'!K143</f>
        <v>10500</v>
      </c>
      <c r="F183" s="37" t="n">
        <f aca="false">AVERAGEIFS('Bookings Detail'!$K$5:$K$274,'Bookings Detail'!$B$5:$B$274,C183,'Bookings Detail'!$H$5:$H$274,D183)</f>
        <v>18100</v>
      </c>
      <c r="G183" s="89" t="n">
        <f aca="false">IFERROR(E183/F183,0)</f>
        <v>0.580110497237569</v>
      </c>
      <c r="H183" s="35" t="str">
        <f aca="false">IF(G183&gt;=2.5,"Outlier — 2.5x+ rep's typical deal size for this type","")</f>
        <v/>
      </c>
    </row>
    <row r="184" customFormat="false" ht="15" hidden="false" customHeight="false" outlineLevel="0" collapsed="false">
      <c r="B184" s="40" t="str">
        <f aca="false">'Bookings Detail'!A144</f>
        <v>D00050</v>
      </c>
      <c r="C184" s="40" t="str">
        <f aca="false">'Bookings Detail'!B144</f>
        <v>R003</v>
      </c>
      <c r="D184" s="40" t="str">
        <f aca="false">'Bookings Detail'!H144</f>
        <v>Renewal</v>
      </c>
      <c r="E184" s="42" t="n">
        <f aca="false">'Bookings Detail'!K144</f>
        <v>1500</v>
      </c>
      <c r="F184" s="43" t="n">
        <f aca="false">AVERAGEIFS('Bookings Detail'!$K$5:$K$274,'Bookings Detail'!$B$5:$B$274,C184,'Bookings Detail'!$H$5:$H$274,D184)</f>
        <v>17200</v>
      </c>
      <c r="G184" s="90" t="n">
        <f aca="false">IFERROR(E184/F184,0)</f>
        <v>0.0872093023255814</v>
      </c>
      <c r="H184" s="41" t="str">
        <f aca="false">IF(G184&gt;=2.5,"Outlier — 2.5x+ rep's typical deal size for this type","")</f>
        <v/>
      </c>
    </row>
    <row r="185" customFormat="false" ht="15" hidden="false" customHeight="false" outlineLevel="0" collapsed="false">
      <c r="B185" s="34" t="str">
        <f aca="false">'Bookings Detail'!A145</f>
        <v>D00134</v>
      </c>
      <c r="C185" s="34" t="str">
        <f aca="false">'Bookings Detail'!B145</f>
        <v>R007</v>
      </c>
      <c r="D185" s="34" t="str">
        <f aca="false">'Bookings Detail'!H145</f>
        <v>Renewal</v>
      </c>
      <c r="E185" s="36" t="n">
        <f aca="false">'Bookings Detail'!K145</f>
        <v>14000</v>
      </c>
      <c r="F185" s="37" t="n">
        <f aca="false">AVERAGEIFS('Bookings Detail'!$K$5:$K$274,'Bookings Detail'!$B$5:$B$274,C185,'Bookings Detail'!$H$5:$H$274,D185)</f>
        <v>67375</v>
      </c>
      <c r="G185" s="89" t="n">
        <f aca="false">IFERROR(E185/F185,0)</f>
        <v>0.207792207792208</v>
      </c>
      <c r="H185" s="35" t="str">
        <f aca="false">IF(G185&gt;=2.5,"Outlier — 2.5x+ rep's typical deal size for this type","")</f>
        <v/>
      </c>
    </row>
    <row r="186" customFormat="false" ht="15" hidden="false" customHeight="false" outlineLevel="0" collapsed="false">
      <c r="B186" s="40" t="str">
        <f aca="false">'Bookings Detail'!A146</f>
        <v>D00111</v>
      </c>
      <c r="C186" s="40" t="str">
        <f aca="false">'Bookings Detail'!B146</f>
        <v>R006</v>
      </c>
      <c r="D186" s="40" t="str">
        <f aca="false">'Bookings Detail'!H146</f>
        <v>Renewal</v>
      </c>
      <c r="E186" s="42" t="n">
        <f aca="false">'Bookings Detail'!K146</f>
        <v>30500</v>
      </c>
      <c r="F186" s="43" t="n">
        <f aca="false">AVERAGEIFS('Bookings Detail'!$K$5:$K$274,'Bookings Detail'!$B$5:$B$274,C186,'Bookings Detail'!$H$5:$H$274,D186)</f>
        <v>20277.7777777778</v>
      </c>
      <c r="G186" s="90" t="n">
        <f aca="false">IFERROR(E186/F186,0)</f>
        <v>1.5041095890411</v>
      </c>
      <c r="H186" s="41" t="str">
        <f aca="false">IF(G186&gt;=2.5,"Outlier — 2.5x+ rep's typical deal size for this type","")</f>
        <v/>
      </c>
    </row>
    <row r="187" customFormat="false" ht="15" hidden="false" customHeight="false" outlineLevel="0" collapsed="false">
      <c r="B187" s="34" t="str">
        <f aca="false">'Bookings Detail'!A147</f>
        <v>D00203</v>
      </c>
      <c r="C187" s="34" t="str">
        <f aca="false">'Bookings Detail'!B147</f>
        <v>R011</v>
      </c>
      <c r="D187" s="34" t="str">
        <f aca="false">'Bookings Detail'!H147</f>
        <v>Renewal</v>
      </c>
      <c r="E187" s="36" t="n">
        <f aca="false">'Bookings Detail'!K147</f>
        <v>28000</v>
      </c>
      <c r="F187" s="37" t="n">
        <f aca="false">AVERAGEIFS('Bookings Detail'!$K$5:$K$274,'Bookings Detail'!$B$5:$B$274,C187,'Bookings Detail'!$H$5:$H$274,D187)</f>
        <v>24142.8571428571</v>
      </c>
      <c r="G187" s="89" t="n">
        <f aca="false">IFERROR(E187/F187,0)</f>
        <v>1.15976331360947</v>
      </c>
      <c r="H187" s="35" t="str">
        <f aca="false">IF(G187&gt;=2.5,"Outlier — 2.5x+ rep's typical deal size for this type","")</f>
        <v/>
      </c>
    </row>
    <row r="188" customFormat="false" ht="15" hidden="false" customHeight="false" outlineLevel="0" collapsed="false">
      <c r="B188" s="40" t="str">
        <f aca="false">'Bookings Detail'!A148</f>
        <v>D00032</v>
      </c>
      <c r="C188" s="40" t="str">
        <f aca="false">'Bookings Detail'!B148</f>
        <v>R002</v>
      </c>
      <c r="D188" s="40" t="str">
        <f aca="false">'Bookings Detail'!H148</f>
        <v>Renewal</v>
      </c>
      <c r="E188" s="42" t="n">
        <f aca="false">'Bookings Detail'!K148</f>
        <v>1500</v>
      </c>
      <c r="F188" s="43" t="n">
        <f aca="false">AVERAGEIFS('Bookings Detail'!$K$5:$K$274,'Bookings Detail'!$B$5:$B$274,C188,'Bookings Detail'!$H$5:$H$274,D188)</f>
        <v>3357.14285714286</v>
      </c>
      <c r="G188" s="90" t="n">
        <f aca="false">IFERROR(E188/F188,0)</f>
        <v>0.446808510638298</v>
      </c>
      <c r="H188" s="41" t="str">
        <f aca="false">IF(G188&gt;=2.5,"Outlier — 2.5x+ rep's typical deal size for this type","")</f>
        <v/>
      </c>
    </row>
    <row r="189" customFormat="false" ht="15" hidden="false" customHeight="false" outlineLevel="0" collapsed="false">
      <c r="B189" s="34" t="str">
        <f aca="false">'Bookings Detail'!A149</f>
        <v>D00261</v>
      </c>
      <c r="C189" s="34" t="str">
        <f aca="false">'Bookings Detail'!B149</f>
        <v>R015</v>
      </c>
      <c r="D189" s="34" t="str">
        <f aca="false">'Bookings Detail'!H149</f>
        <v>Renewal</v>
      </c>
      <c r="E189" s="36" t="n">
        <f aca="false">'Bookings Detail'!K149</f>
        <v>141000</v>
      </c>
      <c r="F189" s="37" t="n">
        <f aca="false">AVERAGEIFS('Bookings Detail'!$K$5:$K$274,'Bookings Detail'!$B$5:$B$274,C189,'Bookings Detail'!$H$5:$H$274,D189)</f>
        <v>57611.1111111111</v>
      </c>
      <c r="G189" s="89" t="n">
        <f aca="false">IFERROR(E189/F189,0)</f>
        <v>2.44744455159113</v>
      </c>
      <c r="H189" s="35" t="str">
        <f aca="false">IF(G189&gt;=2.5,"Outlier — 2.5x+ rep's typical deal size for this type","")</f>
        <v/>
      </c>
    </row>
    <row r="190" customFormat="false" ht="15" hidden="false" customHeight="false" outlineLevel="0" collapsed="false">
      <c r="B190" s="40" t="str">
        <f aca="false">'Bookings Detail'!A150</f>
        <v>D00254</v>
      </c>
      <c r="C190" s="40" t="str">
        <f aca="false">'Bookings Detail'!B150</f>
        <v>R014</v>
      </c>
      <c r="D190" s="40" t="str">
        <f aca="false">'Bookings Detail'!H150</f>
        <v>Renewal</v>
      </c>
      <c r="E190" s="42" t="n">
        <f aca="false">'Bookings Detail'!K150</f>
        <v>147500</v>
      </c>
      <c r="F190" s="43" t="n">
        <f aca="false">AVERAGEIFS('Bookings Detail'!$K$5:$K$274,'Bookings Detail'!$B$5:$B$274,C190,'Bookings Detail'!$H$5:$H$274,D190)</f>
        <v>60357.1428571429</v>
      </c>
      <c r="G190" s="90" t="n">
        <f aca="false">IFERROR(E190/F190,0)</f>
        <v>2.44378698224852</v>
      </c>
      <c r="H190" s="41" t="str">
        <f aca="false">IF(G190&gt;=2.5,"Outlier — 2.5x+ rep's typical deal size for this type","")</f>
        <v/>
      </c>
    </row>
    <row r="191" customFormat="false" ht="15" hidden="false" customHeight="false" outlineLevel="0" collapsed="false">
      <c r="B191" s="34" t="str">
        <f aca="false">'Bookings Detail'!A151</f>
        <v>D00136</v>
      </c>
      <c r="C191" s="34" t="str">
        <f aca="false">'Bookings Detail'!B151</f>
        <v>R007</v>
      </c>
      <c r="D191" s="34" t="str">
        <f aca="false">'Bookings Detail'!H151</f>
        <v>New Business</v>
      </c>
      <c r="E191" s="36" t="n">
        <f aca="false">'Bookings Detail'!K151</f>
        <v>51000</v>
      </c>
      <c r="F191" s="37" t="n">
        <f aca="false">AVERAGEIFS('Bookings Detail'!$K$5:$K$274,'Bookings Detail'!$B$5:$B$274,C191,'Bookings Detail'!$H$5:$H$274,D191)</f>
        <v>72785.7142857143</v>
      </c>
      <c r="G191" s="89" t="n">
        <f aca="false">IFERROR(E191/F191,0)</f>
        <v>0.700686947988224</v>
      </c>
      <c r="H191" s="35" t="str">
        <f aca="false">IF(G191&gt;=2.5,"Outlier — 2.5x+ rep's typical deal size for this type","")</f>
        <v/>
      </c>
    </row>
    <row r="192" customFormat="false" ht="15" hidden="false" customHeight="false" outlineLevel="0" collapsed="false">
      <c r="B192" s="40" t="str">
        <f aca="false">'Bookings Detail'!A152</f>
        <v>D00076</v>
      </c>
      <c r="C192" s="40" t="str">
        <f aca="false">'Bookings Detail'!B152</f>
        <v>R004</v>
      </c>
      <c r="D192" s="40" t="str">
        <f aca="false">'Bookings Detail'!H152</f>
        <v>New Business</v>
      </c>
      <c r="E192" s="42" t="n">
        <f aca="false">'Bookings Detail'!K152</f>
        <v>23000</v>
      </c>
      <c r="F192" s="43" t="n">
        <f aca="false">AVERAGEIFS('Bookings Detail'!$K$5:$K$274,'Bookings Detail'!$B$5:$B$274,C192,'Bookings Detail'!$H$5:$H$274,D192)</f>
        <v>31785.7142857143</v>
      </c>
      <c r="G192" s="90" t="n">
        <f aca="false">IFERROR(E192/F192,0)</f>
        <v>0.723595505617978</v>
      </c>
      <c r="H192" s="41" t="str">
        <f aca="false">IF(G192&gt;=2.5,"Outlier — 2.5x+ rep's typical deal size for this type","")</f>
        <v/>
      </c>
    </row>
    <row r="193" customFormat="false" ht="15" hidden="false" customHeight="false" outlineLevel="0" collapsed="false">
      <c r="B193" s="34" t="str">
        <f aca="false">'Bookings Detail'!A153</f>
        <v>D00114</v>
      </c>
      <c r="C193" s="34" t="str">
        <f aca="false">'Bookings Detail'!B153</f>
        <v>R006</v>
      </c>
      <c r="D193" s="34" t="str">
        <f aca="false">'Bookings Detail'!H153</f>
        <v>New Business</v>
      </c>
      <c r="E193" s="36" t="n">
        <f aca="false">'Bookings Detail'!K153</f>
        <v>35500</v>
      </c>
      <c r="F193" s="37" t="n">
        <f aca="false">AVERAGEIFS('Bookings Detail'!$K$5:$K$274,'Bookings Detail'!$B$5:$B$274,C193,'Bookings Detail'!$H$5:$H$274,D193)</f>
        <v>37450</v>
      </c>
      <c r="G193" s="89" t="n">
        <f aca="false">IFERROR(E193/F193,0)</f>
        <v>0.947930574098798</v>
      </c>
      <c r="H193" s="35" t="str">
        <f aca="false">IF(G193&gt;=2.5,"Outlier — 2.5x+ rep's typical deal size for this type","")</f>
        <v/>
      </c>
    </row>
    <row r="194" customFormat="false" ht="15" hidden="false" customHeight="false" outlineLevel="0" collapsed="false">
      <c r="B194" s="40" t="str">
        <f aca="false">'Bookings Detail'!A154</f>
        <v>D00137</v>
      </c>
      <c r="C194" s="40" t="str">
        <f aca="false">'Bookings Detail'!B154</f>
        <v>R007</v>
      </c>
      <c r="D194" s="40" t="str">
        <f aca="false">'Bookings Detail'!H154</f>
        <v>New Business</v>
      </c>
      <c r="E194" s="42" t="n">
        <f aca="false">'Bookings Detail'!K154</f>
        <v>9500</v>
      </c>
      <c r="F194" s="43" t="n">
        <f aca="false">AVERAGEIFS('Bookings Detail'!$K$5:$K$274,'Bookings Detail'!$B$5:$B$274,C194,'Bookings Detail'!$H$5:$H$274,D194)</f>
        <v>72785.7142857143</v>
      </c>
      <c r="G194" s="90" t="n">
        <f aca="false">IFERROR(E194/F194,0)</f>
        <v>0.130520117762512</v>
      </c>
      <c r="H194" s="41" t="str">
        <f aca="false">IF(G194&gt;=2.5,"Outlier — 2.5x+ rep's typical deal size for this type","")</f>
        <v/>
      </c>
    </row>
    <row r="195" customFormat="false" ht="15" hidden="false" customHeight="false" outlineLevel="0" collapsed="false">
      <c r="B195" s="34" t="str">
        <f aca="false">'Bookings Detail'!A155</f>
        <v>D00240</v>
      </c>
      <c r="C195" s="34" t="str">
        <f aca="false">'Bookings Detail'!B155</f>
        <v>R013</v>
      </c>
      <c r="D195" s="34" t="str">
        <f aca="false">'Bookings Detail'!H155</f>
        <v>Upsell</v>
      </c>
      <c r="E195" s="36" t="n">
        <f aca="false">'Bookings Detail'!K155</f>
        <v>121500</v>
      </c>
      <c r="F195" s="37" t="n">
        <f aca="false">AVERAGEIFS('Bookings Detail'!$K$5:$K$274,'Bookings Detail'!$B$5:$B$274,C195,'Bookings Detail'!$H$5:$H$274,D195)</f>
        <v>72250</v>
      </c>
      <c r="G195" s="89" t="n">
        <f aca="false">IFERROR(E195/F195,0)</f>
        <v>1.68166089965398</v>
      </c>
      <c r="H195" s="35" t="str">
        <f aca="false">IF(G195&gt;=2.5,"Outlier — 2.5x+ rep's typical deal size for this type","")</f>
        <v/>
      </c>
    </row>
    <row r="196" customFormat="false" ht="15" hidden="false" customHeight="false" outlineLevel="0" collapsed="false">
      <c r="B196" s="40" t="str">
        <f aca="false">'Bookings Detail'!A156</f>
        <v>D00017</v>
      </c>
      <c r="C196" s="40" t="str">
        <f aca="false">'Bookings Detail'!B156</f>
        <v>R001</v>
      </c>
      <c r="D196" s="40" t="str">
        <f aca="false">'Bookings Detail'!H156</f>
        <v>New Business</v>
      </c>
      <c r="E196" s="42" t="n">
        <f aca="false">'Bookings Detail'!K156</f>
        <v>3000</v>
      </c>
      <c r="F196" s="43" t="n">
        <f aca="false">AVERAGEIFS('Bookings Detail'!$K$5:$K$274,'Bookings Detail'!$B$5:$B$274,C196,'Bookings Detail'!$H$5:$H$274,D196)</f>
        <v>25550</v>
      </c>
      <c r="G196" s="90" t="n">
        <f aca="false">IFERROR(E196/F196,0)</f>
        <v>0.117416829745597</v>
      </c>
      <c r="H196" s="41" t="str">
        <f aca="false">IF(G196&gt;=2.5,"Outlier — 2.5x+ rep's typical deal size for this type","")</f>
        <v/>
      </c>
    </row>
    <row r="197" customFormat="false" ht="15" hidden="false" customHeight="false" outlineLevel="0" collapsed="false">
      <c r="B197" s="34" t="str">
        <f aca="false">'Bookings Detail'!A157</f>
        <v>D00226</v>
      </c>
      <c r="C197" s="34" t="str">
        <f aca="false">'Bookings Detail'!B157</f>
        <v>R012</v>
      </c>
      <c r="D197" s="34" t="str">
        <f aca="false">'Bookings Detail'!H157</f>
        <v>New Business</v>
      </c>
      <c r="E197" s="36" t="n">
        <f aca="false">'Bookings Detail'!K157</f>
        <v>35000</v>
      </c>
      <c r="F197" s="37" t="n">
        <f aca="false">AVERAGEIFS('Bookings Detail'!$K$5:$K$274,'Bookings Detail'!$B$5:$B$274,C197,'Bookings Detail'!$H$5:$H$274,D197)</f>
        <v>147500</v>
      </c>
      <c r="G197" s="89" t="n">
        <f aca="false">IFERROR(E197/F197,0)</f>
        <v>0.23728813559322</v>
      </c>
      <c r="H197" s="35" t="str">
        <f aca="false">IF(G197&gt;=2.5,"Outlier — 2.5x+ rep's typical deal size for this type","")</f>
        <v/>
      </c>
    </row>
    <row r="198" customFormat="false" ht="15" hidden="false" customHeight="false" outlineLevel="0" collapsed="false">
      <c r="B198" s="40" t="str">
        <f aca="false">'Bookings Detail'!A158</f>
        <v>D00213</v>
      </c>
      <c r="C198" s="40" t="str">
        <f aca="false">'Bookings Detail'!B158</f>
        <v>R011</v>
      </c>
      <c r="D198" s="40" t="str">
        <f aca="false">'Bookings Detail'!H158</f>
        <v>Renewal</v>
      </c>
      <c r="E198" s="42" t="n">
        <f aca="false">'Bookings Detail'!K158</f>
        <v>49000</v>
      </c>
      <c r="F198" s="43" t="n">
        <f aca="false">AVERAGEIFS('Bookings Detail'!$K$5:$K$274,'Bookings Detail'!$B$5:$B$274,C198,'Bookings Detail'!$H$5:$H$274,D198)</f>
        <v>24142.8571428571</v>
      </c>
      <c r="G198" s="90" t="n">
        <f aca="false">IFERROR(E198/F198,0)</f>
        <v>2.02958579881657</v>
      </c>
      <c r="H198" s="41" t="str">
        <f aca="false">IF(G198&gt;=2.5,"Outlier — 2.5x+ rep's typical deal size for this type","")</f>
        <v/>
      </c>
    </row>
    <row r="199" customFormat="false" ht="15" hidden="false" customHeight="false" outlineLevel="0" collapsed="false">
      <c r="B199" s="34" t="str">
        <f aca="false">'Bookings Detail'!A159</f>
        <v>D00153</v>
      </c>
      <c r="C199" s="34" t="str">
        <f aca="false">'Bookings Detail'!B159</f>
        <v>R008</v>
      </c>
      <c r="D199" s="34" t="str">
        <f aca="false">'Bookings Detail'!H159</f>
        <v>Upsell</v>
      </c>
      <c r="E199" s="36" t="n">
        <f aca="false">'Bookings Detail'!K159</f>
        <v>25000</v>
      </c>
      <c r="F199" s="37" t="n">
        <f aca="false">AVERAGEIFS('Bookings Detail'!$K$5:$K$274,'Bookings Detail'!$B$5:$B$274,C199,'Bookings Detail'!$H$5:$H$274,D199)</f>
        <v>20250</v>
      </c>
      <c r="G199" s="89" t="n">
        <f aca="false">IFERROR(E199/F199,0)</f>
        <v>1.23456790123457</v>
      </c>
      <c r="H199" s="35" t="str">
        <f aca="false">IF(G199&gt;=2.5,"Outlier — 2.5x+ rep's typical deal size for this type","")</f>
        <v/>
      </c>
    </row>
    <row r="200" customFormat="false" ht="15" hidden="false" customHeight="false" outlineLevel="0" collapsed="false">
      <c r="B200" s="40" t="str">
        <f aca="false">'Bookings Detail'!A160</f>
        <v>D00173</v>
      </c>
      <c r="C200" s="40" t="str">
        <f aca="false">'Bookings Detail'!B160</f>
        <v>R009</v>
      </c>
      <c r="D200" s="40" t="str">
        <f aca="false">'Bookings Detail'!H160</f>
        <v>Upsell</v>
      </c>
      <c r="E200" s="42" t="n">
        <f aca="false">'Bookings Detail'!K160</f>
        <v>44500</v>
      </c>
      <c r="F200" s="43" t="n">
        <f aca="false">AVERAGEIFS('Bookings Detail'!$K$5:$K$274,'Bookings Detail'!$B$5:$B$274,C200,'Bookings Detail'!$H$5:$H$274,D200)</f>
        <v>51500</v>
      </c>
      <c r="G200" s="90" t="n">
        <f aca="false">IFERROR(E200/F200,0)</f>
        <v>0.864077669902913</v>
      </c>
      <c r="H200" s="41" t="str">
        <f aca="false">IF(G200&gt;=2.5,"Outlier — 2.5x+ rep's typical deal size for this type","")</f>
        <v/>
      </c>
    </row>
    <row r="201" customFormat="false" ht="15" hidden="false" customHeight="false" outlineLevel="0" collapsed="false">
      <c r="B201" s="34" t="str">
        <f aca="false">'Bookings Detail'!A161</f>
        <v>D00060</v>
      </c>
      <c r="C201" s="34" t="str">
        <f aca="false">'Bookings Detail'!B161</f>
        <v>R003</v>
      </c>
      <c r="D201" s="34" t="str">
        <f aca="false">'Bookings Detail'!H161</f>
        <v>Renewal</v>
      </c>
      <c r="E201" s="36" t="n">
        <f aca="false">'Bookings Detail'!K161</f>
        <v>22000</v>
      </c>
      <c r="F201" s="37" t="n">
        <f aca="false">AVERAGEIFS('Bookings Detail'!$K$5:$K$274,'Bookings Detail'!$B$5:$B$274,C201,'Bookings Detail'!$H$5:$H$274,D201)</f>
        <v>17200</v>
      </c>
      <c r="G201" s="89" t="n">
        <f aca="false">IFERROR(E201/F201,0)</f>
        <v>1.27906976744186</v>
      </c>
      <c r="H201" s="35" t="str">
        <f aca="false">IF(G201&gt;=2.5,"Outlier — 2.5x+ rep's typical deal size for this type","")</f>
        <v/>
      </c>
    </row>
    <row r="202" customFormat="false" ht="15" hidden="false" customHeight="false" outlineLevel="0" collapsed="false">
      <c r="B202" s="40" t="str">
        <f aca="false">'Bookings Detail'!A162</f>
        <v>D00241</v>
      </c>
      <c r="C202" s="40" t="str">
        <f aca="false">'Bookings Detail'!B162</f>
        <v>R013</v>
      </c>
      <c r="D202" s="40" t="str">
        <f aca="false">'Bookings Detail'!H162</f>
        <v>Upsell</v>
      </c>
      <c r="E202" s="42" t="n">
        <f aca="false">'Bookings Detail'!K162</f>
        <v>70500</v>
      </c>
      <c r="F202" s="43" t="n">
        <f aca="false">AVERAGEIFS('Bookings Detail'!$K$5:$K$274,'Bookings Detail'!$B$5:$B$274,C202,'Bookings Detail'!$H$5:$H$274,D202)</f>
        <v>72250</v>
      </c>
      <c r="G202" s="90" t="n">
        <f aca="false">IFERROR(E202/F202,0)</f>
        <v>0.975778546712803</v>
      </c>
      <c r="H202" s="41" t="str">
        <f aca="false">IF(G202&gt;=2.5,"Outlier — 2.5x+ rep's typical deal size for this type","")</f>
        <v/>
      </c>
    </row>
    <row r="203" customFormat="false" ht="15" hidden="false" customHeight="false" outlineLevel="0" collapsed="false">
      <c r="B203" s="34" t="str">
        <f aca="false">'Bookings Detail'!A163</f>
        <v>D00059</v>
      </c>
      <c r="C203" s="34" t="str">
        <f aca="false">'Bookings Detail'!B163</f>
        <v>R003</v>
      </c>
      <c r="D203" s="34" t="str">
        <f aca="false">'Bookings Detail'!H163</f>
        <v>Renewal</v>
      </c>
      <c r="E203" s="36" t="n">
        <f aca="false">'Bookings Detail'!K163</f>
        <v>11000</v>
      </c>
      <c r="F203" s="37" t="n">
        <f aca="false">AVERAGEIFS('Bookings Detail'!$K$5:$K$274,'Bookings Detail'!$B$5:$B$274,C203,'Bookings Detail'!$H$5:$H$274,D203)</f>
        <v>17200</v>
      </c>
      <c r="G203" s="89" t="n">
        <f aca="false">IFERROR(E203/F203,0)</f>
        <v>0.63953488372093</v>
      </c>
      <c r="H203" s="35" t="str">
        <f aca="false">IF(G203&gt;=2.5,"Outlier — 2.5x+ rep's typical deal size for this type","")</f>
        <v/>
      </c>
    </row>
    <row r="204" customFormat="false" ht="15" hidden="false" customHeight="false" outlineLevel="0" collapsed="false">
      <c r="B204" s="40" t="str">
        <f aca="false">'Bookings Detail'!A164</f>
        <v>D00122</v>
      </c>
      <c r="C204" s="40" t="str">
        <f aca="false">'Bookings Detail'!B164</f>
        <v>R006</v>
      </c>
      <c r="D204" s="40" t="str">
        <f aca="false">'Bookings Detail'!H164</f>
        <v>Renewal</v>
      </c>
      <c r="E204" s="42" t="n">
        <f aca="false">'Bookings Detail'!K164</f>
        <v>12500</v>
      </c>
      <c r="F204" s="43" t="n">
        <f aca="false">AVERAGEIFS('Bookings Detail'!$K$5:$K$274,'Bookings Detail'!$B$5:$B$274,C204,'Bookings Detail'!$H$5:$H$274,D204)</f>
        <v>20277.7777777778</v>
      </c>
      <c r="G204" s="90" t="n">
        <f aca="false">IFERROR(E204/F204,0)</f>
        <v>0.616438356164384</v>
      </c>
      <c r="H204" s="41" t="str">
        <f aca="false">IF(G204&gt;=2.5,"Outlier — 2.5x+ rep's typical deal size for this type","")</f>
        <v/>
      </c>
    </row>
    <row r="205" customFormat="false" ht="15" hidden="false" customHeight="false" outlineLevel="0" collapsed="false">
      <c r="B205" s="34" t="str">
        <f aca="false">'Bookings Detail'!A165</f>
        <v>D00079</v>
      </c>
      <c r="C205" s="34" t="str">
        <f aca="false">'Bookings Detail'!B165</f>
        <v>R004</v>
      </c>
      <c r="D205" s="34" t="str">
        <f aca="false">'Bookings Detail'!H165</f>
        <v>Renewal</v>
      </c>
      <c r="E205" s="36" t="n">
        <f aca="false">'Bookings Detail'!K165</f>
        <v>17000</v>
      </c>
      <c r="F205" s="37" t="n">
        <f aca="false">AVERAGEIFS('Bookings Detail'!$K$5:$K$274,'Bookings Detail'!$B$5:$B$274,C205,'Bookings Detail'!$H$5:$H$274,D205)</f>
        <v>26250</v>
      </c>
      <c r="G205" s="89" t="n">
        <f aca="false">IFERROR(E205/F205,0)</f>
        <v>0.647619047619048</v>
      </c>
      <c r="H205" s="35" t="str">
        <f aca="false">IF(G205&gt;=2.5,"Outlier — 2.5x+ rep's typical deal size for this type","")</f>
        <v/>
      </c>
    </row>
    <row r="206" customFormat="false" ht="15" hidden="false" customHeight="false" outlineLevel="0" collapsed="false">
      <c r="B206" s="40" t="str">
        <f aca="false">'Bookings Detail'!A166</f>
        <v>D00211</v>
      </c>
      <c r="C206" s="40" t="str">
        <f aca="false">'Bookings Detail'!B166</f>
        <v>R011</v>
      </c>
      <c r="D206" s="40" t="str">
        <f aca="false">'Bookings Detail'!H166</f>
        <v>Upsell</v>
      </c>
      <c r="E206" s="42" t="n">
        <f aca="false">'Bookings Detail'!K166</f>
        <v>26500</v>
      </c>
      <c r="F206" s="43" t="n">
        <f aca="false">AVERAGEIFS('Bookings Detail'!$K$5:$K$274,'Bookings Detail'!$B$5:$B$274,C206,'Bookings Detail'!$H$5:$H$274,D206)</f>
        <v>20600</v>
      </c>
      <c r="G206" s="90" t="n">
        <f aca="false">IFERROR(E206/F206,0)</f>
        <v>1.28640776699029</v>
      </c>
      <c r="H206" s="41" t="str">
        <f aca="false">IF(G206&gt;=2.5,"Outlier — 2.5x+ rep's typical deal size for this type","")</f>
        <v/>
      </c>
    </row>
    <row r="207" customFormat="false" ht="15" hidden="false" customHeight="false" outlineLevel="0" collapsed="false">
      <c r="B207" s="34" t="str">
        <f aca="false">'Bookings Detail'!A167</f>
        <v>D00021</v>
      </c>
      <c r="C207" s="34" t="str">
        <f aca="false">'Bookings Detail'!B167</f>
        <v>R001</v>
      </c>
      <c r="D207" s="34" t="str">
        <f aca="false">'Bookings Detail'!H167</f>
        <v>Upsell</v>
      </c>
      <c r="E207" s="36" t="n">
        <f aca="false">'Bookings Detail'!K167</f>
        <v>27500</v>
      </c>
      <c r="F207" s="37" t="n">
        <f aca="false">AVERAGEIFS('Bookings Detail'!$K$5:$K$274,'Bookings Detail'!$B$5:$B$274,C207,'Bookings Detail'!$H$5:$H$274,D207)</f>
        <v>22916.6666666667</v>
      </c>
      <c r="G207" s="89" t="n">
        <f aca="false">IFERROR(E207/F207,0)</f>
        <v>1.2</v>
      </c>
      <c r="H207" s="35" t="str">
        <f aca="false">IF(G207&gt;=2.5,"Outlier — 2.5x+ rep's typical deal size for this type","")</f>
        <v/>
      </c>
    </row>
    <row r="208" customFormat="false" ht="15" hidden="false" customHeight="false" outlineLevel="0" collapsed="false">
      <c r="B208" s="40" t="str">
        <f aca="false">'Bookings Detail'!A168</f>
        <v>D00119</v>
      </c>
      <c r="C208" s="40" t="str">
        <f aca="false">'Bookings Detail'!B168</f>
        <v>R006</v>
      </c>
      <c r="D208" s="40" t="str">
        <f aca="false">'Bookings Detail'!H168</f>
        <v>Upsell</v>
      </c>
      <c r="E208" s="42" t="n">
        <f aca="false">'Bookings Detail'!K168</f>
        <v>31000</v>
      </c>
      <c r="F208" s="43" t="n">
        <f aca="false">AVERAGEIFS('Bookings Detail'!$K$5:$K$274,'Bookings Detail'!$B$5:$B$274,C208,'Bookings Detail'!$H$5:$H$274,D208)</f>
        <v>26333.3333333333</v>
      </c>
      <c r="G208" s="90" t="n">
        <f aca="false">IFERROR(E208/F208,0)</f>
        <v>1.17721518987342</v>
      </c>
      <c r="H208" s="41" t="str">
        <f aca="false">IF(G208&gt;=2.5,"Outlier — 2.5x+ rep's typical deal size for this type","")</f>
        <v/>
      </c>
    </row>
    <row r="209" customFormat="false" ht="15" hidden="false" customHeight="false" outlineLevel="0" collapsed="false">
      <c r="B209" s="34" t="str">
        <f aca="false">'Bookings Detail'!A169</f>
        <v>D00266</v>
      </c>
      <c r="C209" s="34" t="str">
        <f aca="false">'Bookings Detail'!B169</f>
        <v>R015</v>
      </c>
      <c r="D209" s="34" t="str">
        <f aca="false">'Bookings Detail'!H169</f>
        <v>New Business</v>
      </c>
      <c r="E209" s="36" t="n">
        <f aca="false">'Bookings Detail'!K169</f>
        <v>428500</v>
      </c>
      <c r="F209" s="37" t="n">
        <f aca="false">AVERAGEIFS('Bookings Detail'!$K$5:$K$274,'Bookings Detail'!$B$5:$B$274,C209,'Bookings Detail'!$H$5:$H$274,D209)</f>
        <v>379666.666666667</v>
      </c>
      <c r="G209" s="89" t="n">
        <f aca="false">IFERROR(E209/F209,0)</f>
        <v>1.12862159789289</v>
      </c>
      <c r="H209" s="35" t="str">
        <f aca="false">IF(G209&gt;=2.5,"Outlier — 2.5x+ rep's typical deal size for this type","")</f>
        <v/>
      </c>
    </row>
    <row r="210" customFormat="false" ht="15" hidden="false" customHeight="false" outlineLevel="0" collapsed="false">
      <c r="B210" s="40" t="str">
        <f aca="false">'Bookings Detail'!A170</f>
        <v>D00116</v>
      </c>
      <c r="C210" s="40" t="str">
        <f aca="false">'Bookings Detail'!B170</f>
        <v>R006</v>
      </c>
      <c r="D210" s="40" t="str">
        <f aca="false">'Bookings Detail'!H170</f>
        <v>New Business</v>
      </c>
      <c r="E210" s="42" t="n">
        <f aca="false">'Bookings Detail'!K170</f>
        <v>40000</v>
      </c>
      <c r="F210" s="43" t="n">
        <f aca="false">AVERAGEIFS('Bookings Detail'!$K$5:$K$274,'Bookings Detail'!$B$5:$B$274,C210,'Bookings Detail'!$H$5:$H$274,D210)</f>
        <v>37450</v>
      </c>
      <c r="G210" s="90" t="n">
        <f aca="false">IFERROR(E210/F210,0)</f>
        <v>1.06809078771696</v>
      </c>
      <c r="H210" s="41" t="str">
        <f aca="false">IF(G210&gt;=2.5,"Outlier — 2.5x+ rep's typical deal size for this type","")</f>
        <v/>
      </c>
    </row>
    <row r="211" customFormat="false" ht="15" hidden="false" customHeight="false" outlineLevel="0" collapsed="false">
      <c r="B211" s="34" t="str">
        <f aca="false">'Bookings Detail'!A171</f>
        <v>D00140</v>
      </c>
      <c r="C211" s="34" t="str">
        <f aca="false">'Bookings Detail'!B171</f>
        <v>R007</v>
      </c>
      <c r="D211" s="34" t="str">
        <f aca="false">'Bookings Detail'!H171</f>
        <v>Renewal</v>
      </c>
      <c r="E211" s="36" t="n">
        <f aca="false">'Bookings Detail'!K171</f>
        <v>35000</v>
      </c>
      <c r="F211" s="37" t="n">
        <f aca="false">AVERAGEIFS('Bookings Detail'!$K$5:$K$274,'Bookings Detail'!$B$5:$B$274,C211,'Bookings Detail'!$H$5:$H$274,D211)</f>
        <v>67375</v>
      </c>
      <c r="G211" s="89" t="n">
        <f aca="false">IFERROR(E211/F211,0)</f>
        <v>0.519480519480519</v>
      </c>
      <c r="H211" s="35" t="str">
        <f aca="false">IF(G211&gt;=2.5,"Outlier — 2.5x+ rep's typical deal size for this type","")</f>
        <v/>
      </c>
    </row>
    <row r="212" customFormat="false" ht="15" hidden="false" customHeight="false" outlineLevel="0" collapsed="false">
      <c r="B212" s="40" t="str">
        <f aca="false">'Bookings Detail'!A172</f>
        <v>D00039</v>
      </c>
      <c r="C212" s="40" t="str">
        <f aca="false">'Bookings Detail'!B172</f>
        <v>R002</v>
      </c>
      <c r="D212" s="40" t="str">
        <f aca="false">'Bookings Detail'!H172</f>
        <v>Renewal</v>
      </c>
      <c r="E212" s="42" t="n">
        <f aca="false">'Bookings Detail'!K172</f>
        <v>1500</v>
      </c>
      <c r="F212" s="43" t="n">
        <f aca="false">AVERAGEIFS('Bookings Detail'!$K$5:$K$274,'Bookings Detail'!$B$5:$B$274,C212,'Bookings Detail'!$H$5:$H$274,D212)</f>
        <v>3357.14285714286</v>
      </c>
      <c r="G212" s="90" t="n">
        <f aca="false">IFERROR(E212/F212,0)</f>
        <v>0.446808510638298</v>
      </c>
      <c r="H212" s="41" t="str">
        <f aca="false">IF(G212&gt;=2.5,"Outlier — 2.5x+ rep's typical deal size for this type","")</f>
        <v/>
      </c>
    </row>
    <row r="213" customFormat="false" ht="15" hidden="false" customHeight="false" outlineLevel="0" collapsed="false">
      <c r="B213" s="34" t="str">
        <f aca="false">'Bookings Detail'!A173</f>
        <v>D00078</v>
      </c>
      <c r="C213" s="34" t="str">
        <f aca="false">'Bookings Detail'!B173</f>
        <v>R004</v>
      </c>
      <c r="D213" s="34" t="str">
        <f aca="false">'Bookings Detail'!H173</f>
        <v>Upsell</v>
      </c>
      <c r="E213" s="36" t="n">
        <f aca="false">'Bookings Detail'!K173</f>
        <v>6500</v>
      </c>
      <c r="F213" s="37" t="n">
        <f aca="false">AVERAGEIFS('Bookings Detail'!$K$5:$K$274,'Bookings Detail'!$B$5:$B$274,C213,'Bookings Detail'!$H$5:$H$274,D213)</f>
        <v>10875</v>
      </c>
      <c r="G213" s="89" t="n">
        <f aca="false">IFERROR(E213/F213,0)</f>
        <v>0.597701149425287</v>
      </c>
      <c r="H213" s="35" t="str">
        <f aca="false">IF(G213&gt;=2.5,"Outlier — 2.5x+ rep's typical deal size for this type","")</f>
        <v/>
      </c>
    </row>
    <row r="214" customFormat="false" ht="15" hidden="false" customHeight="false" outlineLevel="0" collapsed="false">
      <c r="B214" s="40" t="str">
        <f aca="false">'Bookings Detail'!A174</f>
        <v>D00255</v>
      </c>
      <c r="C214" s="40" t="str">
        <f aca="false">'Bookings Detail'!B174</f>
        <v>R014</v>
      </c>
      <c r="D214" s="40" t="str">
        <f aca="false">'Bookings Detail'!H174</f>
        <v>Renewal</v>
      </c>
      <c r="E214" s="42" t="n">
        <f aca="false">'Bookings Detail'!K174</f>
        <v>37000</v>
      </c>
      <c r="F214" s="43" t="n">
        <f aca="false">AVERAGEIFS('Bookings Detail'!$K$5:$K$274,'Bookings Detail'!$B$5:$B$274,C214,'Bookings Detail'!$H$5:$H$274,D214)</f>
        <v>60357.1428571429</v>
      </c>
      <c r="G214" s="90" t="n">
        <f aca="false">IFERROR(E214/F214,0)</f>
        <v>0.61301775147929</v>
      </c>
      <c r="H214" s="41" t="str">
        <f aca="false">IF(G214&gt;=2.5,"Outlier — 2.5x+ rep's typical deal size for this type","")</f>
        <v/>
      </c>
    </row>
    <row r="215" customFormat="false" ht="15" hidden="false" customHeight="false" outlineLevel="0" collapsed="false">
      <c r="B215" s="34" t="str">
        <f aca="false">'Bookings Detail'!A175</f>
        <v>D00057</v>
      </c>
      <c r="C215" s="34" t="str">
        <f aca="false">'Bookings Detail'!B175</f>
        <v>R003</v>
      </c>
      <c r="D215" s="34" t="str">
        <f aca="false">'Bookings Detail'!H175</f>
        <v>Upsell</v>
      </c>
      <c r="E215" s="36" t="n">
        <f aca="false">'Bookings Detail'!K175</f>
        <v>13000</v>
      </c>
      <c r="F215" s="37" t="n">
        <f aca="false">AVERAGEIFS('Bookings Detail'!$K$5:$K$274,'Bookings Detail'!$B$5:$B$274,C215,'Bookings Detail'!$H$5:$H$274,D215)</f>
        <v>18100</v>
      </c>
      <c r="G215" s="89" t="n">
        <f aca="false">IFERROR(E215/F215,0)</f>
        <v>0.718232044198895</v>
      </c>
      <c r="H215" s="35" t="str">
        <f aca="false">IF(G215&gt;=2.5,"Outlier — 2.5x+ rep's typical deal size for this type","")</f>
        <v/>
      </c>
    </row>
    <row r="216" customFormat="false" ht="15" hidden="false" customHeight="false" outlineLevel="0" collapsed="false">
      <c r="B216" s="40" t="str">
        <f aca="false">'Bookings Detail'!A176</f>
        <v>D00117</v>
      </c>
      <c r="C216" s="40" t="str">
        <f aca="false">'Bookings Detail'!B176</f>
        <v>R006</v>
      </c>
      <c r="D216" s="40" t="str">
        <f aca="false">'Bookings Detail'!H176</f>
        <v>New Business</v>
      </c>
      <c r="E216" s="42" t="n">
        <f aca="false">'Bookings Detail'!K176</f>
        <v>33000</v>
      </c>
      <c r="F216" s="43" t="n">
        <f aca="false">AVERAGEIFS('Bookings Detail'!$K$5:$K$274,'Bookings Detail'!$B$5:$B$274,C216,'Bookings Detail'!$H$5:$H$274,D216)</f>
        <v>37450</v>
      </c>
      <c r="G216" s="90" t="n">
        <f aca="false">IFERROR(E216/F216,0)</f>
        <v>0.881174899866489</v>
      </c>
      <c r="H216" s="41" t="str">
        <f aca="false">IF(G216&gt;=2.5,"Outlier — 2.5x+ rep's typical deal size for this type","")</f>
        <v/>
      </c>
    </row>
    <row r="217" customFormat="false" ht="15" hidden="false" customHeight="false" outlineLevel="0" collapsed="false">
      <c r="B217" s="34" t="str">
        <f aca="false">'Bookings Detail'!A177</f>
        <v>D00062</v>
      </c>
      <c r="C217" s="34" t="str">
        <f aca="false">'Bookings Detail'!B177</f>
        <v>R003</v>
      </c>
      <c r="D217" s="34" t="str">
        <f aca="false">'Bookings Detail'!H177</f>
        <v>Renewal</v>
      </c>
      <c r="E217" s="36" t="n">
        <f aca="false">'Bookings Detail'!K177</f>
        <v>14000</v>
      </c>
      <c r="F217" s="37" t="n">
        <f aca="false">AVERAGEIFS('Bookings Detail'!$K$5:$K$274,'Bookings Detail'!$B$5:$B$274,C217,'Bookings Detail'!$H$5:$H$274,D217)</f>
        <v>17200</v>
      </c>
      <c r="G217" s="89" t="n">
        <f aca="false">IFERROR(E217/F217,0)</f>
        <v>0.813953488372093</v>
      </c>
      <c r="H217" s="35" t="str">
        <f aca="false">IF(G217&gt;=2.5,"Outlier — 2.5x+ rep's typical deal size for this type","")</f>
        <v/>
      </c>
    </row>
    <row r="218" customFormat="false" ht="15" hidden="false" customHeight="false" outlineLevel="0" collapsed="false">
      <c r="B218" s="40" t="str">
        <f aca="false">'Bookings Detail'!A178</f>
        <v>D00149</v>
      </c>
      <c r="C218" s="40" t="str">
        <f aca="false">'Bookings Detail'!B178</f>
        <v>R008</v>
      </c>
      <c r="D218" s="40" t="str">
        <f aca="false">'Bookings Detail'!H178</f>
        <v>New Business</v>
      </c>
      <c r="E218" s="42" t="n">
        <f aca="false">'Bookings Detail'!K178</f>
        <v>36000</v>
      </c>
      <c r="F218" s="43" t="n">
        <f aca="false">AVERAGEIFS('Bookings Detail'!$K$5:$K$274,'Bookings Detail'!$B$5:$B$274,C218,'Bookings Detail'!$H$5:$H$274,D218)</f>
        <v>82142.8571428571</v>
      </c>
      <c r="G218" s="90" t="n">
        <f aca="false">IFERROR(E218/F218,0)</f>
        <v>0.438260869565217</v>
      </c>
      <c r="H218" s="41" t="str">
        <f aca="false">IF(G218&gt;=2.5,"Outlier — 2.5x+ rep's typical deal size for this type","")</f>
        <v/>
      </c>
    </row>
    <row r="219" customFormat="false" ht="15" hidden="false" customHeight="false" outlineLevel="0" collapsed="false">
      <c r="B219" s="34" t="str">
        <f aca="false">'Bookings Detail'!A179</f>
        <v>D00229</v>
      </c>
      <c r="C219" s="34" t="str">
        <f aca="false">'Bookings Detail'!B179</f>
        <v>R012</v>
      </c>
      <c r="D219" s="34" t="str">
        <f aca="false">'Bookings Detail'!H179</f>
        <v>Upsell</v>
      </c>
      <c r="E219" s="36" t="n">
        <f aca="false">'Bookings Detail'!K179</f>
        <v>10500</v>
      </c>
      <c r="F219" s="37" t="n">
        <f aca="false">AVERAGEIFS('Bookings Detail'!$K$5:$K$274,'Bookings Detail'!$B$5:$B$274,C219,'Bookings Detail'!$H$5:$H$274,D219)</f>
        <v>19300</v>
      </c>
      <c r="G219" s="89" t="n">
        <f aca="false">IFERROR(E219/F219,0)</f>
        <v>0.544041450777202</v>
      </c>
      <c r="H219" s="35" t="str">
        <f aca="false">IF(G219&gt;=2.5,"Outlier — 2.5x+ rep's typical deal size for this type","")</f>
        <v/>
      </c>
    </row>
    <row r="220" customFormat="false" ht="15" hidden="false" customHeight="false" outlineLevel="0" collapsed="false">
      <c r="B220" s="40" t="str">
        <f aca="false">'Bookings Detail'!A180</f>
        <v>D00191</v>
      </c>
      <c r="C220" s="40" t="str">
        <f aca="false">'Bookings Detail'!B180</f>
        <v>R010</v>
      </c>
      <c r="D220" s="40" t="str">
        <f aca="false">'Bookings Detail'!H180</f>
        <v>New Business</v>
      </c>
      <c r="E220" s="42" t="n">
        <f aca="false">'Bookings Detail'!K180</f>
        <v>233500</v>
      </c>
      <c r="F220" s="43" t="n">
        <f aca="false">AVERAGEIFS('Bookings Detail'!$K$5:$K$274,'Bookings Detail'!$B$5:$B$274,C220,'Bookings Detail'!$H$5:$H$274,D220)</f>
        <v>96333.3333333333</v>
      </c>
      <c r="G220" s="90" t="n">
        <f aca="false">IFERROR(E220/F220,0)</f>
        <v>2.42387543252595</v>
      </c>
      <c r="H220" s="41" t="str">
        <f aca="false">IF(G220&gt;=2.5,"Outlier — 2.5x+ rep's typical deal size for this type","")</f>
        <v/>
      </c>
    </row>
    <row r="221" customFormat="false" ht="15" hidden="false" customHeight="false" outlineLevel="0" collapsed="false">
      <c r="B221" s="34" t="str">
        <f aca="false">'Bookings Detail'!A181</f>
        <v>D00154</v>
      </c>
      <c r="C221" s="34" t="str">
        <f aca="false">'Bookings Detail'!B181</f>
        <v>R008</v>
      </c>
      <c r="D221" s="34" t="str">
        <f aca="false">'Bookings Detail'!H181</f>
        <v>Upsell</v>
      </c>
      <c r="E221" s="36" t="n">
        <f aca="false">'Bookings Detail'!K181</f>
        <v>13500</v>
      </c>
      <c r="F221" s="37" t="n">
        <f aca="false">AVERAGEIFS('Bookings Detail'!$K$5:$K$274,'Bookings Detail'!$B$5:$B$274,C221,'Bookings Detail'!$H$5:$H$274,D221)</f>
        <v>20250</v>
      </c>
      <c r="G221" s="89" t="n">
        <f aca="false">IFERROR(E221/F221,0)</f>
        <v>0.666666666666667</v>
      </c>
      <c r="H221" s="35" t="str">
        <f aca="false">IF(G221&gt;=2.5,"Outlier — 2.5x+ rep's typical deal size for this type","")</f>
        <v/>
      </c>
    </row>
    <row r="222" customFormat="false" ht="15" hidden="false" customHeight="false" outlineLevel="0" collapsed="false">
      <c r="B222" s="40" t="str">
        <f aca="false">'Bookings Detail'!A182</f>
        <v>D00160</v>
      </c>
      <c r="C222" s="40" t="str">
        <f aca="false">'Bookings Detail'!B182</f>
        <v>R008</v>
      </c>
      <c r="D222" s="40" t="str">
        <f aca="false">'Bookings Detail'!H182</f>
        <v>Renewal</v>
      </c>
      <c r="E222" s="42" t="n">
        <f aca="false">'Bookings Detail'!K182</f>
        <v>2500</v>
      </c>
      <c r="F222" s="43" t="n">
        <f aca="false">AVERAGEIFS('Bookings Detail'!$K$5:$K$274,'Bookings Detail'!$B$5:$B$274,C222,'Bookings Detail'!$H$5:$H$274,D222)</f>
        <v>21000</v>
      </c>
      <c r="G222" s="90" t="n">
        <f aca="false">IFERROR(E222/F222,0)</f>
        <v>0.119047619047619</v>
      </c>
      <c r="H222" s="41" t="str">
        <f aca="false">IF(G222&gt;=2.5,"Outlier — 2.5x+ rep's typical deal size for this type","")</f>
        <v/>
      </c>
    </row>
    <row r="223" customFormat="false" ht="15" hidden="false" customHeight="false" outlineLevel="0" collapsed="false">
      <c r="B223" s="34" t="str">
        <f aca="false">'Bookings Detail'!A183</f>
        <v>D00077</v>
      </c>
      <c r="C223" s="34" t="str">
        <f aca="false">'Bookings Detail'!B183</f>
        <v>R004</v>
      </c>
      <c r="D223" s="34" t="str">
        <f aca="false">'Bookings Detail'!H183</f>
        <v>Renewal</v>
      </c>
      <c r="E223" s="36" t="n">
        <f aca="false">'Bookings Detail'!K183</f>
        <v>133000</v>
      </c>
      <c r="F223" s="37" t="n">
        <f aca="false">AVERAGEIFS('Bookings Detail'!$K$5:$K$274,'Bookings Detail'!$B$5:$B$274,C223,'Bookings Detail'!$H$5:$H$274,D223)</f>
        <v>26250</v>
      </c>
      <c r="G223" s="89" t="n">
        <f aca="false">IFERROR(E223/F223,0)</f>
        <v>5.06666666666667</v>
      </c>
      <c r="H223" s="35" t="str">
        <f aca="false">IF(G223&gt;=2.5,"Outlier — 2.5x+ rep's typical deal size for this type","")</f>
        <v>Outlier — 2.5x+ rep's typical deal size for this type</v>
      </c>
    </row>
    <row r="224" customFormat="false" ht="15" hidden="false" customHeight="false" outlineLevel="0" collapsed="false">
      <c r="B224" s="40" t="str">
        <f aca="false">'Bookings Detail'!A184</f>
        <v>D00208</v>
      </c>
      <c r="C224" s="40" t="str">
        <f aca="false">'Bookings Detail'!B184</f>
        <v>R011</v>
      </c>
      <c r="D224" s="40" t="str">
        <f aca="false">'Bookings Detail'!H184</f>
        <v>New Business</v>
      </c>
      <c r="E224" s="42" t="n">
        <f aca="false">'Bookings Detail'!K184</f>
        <v>7000</v>
      </c>
      <c r="F224" s="43" t="n">
        <f aca="false">AVERAGEIFS('Bookings Detail'!$K$5:$K$274,'Bookings Detail'!$B$5:$B$274,C224,'Bookings Detail'!$H$5:$H$274,D224)</f>
        <v>70062.5</v>
      </c>
      <c r="G224" s="90" t="n">
        <f aca="false">IFERROR(E224/F224,0)</f>
        <v>0.0999107939339875</v>
      </c>
      <c r="H224" s="41" t="str">
        <f aca="false">IF(G224&gt;=2.5,"Outlier — 2.5x+ rep's typical deal size for this type","")</f>
        <v/>
      </c>
    </row>
    <row r="225" customFormat="false" ht="15" hidden="false" customHeight="false" outlineLevel="0" collapsed="false">
      <c r="B225" s="34" t="str">
        <f aca="false">'Bookings Detail'!A185</f>
        <v>D00023</v>
      </c>
      <c r="C225" s="34" t="str">
        <f aca="false">'Bookings Detail'!B185</f>
        <v>R001</v>
      </c>
      <c r="D225" s="34" t="str">
        <f aca="false">'Bookings Detail'!H185</f>
        <v>Renewal</v>
      </c>
      <c r="E225" s="36" t="n">
        <f aca="false">'Bookings Detail'!K185</f>
        <v>10000</v>
      </c>
      <c r="F225" s="37" t="n">
        <f aca="false">AVERAGEIFS('Bookings Detail'!$K$5:$K$274,'Bookings Detail'!$B$5:$B$274,C225,'Bookings Detail'!$H$5:$H$274,D225)</f>
        <v>19187.5</v>
      </c>
      <c r="G225" s="89" t="n">
        <f aca="false">IFERROR(E225/F225,0)</f>
        <v>0.521172638436482</v>
      </c>
      <c r="H225" s="35" t="str">
        <f aca="false">IF(G225&gt;=2.5,"Outlier — 2.5x+ rep's typical deal size for this type","")</f>
        <v/>
      </c>
    </row>
    <row r="226" customFormat="false" ht="15" hidden="false" customHeight="false" outlineLevel="0" collapsed="false">
      <c r="B226" s="40" t="str">
        <f aca="false">'Bookings Detail'!A186</f>
        <v>D00225</v>
      </c>
      <c r="C226" s="40" t="str">
        <f aca="false">'Bookings Detail'!B186</f>
        <v>R012</v>
      </c>
      <c r="D226" s="40" t="str">
        <f aca="false">'Bookings Detail'!H186</f>
        <v>New Business</v>
      </c>
      <c r="E226" s="42" t="n">
        <f aca="false">'Bookings Detail'!K186</f>
        <v>22500</v>
      </c>
      <c r="F226" s="43" t="n">
        <f aca="false">AVERAGEIFS('Bookings Detail'!$K$5:$K$274,'Bookings Detail'!$B$5:$B$274,C226,'Bookings Detail'!$H$5:$H$274,D226)</f>
        <v>147500</v>
      </c>
      <c r="G226" s="90" t="n">
        <f aca="false">IFERROR(E226/F226,0)</f>
        <v>0.152542372881356</v>
      </c>
      <c r="H226" s="41" t="str">
        <f aca="false">IF(G226&gt;=2.5,"Outlier — 2.5x+ rep's typical deal size for this type","")</f>
        <v/>
      </c>
    </row>
    <row r="227" customFormat="false" ht="15" hidden="false" customHeight="false" outlineLevel="0" collapsed="false">
      <c r="B227" s="34" t="str">
        <f aca="false">'Bookings Detail'!A187</f>
        <v>D00099</v>
      </c>
      <c r="C227" s="34" t="str">
        <f aca="false">'Bookings Detail'!B187</f>
        <v>R005</v>
      </c>
      <c r="D227" s="34" t="str">
        <f aca="false">'Bookings Detail'!H187</f>
        <v>Renewal</v>
      </c>
      <c r="E227" s="36" t="n">
        <f aca="false">'Bookings Detail'!K187</f>
        <v>18500</v>
      </c>
      <c r="F227" s="37" t="n">
        <f aca="false">AVERAGEIFS('Bookings Detail'!$K$5:$K$274,'Bookings Detail'!$B$5:$B$274,C227,'Bookings Detail'!$H$5:$H$274,D227)</f>
        <v>21687.5</v>
      </c>
      <c r="G227" s="89" t="n">
        <f aca="false">IFERROR(E227/F227,0)</f>
        <v>0.853025936599424</v>
      </c>
      <c r="H227" s="35" t="str">
        <f aca="false">IF(G227&gt;=2.5,"Outlier — 2.5x+ rep's typical deal size for this type","")</f>
        <v/>
      </c>
    </row>
    <row r="228" customFormat="false" ht="15" hidden="false" customHeight="false" outlineLevel="0" collapsed="false">
      <c r="B228" s="40" t="str">
        <f aca="false">'Bookings Detail'!A188</f>
        <v>D00192</v>
      </c>
      <c r="C228" s="40" t="str">
        <f aca="false">'Bookings Detail'!B188</f>
        <v>R010</v>
      </c>
      <c r="D228" s="40" t="str">
        <f aca="false">'Bookings Detail'!H188</f>
        <v>Upsell</v>
      </c>
      <c r="E228" s="42" t="n">
        <f aca="false">'Bookings Detail'!K188</f>
        <v>49500</v>
      </c>
      <c r="F228" s="43" t="n">
        <f aca="false">AVERAGEIFS('Bookings Detail'!$K$5:$K$274,'Bookings Detail'!$B$5:$B$274,C228,'Bookings Detail'!$H$5:$H$274,D228)</f>
        <v>40250</v>
      </c>
      <c r="G228" s="90" t="n">
        <f aca="false">IFERROR(E228/F228,0)</f>
        <v>1.22981366459627</v>
      </c>
      <c r="H228" s="41" t="str">
        <f aca="false">IF(G228&gt;=2.5,"Outlier — 2.5x+ rep's typical deal size for this type","")</f>
        <v/>
      </c>
    </row>
    <row r="229" customFormat="false" ht="15" hidden="false" customHeight="false" outlineLevel="0" collapsed="false">
      <c r="B229" s="34" t="str">
        <f aca="false">'Bookings Detail'!A189</f>
        <v>D00243</v>
      </c>
      <c r="C229" s="34" t="str">
        <f aca="false">'Bookings Detail'!B189</f>
        <v>R013</v>
      </c>
      <c r="D229" s="34" t="str">
        <f aca="false">'Bookings Detail'!H189</f>
        <v>Renewal</v>
      </c>
      <c r="E229" s="36" t="n">
        <f aca="false">'Bookings Detail'!K189</f>
        <v>67500</v>
      </c>
      <c r="F229" s="37" t="n">
        <f aca="false">AVERAGEIFS('Bookings Detail'!$K$5:$K$274,'Bookings Detail'!$B$5:$B$274,C229,'Bookings Detail'!$H$5:$H$274,D229)</f>
        <v>94750</v>
      </c>
      <c r="G229" s="89" t="n">
        <f aca="false">IFERROR(E229/F229,0)</f>
        <v>0.712401055408971</v>
      </c>
      <c r="H229" s="35" t="str">
        <f aca="false">IF(G229&gt;=2.5,"Outlier — 2.5x+ rep's typical deal size for this type","")</f>
        <v/>
      </c>
    </row>
    <row r="230" customFormat="false" ht="15" hidden="false" customHeight="false" outlineLevel="0" collapsed="false">
      <c r="B230" s="40" t="str">
        <f aca="false">'Bookings Detail'!A190</f>
        <v>D00034</v>
      </c>
      <c r="C230" s="40" t="str">
        <f aca="false">'Bookings Detail'!B190</f>
        <v>R002</v>
      </c>
      <c r="D230" s="40" t="str">
        <f aca="false">'Bookings Detail'!H190</f>
        <v>New Business</v>
      </c>
      <c r="E230" s="42" t="n">
        <f aca="false">'Bookings Detail'!K190</f>
        <v>33500</v>
      </c>
      <c r="F230" s="43" t="n">
        <f aca="false">AVERAGEIFS('Bookings Detail'!$K$5:$K$274,'Bookings Detail'!$B$5:$B$274,C230,'Bookings Detail'!$H$5:$H$274,D230)</f>
        <v>39312.5</v>
      </c>
      <c r="G230" s="90" t="n">
        <f aca="false">IFERROR(E230/F230,0)</f>
        <v>0.85214626391097</v>
      </c>
      <c r="H230" s="41" t="str">
        <f aca="false">IF(G230&gt;=2.5,"Outlier — 2.5x+ rep's typical deal size for this type","")</f>
        <v/>
      </c>
    </row>
    <row r="231" customFormat="false" ht="15" hidden="false" customHeight="false" outlineLevel="0" collapsed="false">
      <c r="B231" s="34" t="str">
        <f aca="false">'Bookings Detail'!A191</f>
        <v>D00016</v>
      </c>
      <c r="C231" s="34" t="str">
        <f aca="false">'Bookings Detail'!B191</f>
        <v>R001</v>
      </c>
      <c r="D231" s="34" t="str">
        <f aca="false">'Bookings Detail'!H191</f>
        <v>New Business</v>
      </c>
      <c r="E231" s="36" t="n">
        <f aca="false">'Bookings Detail'!K191</f>
        <v>6500</v>
      </c>
      <c r="F231" s="37" t="n">
        <f aca="false">AVERAGEIFS('Bookings Detail'!$K$5:$K$274,'Bookings Detail'!$B$5:$B$274,C231,'Bookings Detail'!$H$5:$H$274,D231)</f>
        <v>25550</v>
      </c>
      <c r="G231" s="89" t="n">
        <f aca="false">IFERROR(E231/F231,0)</f>
        <v>0.25440313111546</v>
      </c>
      <c r="H231" s="35" t="str">
        <f aca="false">IF(G231&gt;=2.5,"Outlier — 2.5x+ rep's typical deal size for this type","")</f>
        <v/>
      </c>
    </row>
    <row r="232" customFormat="false" ht="15" hidden="false" customHeight="false" outlineLevel="0" collapsed="false">
      <c r="B232" s="40" t="str">
        <f aca="false">'Bookings Detail'!A192</f>
        <v>D00019</v>
      </c>
      <c r="C232" s="40" t="str">
        <f aca="false">'Bookings Detail'!B192</f>
        <v>R001</v>
      </c>
      <c r="D232" s="40" t="str">
        <f aca="false">'Bookings Detail'!H192</f>
        <v>Upsell</v>
      </c>
      <c r="E232" s="42" t="n">
        <f aca="false">'Bookings Detail'!K192</f>
        <v>23000</v>
      </c>
      <c r="F232" s="43" t="n">
        <f aca="false">AVERAGEIFS('Bookings Detail'!$K$5:$K$274,'Bookings Detail'!$B$5:$B$274,C232,'Bookings Detail'!$H$5:$H$274,D232)</f>
        <v>22916.6666666667</v>
      </c>
      <c r="G232" s="90" t="n">
        <f aca="false">IFERROR(E232/F232,0)</f>
        <v>1.00363636363636</v>
      </c>
      <c r="H232" s="41" t="str">
        <f aca="false">IF(G232&gt;=2.5,"Outlier — 2.5x+ rep's typical deal size for this type","")</f>
        <v/>
      </c>
    </row>
    <row r="233" customFormat="false" ht="15" hidden="false" customHeight="false" outlineLevel="0" collapsed="false">
      <c r="B233" s="34" t="str">
        <f aca="false">'Bookings Detail'!A193</f>
        <v>D00135</v>
      </c>
      <c r="C233" s="34" t="str">
        <f aca="false">'Bookings Detail'!B193</f>
        <v>R007</v>
      </c>
      <c r="D233" s="34" t="str">
        <f aca="false">'Bookings Detail'!H193</f>
        <v>New Business</v>
      </c>
      <c r="E233" s="36" t="n">
        <f aca="false">'Bookings Detail'!K193</f>
        <v>57500</v>
      </c>
      <c r="F233" s="37" t="n">
        <f aca="false">AVERAGEIFS('Bookings Detail'!$K$5:$K$274,'Bookings Detail'!$B$5:$B$274,C233,'Bookings Detail'!$H$5:$H$274,D233)</f>
        <v>72785.7142857143</v>
      </c>
      <c r="G233" s="89" t="n">
        <f aca="false">IFERROR(E233/F233,0)</f>
        <v>0.789990186457311</v>
      </c>
      <c r="H233" s="35" t="str">
        <f aca="false">IF(G233&gt;=2.5,"Outlier — 2.5x+ rep's typical deal size for this type","")</f>
        <v/>
      </c>
    </row>
    <row r="234" customFormat="false" ht="15" hidden="false" customHeight="false" outlineLevel="0" collapsed="false">
      <c r="B234" s="40" t="str">
        <f aca="false">'Bookings Detail'!A194</f>
        <v>D00244</v>
      </c>
      <c r="C234" s="40" t="str">
        <f aca="false">'Bookings Detail'!B194</f>
        <v>R013</v>
      </c>
      <c r="D234" s="40" t="str">
        <f aca="false">'Bookings Detail'!H194</f>
        <v>Renewal</v>
      </c>
      <c r="E234" s="42" t="n">
        <f aca="false">'Bookings Detail'!K194</f>
        <v>3500</v>
      </c>
      <c r="F234" s="43" t="n">
        <f aca="false">AVERAGEIFS('Bookings Detail'!$K$5:$K$274,'Bookings Detail'!$B$5:$B$274,C234,'Bookings Detail'!$H$5:$H$274,D234)</f>
        <v>94750</v>
      </c>
      <c r="G234" s="90" t="n">
        <f aca="false">IFERROR(E234/F234,0)</f>
        <v>0.0369393139841689</v>
      </c>
      <c r="H234" s="41" t="str">
        <f aca="false">IF(G234&gt;=2.5,"Outlier — 2.5x+ rep's typical deal size for this type","")</f>
        <v/>
      </c>
    </row>
    <row r="235" customFormat="false" ht="15" hidden="false" customHeight="false" outlineLevel="0" collapsed="false">
      <c r="B235" s="34" t="str">
        <f aca="false">'Bookings Detail'!A195</f>
        <v>D00097</v>
      </c>
      <c r="C235" s="34" t="str">
        <f aca="false">'Bookings Detail'!B195</f>
        <v>R005</v>
      </c>
      <c r="D235" s="34" t="str">
        <f aca="false">'Bookings Detail'!H195</f>
        <v>Renewal</v>
      </c>
      <c r="E235" s="36" t="n">
        <f aca="false">'Bookings Detail'!K195</f>
        <v>5500</v>
      </c>
      <c r="F235" s="37" t="n">
        <f aca="false">AVERAGEIFS('Bookings Detail'!$K$5:$K$274,'Bookings Detail'!$B$5:$B$274,C235,'Bookings Detail'!$H$5:$H$274,D235)</f>
        <v>21687.5</v>
      </c>
      <c r="G235" s="89" t="n">
        <f aca="false">IFERROR(E235/F235,0)</f>
        <v>0.253602305475504</v>
      </c>
      <c r="H235" s="35" t="str">
        <f aca="false">IF(G235&gt;=2.5,"Outlier — 2.5x+ rep's typical deal size for this type","")</f>
        <v/>
      </c>
    </row>
    <row r="236" customFormat="false" ht="15" hidden="false" customHeight="false" outlineLevel="0" collapsed="false">
      <c r="B236" s="40" t="str">
        <f aca="false">'Bookings Detail'!A196</f>
        <v>D00035</v>
      </c>
      <c r="C236" s="40" t="str">
        <f aca="false">'Bookings Detail'!B196</f>
        <v>R002</v>
      </c>
      <c r="D236" s="40" t="str">
        <f aca="false">'Bookings Detail'!H196</f>
        <v>New Business</v>
      </c>
      <c r="E236" s="42" t="n">
        <f aca="false">'Bookings Detail'!K196</f>
        <v>44500</v>
      </c>
      <c r="F236" s="43" t="n">
        <f aca="false">AVERAGEIFS('Bookings Detail'!$K$5:$K$274,'Bookings Detail'!$B$5:$B$274,C236,'Bookings Detail'!$H$5:$H$274,D236)</f>
        <v>39312.5</v>
      </c>
      <c r="G236" s="90" t="n">
        <f aca="false">IFERROR(E236/F236,0)</f>
        <v>1.13195548489666</v>
      </c>
      <c r="H236" s="41" t="str">
        <f aca="false">IF(G236&gt;=2.5,"Outlier — 2.5x+ rep's typical deal size for this type","")</f>
        <v/>
      </c>
    </row>
    <row r="237" customFormat="false" ht="15" hidden="false" customHeight="false" outlineLevel="0" collapsed="false">
      <c r="B237" s="34" t="str">
        <f aca="false">'Bookings Detail'!A197</f>
        <v>D00175</v>
      </c>
      <c r="C237" s="34" t="str">
        <f aca="false">'Bookings Detail'!B197</f>
        <v>R009</v>
      </c>
      <c r="D237" s="34" t="str">
        <f aca="false">'Bookings Detail'!H197</f>
        <v>Renewal</v>
      </c>
      <c r="E237" s="36" t="n">
        <f aca="false">'Bookings Detail'!K197</f>
        <v>21500</v>
      </c>
      <c r="F237" s="37" t="n">
        <f aca="false">AVERAGEIFS('Bookings Detail'!$K$5:$K$274,'Bookings Detail'!$B$5:$B$274,C237,'Bookings Detail'!$H$5:$H$274,D237)</f>
        <v>29600</v>
      </c>
      <c r="G237" s="89" t="n">
        <f aca="false">IFERROR(E237/F237,0)</f>
        <v>0.726351351351351</v>
      </c>
      <c r="H237" s="35" t="str">
        <f aca="false">IF(G237&gt;=2.5,"Outlier — 2.5x+ rep's typical deal size for this type","")</f>
        <v/>
      </c>
    </row>
    <row r="238" customFormat="false" ht="15" hidden="false" customHeight="false" outlineLevel="0" collapsed="false">
      <c r="B238" s="40" t="str">
        <f aca="false">'Bookings Detail'!A198</f>
        <v>D00080</v>
      </c>
      <c r="C238" s="40" t="str">
        <f aca="false">'Bookings Detail'!B198</f>
        <v>R004</v>
      </c>
      <c r="D238" s="40" t="str">
        <f aca="false">'Bookings Detail'!H198</f>
        <v>Renewal</v>
      </c>
      <c r="E238" s="42" t="n">
        <f aca="false">'Bookings Detail'!K198</f>
        <v>3500</v>
      </c>
      <c r="F238" s="43" t="n">
        <f aca="false">AVERAGEIFS('Bookings Detail'!$K$5:$K$274,'Bookings Detail'!$B$5:$B$274,C238,'Bookings Detail'!$H$5:$H$274,D238)</f>
        <v>26250</v>
      </c>
      <c r="G238" s="90" t="n">
        <f aca="false">IFERROR(E238/F238,0)</f>
        <v>0.133333333333333</v>
      </c>
      <c r="H238" s="41" t="str">
        <f aca="false">IF(G238&gt;=2.5,"Outlier — 2.5x+ rep's typical deal size for this type","")</f>
        <v/>
      </c>
    </row>
    <row r="239" customFormat="false" ht="15" hidden="false" customHeight="false" outlineLevel="0" collapsed="false">
      <c r="B239" s="34" t="str">
        <f aca="false">'Bookings Detail'!A199</f>
        <v>D00056</v>
      </c>
      <c r="C239" s="34" t="str">
        <f aca="false">'Bookings Detail'!B199</f>
        <v>R003</v>
      </c>
      <c r="D239" s="34" t="str">
        <f aca="false">'Bookings Detail'!H199</f>
        <v>Upsell</v>
      </c>
      <c r="E239" s="36" t="n">
        <f aca="false">'Bookings Detail'!K199</f>
        <v>30000</v>
      </c>
      <c r="F239" s="37" t="n">
        <f aca="false">AVERAGEIFS('Bookings Detail'!$K$5:$K$274,'Bookings Detail'!$B$5:$B$274,C239,'Bookings Detail'!$H$5:$H$274,D239)</f>
        <v>18100</v>
      </c>
      <c r="G239" s="89" t="n">
        <f aca="false">IFERROR(E239/F239,0)</f>
        <v>1.65745856353591</v>
      </c>
      <c r="H239" s="35" t="str">
        <f aca="false">IF(G239&gt;=2.5,"Outlier — 2.5x+ rep's typical deal size for this type","")</f>
        <v/>
      </c>
    </row>
    <row r="240" customFormat="false" ht="15" hidden="false" customHeight="false" outlineLevel="0" collapsed="false">
      <c r="B240" s="40" t="str">
        <f aca="false">'Bookings Detail'!A200</f>
        <v>D00176</v>
      </c>
      <c r="C240" s="40" t="str">
        <f aca="false">'Bookings Detail'!B200</f>
        <v>R009</v>
      </c>
      <c r="D240" s="40" t="str">
        <f aca="false">'Bookings Detail'!H200</f>
        <v>Renewal</v>
      </c>
      <c r="E240" s="42" t="n">
        <f aca="false">'Bookings Detail'!K200</f>
        <v>17500</v>
      </c>
      <c r="F240" s="43" t="n">
        <f aca="false">AVERAGEIFS('Bookings Detail'!$K$5:$K$274,'Bookings Detail'!$B$5:$B$274,C240,'Bookings Detail'!$H$5:$H$274,D240)</f>
        <v>29600</v>
      </c>
      <c r="G240" s="90" t="n">
        <f aca="false">IFERROR(E240/F240,0)</f>
        <v>0.591216216216216</v>
      </c>
      <c r="H240" s="41" t="str">
        <f aca="false">IF(G240&gt;=2.5,"Outlier — 2.5x+ rep's typical deal size for this type","")</f>
        <v/>
      </c>
    </row>
    <row r="241" customFormat="false" ht="15" hidden="false" customHeight="false" outlineLevel="0" collapsed="false">
      <c r="B241" s="34" t="str">
        <f aca="false">'Bookings Detail'!A201</f>
        <v>D00037</v>
      </c>
      <c r="C241" s="34" t="str">
        <f aca="false">'Bookings Detail'!B201</f>
        <v>R002</v>
      </c>
      <c r="D241" s="34" t="str">
        <f aca="false">'Bookings Detail'!H201</f>
        <v>Renewal</v>
      </c>
      <c r="E241" s="36" t="n">
        <f aca="false">'Bookings Detail'!K201</f>
        <v>2000</v>
      </c>
      <c r="F241" s="37" t="n">
        <f aca="false">AVERAGEIFS('Bookings Detail'!$K$5:$K$274,'Bookings Detail'!$B$5:$B$274,C241,'Bookings Detail'!$H$5:$H$274,D241)</f>
        <v>3357.14285714286</v>
      </c>
      <c r="G241" s="89" t="n">
        <f aca="false">IFERROR(E241/F241,0)</f>
        <v>0.595744680851064</v>
      </c>
      <c r="H241" s="35" t="str">
        <f aca="false">IF(G241&gt;=2.5,"Outlier — 2.5x+ rep's typical deal size for this type","")</f>
        <v/>
      </c>
    </row>
    <row r="242" customFormat="false" ht="15" hidden="false" customHeight="false" outlineLevel="0" collapsed="false">
      <c r="B242" s="40" t="str">
        <f aca="false">'Bookings Detail'!A202</f>
        <v>D00177</v>
      </c>
      <c r="C242" s="40" t="str">
        <f aca="false">'Bookings Detail'!B202</f>
        <v>R009</v>
      </c>
      <c r="D242" s="40" t="str">
        <f aca="false">'Bookings Detail'!H202</f>
        <v>Renewal</v>
      </c>
      <c r="E242" s="42" t="n">
        <f aca="false">'Bookings Detail'!K202</f>
        <v>41500</v>
      </c>
      <c r="F242" s="43" t="n">
        <f aca="false">AVERAGEIFS('Bookings Detail'!$K$5:$K$274,'Bookings Detail'!$B$5:$B$274,C242,'Bookings Detail'!$H$5:$H$274,D242)</f>
        <v>29600</v>
      </c>
      <c r="G242" s="90" t="n">
        <f aca="false">IFERROR(E242/F242,0)</f>
        <v>1.40202702702703</v>
      </c>
      <c r="H242" s="41" t="str">
        <f aca="false">IF(G242&gt;=2.5,"Outlier — 2.5x+ rep's typical deal size for this type","")</f>
        <v/>
      </c>
    </row>
    <row r="243" customFormat="false" ht="15" hidden="false" customHeight="false" outlineLevel="0" collapsed="false">
      <c r="B243" s="34" t="str">
        <f aca="false">'Bookings Detail'!A203</f>
        <v>D00093</v>
      </c>
      <c r="C243" s="34" t="str">
        <f aca="false">'Bookings Detail'!B203</f>
        <v>R005</v>
      </c>
      <c r="D243" s="34" t="str">
        <f aca="false">'Bookings Detail'!H203</f>
        <v>New Business</v>
      </c>
      <c r="E243" s="36" t="n">
        <f aca="false">'Bookings Detail'!K203</f>
        <v>27500</v>
      </c>
      <c r="F243" s="37" t="n">
        <f aca="false">AVERAGEIFS('Bookings Detail'!$K$5:$K$274,'Bookings Detail'!$B$5:$B$274,C243,'Bookings Detail'!$H$5:$H$274,D243)</f>
        <v>34444.4444444444</v>
      </c>
      <c r="G243" s="89" t="n">
        <f aca="false">IFERROR(E243/F243,0)</f>
        <v>0.798387096774194</v>
      </c>
      <c r="H243" s="35" t="str">
        <f aca="false">IF(G243&gt;=2.5,"Outlier — 2.5x+ rep's typical deal size for this type","")</f>
        <v/>
      </c>
    </row>
    <row r="244" customFormat="false" ht="15" hidden="false" customHeight="false" outlineLevel="0" collapsed="false">
      <c r="B244" s="40" t="str">
        <f aca="false">'Bookings Detail'!A204</f>
        <v>D00238</v>
      </c>
      <c r="C244" s="40" t="str">
        <f aca="false">'Bookings Detail'!B204</f>
        <v>R013</v>
      </c>
      <c r="D244" s="40" t="str">
        <f aca="false">'Bookings Detail'!H204</f>
        <v>New Business</v>
      </c>
      <c r="E244" s="42" t="n">
        <f aca="false">'Bookings Detail'!K204</f>
        <v>52000</v>
      </c>
      <c r="F244" s="43" t="n">
        <f aca="false">AVERAGEIFS('Bookings Detail'!$K$5:$K$274,'Bookings Detail'!$B$5:$B$274,C244,'Bookings Detail'!$H$5:$H$274,D244)</f>
        <v>259166.666666667</v>
      </c>
      <c r="G244" s="90" t="n">
        <f aca="false">IFERROR(E244/F244,0)</f>
        <v>0.20064308681672</v>
      </c>
      <c r="H244" s="41" t="str">
        <f aca="false">IF(G244&gt;=2.5,"Outlier — 2.5x+ rep's typical deal size for this type","")</f>
        <v/>
      </c>
    </row>
    <row r="245" customFormat="false" ht="15" hidden="false" customHeight="false" outlineLevel="0" collapsed="false">
      <c r="B245" s="34" t="str">
        <f aca="false">'Bookings Detail'!A205</f>
        <v>D00252</v>
      </c>
      <c r="C245" s="34" t="str">
        <f aca="false">'Bookings Detail'!B205</f>
        <v>R014</v>
      </c>
      <c r="D245" s="34" t="str">
        <f aca="false">'Bookings Detail'!H205</f>
        <v>New Business</v>
      </c>
      <c r="E245" s="36" t="n">
        <f aca="false">'Bookings Detail'!K205</f>
        <v>570000</v>
      </c>
      <c r="F245" s="37" t="n">
        <f aca="false">AVERAGEIFS('Bookings Detail'!$K$5:$K$274,'Bookings Detail'!$B$5:$B$274,C245,'Bookings Detail'!$H$5:$H$274,D245)</f>
        <v>358166.666666667</v>
      </c>
      <c r="G245" s="89" t="n">
        <f aca="false">IFERROR(E245/F245,0)</f>
        <v>1.59143787808283</v>
      </c>
      <c r="H245" s="35" t="str">
        <f aca="false">IF(G245&gt;=2.5,"Outlier — 2.5x+ rep's typical deal size for this type","")</f>
        <v/>
      </c>
    </row>
    <row r="246" customFormat="false" ht="15" hidden="false" customHeight="false" outlineLevel="0" collapsed="false">
      <c r="B246" s="40" t="str">
        <f aca="false">'Bookings Detail'!A206</f>
        <v>D00227</v>
      </c>
      <c r="C246" s="40" t="str">
        <f aca="false">'Bookings Detail'!B206</f>
        <v>R012</v>
      </c>
      <c r="D246" s="40" t="str">
        <f aca="false">'Bookings Detail'!H206</f>
        <v>New Business</v>
      </c>
      <c r="E246" s="42" t="n">
        <f aca="false">'Bookings Detail'!K206</f>
        <v>518000</v>
      </c>
      <c r="F246" s="43" t="n">
        <f aca="false">AVERAGEIFS('Bookings Detail'!$K$5:$K$274,'Bookings Detail'!$B$5:$B$274,C246,'Bookings Detail'!$H$5:$H$274,D246)</f>
        <v>147500</v>
      </c>
      <c r="G246" s="90" t="n">
        <f aca="false">IFERROR(E246/F246,0)</f>
        <v>3.51186440677966</v>
      </c>
      <c r="H246" s="41" t="str">
        <f aca="false">IF(G246&gt;=2.5,"Outlier — 2.5x+ rep's typical deal size for this type","")</f>
        <v>Outlier — 2.5x+ rep's typical deal size for this type</v>
      </c>
    </row>
    <row r="247" customFormat="false" ht="15" hidden="false" customHeight="false" outlineLevel="0" collapsed="false">
      <c r="B247" s="34" t="str">
        <f aca="false">'Bookings Detail'!A207</f>
        <v>D00024</v>
      </c>
      <c r="C247" s="34" t="str">
        <f aca="false">'Bookings Detail'!B207</f>
        <v>R001</v>
      </c>
      <c r="D247" s="34" t="str">
        <f aca="false">'Bookings Detail'!H207</f>
        <v>Renewal</v>
      </c>
      <c r="E247" s="36" t="n">
        <f aca="false">'Bookings Detail'!K207</f>
        <v>64500</v>
      </c>
      <c r="F247" s="37" t="n">
        <f aca="false">AVERAGEIFS('Bookings Detail'!$K$5:$K$274,'Bookings Detail'!$B$5:$B$274,C247,'Bookings Detail'!$H$5:$H$274,D247)</f>
        <v>19187.5</v>
      </c>
      <c r="G247" s="89" t="n">
        <f aca="false">IFERROR(E247/F247,0)</f>
        <v>3.36156351791531</v>
      </c>
      <c r="H247" s="35" t="str">
        <f aca="false">IF(G247&gt;=2.5,"Outlier — 2.5x+ rep's typical deal size for this type","")</f>
        <v>Outlier — 2.5x+ rep's typical deal size for this type</v>
      </c>
    </row>
    <row r="248" customFormat="false" ht="15" hidden="false" customHeight="false" outlineLevel="0" collapsed="false">
      <c r="B248" s="40" t="str">
        <f aca="false">'Bookings Detail'!A208</f>
        <v>D00155</v>
      </c>
      <c r="C248" s="40" t="str">
        <f aca="false">'Bookings Detail'!B208</f>
        <v>R008</v>
      </c>
      <c r="D248" s="40" t="str">
        <f aca="false">'Bookings Detail'!H208</f>
        <v>Upsell</v>
      </c>
      <c r="E248" s="42" t="n">
        <f aca="false">'Bookings Detail'!K208</f>
        <v>9500</v>
      </c>
      <c r="F248" s="43" t="n">
        <f aca="false">AVERAGEIFS('Bookings Detail'!$K$5:$K$274,'Bookings Detail'!$B$5:$B$274,C248,'Bookings Detail'!$H$5:$H$274,D248)</f>
        <v>20250</v>
      </c>
      <c r="G248" s="90" t="n">
        <f aca="false">IFERROR(E248/F248,0)</f>
        <v>0.469135802469136</v>
      </c>
      <c r="H248" s="41" t="str">
        <f aca="false">IF(G248&gt;=2.5,"Outlier — 2.5x+ rep's typical deal size for this type","")</f>
        <v/>
      </c>
    </row>
    <row r="249" customFormat="false" ht="15" hidden="false" customHeight="false" outlineLevel="0" collapsed="false">
      <c r="B249" s="34" t="str">
        <f aca="false">'Bookings Detail'!A209</f>
        <v>D00150</v>
      </c>
      <c r="C249" s="34" t="str">
        <f aca="false">'Bookings Detail'!B209</f>
        <v>R008</v>
      </c>
      <c r="D249" s="34" t="str">
        <f aca="false">'Bookings Detail'!H209</f>
        <v>New Business</v>
      </c>
      <c r="E249" s="36" t="n">
        <f aca="false">'Bookings Detail'!K209</f>
        <v>110000</v>
      </c>
      <c r="F249" s="37" t="n">
        <f aca="false">AVERAGEIFS('Bookings Detail'!$K$5:$K$274,'Bookings Detail'!$B$5:$B$274,C249,'Bookings Detail'!$H$5:$H$274,D249)</f>
        <v>82142.8571428571</v>
      </c>
      <c r="G249" s="89" t="n">
        <f aca="false">IFERROR(E249/F249,0)</f>
        <v>1.33913043478261</v>
      </c>
      <c r="H249" s="35" t="str">
        <f aca="false">IF(G249&gt;=2.5,"Outlier — 2.5x+ rep's typical deal size for this type","")</f>
        <v/>
      </c>
    </row>
    <row r="250" customFormat="false" ht="15" hidden="false" customHeight="false" outlineLevel="0" collapsed="false">
      <c r="B250" s="40" t="str">
        <f aca="false">'Bookings Detail'!A210</f>
        <v>D00193</v>
      </c>
      <c r="C250" s="40" t="str">
        <f aca="false">'Bookings Detail'!B210</f>
        <v>R010</v>
      </c>
      <c r="D250" s="40" t="str">
        <f aca="false">'Bookings Detail'!H210</f>
        <v>Renewal</v>
      </c>
      <c r="E250" s="42" t="n">
        <f aca="false">'Bookings Detail'!K210</f>
        <v>25000</v>
      </c>
      <c r="F250" s="43" t="n">
        <f aca="false">AVERAGEIFS('Bookings Detail'!$K$5:$K$274,'Bookings Detail'!$B$5:$B$274,C250,'Bookings Detail'!$H$5:$H$274,D250)</f>
        <v>51642.8571428571</v>
      </c>
      <c r="G250" s="90" t="n">
        <f aca="false">IFERROR(E250/F250,0)</f>
        <v>0.484094052558783</v>
      </c>
      <c r="H250" s="41" t="str">
        <f aca="false">IF(G250&gt;=2.5,"Outlier — 2.5x+ rep's typical deal size for this type","")</f>
        <v/>
      </c>
    </row>
    <row r="251" customFormat="false" ht="15" hidden="false" customHeight="false" outlineLevel="0" collapsed="false">
      <c r="B251" s="34" t="str">
        <f aca="false">'Bookings Detail'!A211</f>
        <v>D00015</v>
      </c>
      <c r="C251" s="34" t="str">
        <f aca="false">'Bookings Detail'!B211</f>
        <v>R001</v>
      </c>
      <c r="D251" s="34" t="str">
        <f aca="false">'Bookings Detail'!H211</f>
        <v>New Business</v>
      </c>
      <c r="E251" s="36" t="n">
        <f aca="false">'Bookings Detail'!K211</f>
        <v>22000</v>
      </c>
      <c r="F251" s="37" t="n">
        <f aca="false">AVERAGEIFS('Bookings Detail'!$K$5:$K$274,'Bookings Detail'!$B$5:$B$274,C251,'Bookings Detail'!$H$5:$H$274,D251)</f>
        <v>25550</v>
      </c>
      <c r="G251" s="89" t="n">
        <f aca="false">IFERROR(E251/F251,0)</f>
        <v>0.86105675146771</v>
      </c>
      <c r="H251" s="35" t="str">
        <f aca="false">IF(G251&gt;=2.5,"Outlier — 2.5x+ rep's typical deal size for this type","")</f>
        <v/>
      </c>
    </row>
    <row r="252" customFormat="false" ht="15" hidden="false" customHeight="false" outlineLevel="0" collapsed="false">
      <c r="B252" s="40" t="str">
        <f aca="false">'Bookings Detail'!A212</f>
        <v>D00020</v>
      </c>
      <c r="C252" s="40" t="str">
        <f aca="false">'Bookings Detail'!B212</f>
        <v>R001</v>
      </c>
      <c r="D252" s="40" t="str">
        <f aca="false">'Bookings Detail'!H212</f>
        <v>Upsell</v>
      </c>
      <c r="E252" s="42" t="n">
        <f aca="false">'Bookings Detail'!K212</f>
        <v>33500</v>
      </c>
      <c r="F252" s="43" t="n">
        <f aca="false">AVERAGEIFS('Bookings Detail'!$K$5:$K$274,'Bookings Detail'!$B$5:$B$274,C252,'Bookings Detail'!$H$5:$H$274,D252)</f>
        <v>22916.6666666667</v>
      </c>
      <c r="G252" s="90" t="n">
        <f aca="false">IFERROR(E252/F252,0)</f>
        <v>1.46181818181818</v>
      </c>
      <c r="H252" s="41" t="str">
        <f aca="false">IF(G252&gt;=2.5,"Outlier — 2.5x+ rep's typical deal size for this type","")</f>
        <v/>
      </c>
    </row>
    <row r="253" customFormat="false" ht="15" hidden="false" customHeight="false" outlineLevel="0" collapsed="false">
      <c r="B253" s="34" t="str">
        <f aca="false">'Bookings Detail'!A213</f>
        <v>D00095</v>
      </c>
      <c r="C253" s="34" t="str">
        <f aca="false">'Bookings Detail'!B213</f>
        <v>R005</v>
      </c>
      <c r="D253" s="34" t="str">
        <f aca="false">'Bookings Detail'!H213</f>
        <v>New Business</v>
      </c>
      <c r="E253" s="36" t="n">
        <f aca="false">'Bookings Detail'!K213</f>
        <v>3000</v>
      </c>
      <c r="F253" s="37" t="n">
        <f aca="false">AVERAGEIFS('Bookings Detail'!$K$5:$K$274,'Bookings Detail'!$B$5:$B$274,C253,'Bookings Detail'!$H$5:$H$274,D253)</f>
        <v>34444.4444444444</v>
      </c>
      <c r="G253" s="89" t="n">
        <f aca="false">IFERROR(E253/F253,0)</f>
        <v>0.0870967741935484</v>
      </c>
      <c r="H253" s="35" t="str">
        <f aca="false">IF(G253&gt;=2.5,"Outlier — 2.5x+ rep's typical deal size for this type","")</f>
        <v/>
      </c>
    </row>
    <row r="254" customFormat="false" ht="15" hidden="false" customHeight="false" outlineLevel="0" collapsed="false">
      <c r="B254" s="40" t="str">
        <f aca="false">'Bookings Detail'!A214</f>
        <v>D00159</v>
      </c>
      <c r="C254" s="40" t="str">
        <f aca="false">'Bookings Detail'!B214</f>
        <v>R008</v>
      </c>
      <c r="D254" s="40" t="str">
        <f aca="false">'Bookings Detail'!H214</f>
        <v>Renewal</v>
      </c>
      <c r="E254" s="42" t="n">
        <f aca="false">'Bookings Detail'!K214</f>
        <v>5000</v>
      </c>
      <c r="F254" s="43" t="n">
        <f aca="false">AVERAGEIFS('Bookings Detail'!$K$5:$K$274,'Bookings Detail'!$B$5:$B$274,C254,'Bookings Detail'!$H$5:$H$274,D254)</f>
        <v>21000</v>
      </c>
      <c r="G254" s="90" t="n">
        <f aca="false">IFERROR(E254/F254,0)</f>
        <v>0.238095238095238</v>
      </c>
      <c r="H254" s="41" t="str">
        <f aca="false">IF(G254&gt;=2.5,"Outlier — 2.5x+ rep's typical deal size for this type","")</f>
        <v/>
      </c>
    </row>
    <row r="255" customFormat="false" ht="15" hidden="false" customHeight="false" outlineLevel="0" collapsed="false">
      <c r="B255" s="34" t="str">
        <f aca="false">'Bookings Detail'!A215</f>
        <v>D00210</v>
      </c>
      <c r="C255" s="34" t="str">
        <f aca="false">'Bookings Detail'!B215</f>
        <v>R011</v>
      </c>
      <c r="D255" s="34" t="str">
        <f aca="false">'Bookings Detail'!H215</f>
        <v>New Business</v>
      </c>
      <c r="E255" s="36" t="n">
        <f aca="false">'Bookings Detail'!K215</f>
        <v>138000</v>
      </c>
      <c r="F255" s="37" t="n">
        <f aca="false">AVERAGEIFS('Bookings Detail'!$K$5:$K$274,'Bookings Detail'!$B$5:$B$274,C255,'Bookings Detail'!$H$5:$H$274,D255)</f>
        <v>70062.5</v>
      </c>
      <c r="G255" s="89" t="n">
        <f aca="false">IFERROR(E255/F255,0)</f>
        <v>1.96966993755575</v>
      </c>
      <c r="H255" s="35" t="str">
        <f aca="false">IF(G255&gt;=2.5,"Outlier — 2.5x+ rep's typical deal size for this type","")</f>
        <v/>
      </c>
    </row>
    <row r="256" customFormat="false" ht="15" hidden="false" customHeight="false" outlineLevel="0" collapsed="false">
      <c r="B256" s="40" t="str">
        <f aca="false">'Bookings Detail'!A216</f>
        <v>D00101</v>
      </c>
      <c r="C256" s="40" t="str">
        <f aca="false">'Bookings Detail'!B216</f>
        <v>R005</v>
      </c>
      <c r="D256" s="40" t="str">
        <f aca="false">'Bookings Detail'!H216</f>
        <v>Renewal</v>
      </c>
      <c r="E256" s="42" t="n">
        <f aca="false">'Bookings Detail'!K216</f>
        <v>22000</v>
      </c>
      <c r="F256" s="43" t="n">
        <f aca="false">AVERAGEIFS('Bookings Detail'!$K$5:$K$274,'Bookings Detail'!$B$5:$B$274,C256,'Bookings Detail'!$H$5:$H$274,D256)</f>
        <v>21687.5</v>
      </c>
      <c r="G256" s="90" t="n">
        <f aca="false">IFERROR(E256/F256,0)</f>
        <v>1.01440922190202</v>
      </c>
      <c r="H256" s="41" t="str">
        <f aca="false">IF(G256&gt;=2.5,"Outlier — 2.5x+ rep's typical deal size for this type","")</f>
        <v/>
      </c>
    </row>
    <row r="257" customFormat="false" ht="15" hidden="false" customHeight="false" outlineLevel="0" collapsed="false">
      <c r="B257" s="34" t="str">
        <f aca="false">'Bookings Detail'!A217</f>
        <v>D00038</v>
      </c>
      <c r="C257" s="34" t="str">
        <f aca="false">'Bookings Detail'!B217</f>
        <v>R002</v>
      </c>
      <c r="D257" s="34" t="str">
        <f aca="false">'Bookings Detail'!H217</f>
        <v>Renewal</v>
      </c>
      <c r="E257" s="36" t="n">
        <f aca="false">'Bookings Detail'!K217</f>
        <v>3500</v>
      </c>
      <c r="F257" s="37" t="n">
        <f aca="false">AVERAGEIFS('Bookings Detail'!$K$5:$K$274,'Bookings Detail'!$B$5:$B$274,C257,'Bookings Detail'!$H$5:$H$274,D257)</f>
        <v>3357.14285714286</v>
      </c>
      <c r="G257" s="89" t="n">
        <f aca="false">IFERROR(E257/F257,0)</f>
        <v>1.04255319148936</v>
      </c>
      <c r="H257" s="35" t="str">
        <f aca="false">IF(G257&gt;=2.5,"Outlier — 2.5x+ rep's typical deal size for this type","")</f>
        <v/>
      </c>
    </row>
    <row r="258" customFormat="false" ht="15" hidden="false" customHeight="false" outlineLevel="0" collapsed="false">
      <c r="B258" s="40" t="str">
        <f aca="false">'Bookings Detail'!A218</f>
        <v>D00178</v>
      </c>
      <c r="C258" s="40" t="str">
        <f aca="false">'Bookings Detail'!B218</f>
        <v>R009</v>
      </c>
      <c r="D258" s="40" t="str">
        <f aca="false">'Bookings Detail'!H218</f>
        <v>Renewal</v>
      </c>
      <c r="E258" s="42" t="n">
        <f aca="false">'Bookings Detail'!K218</f>
        <v>58500</v>
      </c>
      <c r="F258" s="43" t="n">
        <f aca="false">AVERAGEIFS('Bookings Detail'!$K$5:$K$274,'Bookings Detail'!$B$5:$B$274,C258,'Bookings Detail'!$H$5:$H$274,D258)</f>
        <v>29600</v>
      </c>
      <c r="G258" s="90" t="n">
        <f aca="false">IFERROR(E258/F258,0)</f>
        <v>1.97635135135135</v>
      </c>
      <c r="H258" s="41" t="str">
        <f aca="false">IF(G258&gt;=2.5,"Outlier — 2.5x+ rep's typical deal size for this type","")</f>
        <v/>
      </c>
    </row>
    <row r="259" customFormat="false" ht="15" hidden="false" customHeight="false" outlineLevel="0" collapsed="false">
      <c r="B259" s="34" t="str">
        <f aca="false">'Bookings Detail'!A219</f>
        <v>D00194</v>
      </c>
      <c r="C259" s="34" t="str">
        <f aca="false">'Bookings Detail'!B219</f>
        <v>R010</v>
      </c>
      <c r="D259" s="34" t="str">
        <f aca="false">'Bookings Detail'!H219</f>
        <v>Renewal</v>
      </c>
      <c r="E259" s="36" t="n">
        <f aca="false">'Bookings Detail'!K219</f>
        <v>155500</v>
      </c>
      <c r="F259" s="37" t="n">
        <f aca="false">AVERAGEIFS('Bookings Detail'!$K$5:$K$274,'Bookings Detail'!$B$5:$B$274,C259,'Bookings Detail'!$H$5:$H$274,D259)</f>
        <v>51642.8571428571</v>
      </c>
      <c r="G259" s="89" t="n">
        <f aca="false">IFERROR(E259/F259,0)</f>
        <v>3.01106500691563</v>
      </c>
      <c r="H259" s="35" t="str">
        <f aca="false">IF(G259&gt;=2.5,"Outlier — 2.5x+ rep's typical deal size for this type","")</f>
        <v>Outlier — 2.5x+ rep's typical deal size for this type</v>
      </c>
    </row>
    <row r="260" customFormat="false" ht="15" hidden="false" customHeight="false" outlineLevel="0" collapsed="false">
      <c r="B260" s="40" t="str">
        <f aca="false">'Bookings Detail'!A220</f>
        <v>D00058</v>
      </c>
      <c r="C260" s="40" t="str">
        <f aca="false">'Bookings Detail'!B220</f>
        <v>R003</v>
      </c>
      <c r="D260" s="40" t="str">
        <f aca="false">'Bookings Detail'!H220</f>
        <v>Upsell</v>
      </c>
      <c r="E260" s="42" t="n">
        <f aca="false">'Bookings Detail'!K220</f>
        <v>11500</v>
      </c>
      <c r="F260" s="43" t="n">
        <f aca="false">AVERAGEIFS('Bookings Detail'!$K$5:$K$274,'Bookings Detail'!$B$5:$B$274,C260,'Bookings Detail'!$H$5:$H$274,D260)</f>
        <v>18100</v>
      </c>
      <c r="G260" s="90" t="n">
        <f aca="false">IFERROR(E260/F260,0)</f>
        <v>0.6353591160221</v>
      </c>
      <c r="H260" s="41" t="str">
        <f aca="false">IF(G260&gt;=2.5,"Outlier — 2.5x+ rep's typical deal size for this type","")</f>
        <v/>
      </c>
    </row>
    <row r="261" customFormat="false" ht="15" hidden="false" customHeight="false" outlineLevel="0" collapsed="false">
      <c r="B261" s="34" t="str">
        <f aca="false">'Bookings Detail'!A221</f>
        <v>D00212</v>
      </c>
      <c r="C261" s="34" t="str">
        <f aca="false">'Bookings Detail'!B221</f>
        <v>R011</v>
      </c>
      <c r="D261" s="34" t="str">
        <f aca="false">'Bookings Detail'!H221</f>
        <v>Upsell</v>
      </c>
      <c r="E261" s="36" t="n">
        <f aca="false">'Bookings Detail'!K221</f>
        <v>34500</v>
      </c>
      <c r="F261" s="37" t="n">
        <f aca="false">AVERAGEIFS('Bookings Detail'!$K$5:$K$274,'Bookings Detail'!$B$5:$B$274,C261,'Bookings Detail'!$H$5:$H$274,D261)</f>
        <v>20600</v>
      </c>
      <c r="G261" s="89" t="n">
        <f aca="false">IFERROR(E261/F261,0)</f>
        <v>1.6747572815534</v>
      </c>
      <c r="H261" s="35" t="str">
        <f aca="false">IF(G261&gt;=2.5,"Outlier — 2.5x+ rep's typical deal size for this type","")</f>
        <v/>
      </c>
    </row>
    <row r="262" customFormat="false" ht="15" hidden="false" customHeight="false" outlineLevel="0" collapsed="false">
      <c r="B262" s="40" t="str">
        <f aca="false">'Bookings Detail'!A222</f>
        <v>D00055</v>
      </c>
      <c r="C262" s="40" t="str">
        <f aca="false">'Bookings Detail'!B222</f>
        <v>R003</v>
      </c>
      <c r="D262" s="40" t="str">
        <f aca="false">'Bookings Detail'!H222</f>
        <v>New Business</v>
      </c>
      <c r="E262" s="42" t="n">
        <f aca="false">'Bookings Detail'!K222</f>
        <v>30000</v>
      </c>
      <c r="F262" s="43" t="n">
        <f aca="false">AVERAGEIFS('Bookings Detail'!$K$5:$K$274,'Bookings Detail'!$B$5:$B$274,C262,'Bookings Detail'!$H$5:$H$274,D262)</f>
        <v>33928.5714285714</v>
      </c>
      <c r="G262" s="90" t="n">
        <f aca="false">IFERROR(E262/F262,0)</f>
        <v>0.884210526315789</v>
      </c>
      <c r="H262" s="41" t="str">
        <f aca="false">IF(G262&gt;=2.5,"Outlier — 2.5x+ rep's typical deal size for this type","")</f>
        <v/>
      </c>
    </row>
    <row r="263" customFormat="false" ht="15" hidden="false" customHeight="false" outlineLevel="0" collapsed="false">
      <c r="B263" s="34" t="str">
        <f aca="false">'Bookings Detail'!A223</f>
        <v>D00125</v>
      </c>
      <c r="C263" s="34" t="str">
        <f aca="false">'Bookings Detail'!B223</f>
        <v>R006</v>
      </c>
      <c r="D263" s="34" t="str">
        <f aca="false">'Bookings Detail'!H223</f>
        <v>Renewal</v>
      </c>
      <c r="E263" s="36" t="n">
        <f aca="false">'Bookings Detail'!K223</f>
        <v>18500</v>
      </c>
      <c r="F263" s="37" t="n">
        <f aca="false">AVERAGEIFS('Bookings Detail'!$K$5:$K$274,'Bookings Detail'!$B$5:$B$274,C263,'Bookings Detail'!$H$5:$H$274,D263)</f>
        <v>20277.7777777778</v>
      </c>
      <c r="G263" s="89" t="n">
        <f aca="false">IFERROR(E263/F263,0)</f>
        <v>0.912328767123288</v>
      </c>
      <c r="H263" s="35" t="str">
        <f aca="false">IF(G263&gt;=2.5,"Outlier — 2.5x+ rep's typical deal size for this type","")</f>
        <v/>
      </c>
    </row>
    <row r="264" customFormat="false" ht="15" hidden="false" customHeight="false" outlineLevel="0" collapsed="false">
      <c r="B264" s="40" t="str">
        <f aca="false">'Bookings Detail'!A224</f>
        <v>D00081</v>
      </c>
      <c r="C264" s="40" t="str">
        <f aca="false">'Bookings Detail'!B224</f>
        <v>R004</v>
      </c>
      <c r="D264" s="40" t="str">
        <f aca="false">'Bookings Detail'!H224</f>
        <v>Renewal</v>
      </c>
      <c r="E264" s="42" t="n">
        <f aca="false">'Bookings Detail'!K224</f>
        <v>14000</v>
      </c>
      <c r="F264" s="43" t="n">
        <f aca="false">AVERAGEIFS('Bookings Detail'!$K$5:$K$274,'Bookings Detail'!$B$5:$B$274,C264,'Bookings Detail'!$H$5:$H$274,D264)</f>
        <v>26250</v>
      </c>
      <c r="G264" s="90" t="n">
        <f aca="false">IFERROR(E264/F264,0)</f>
        <v>0.533333333333333</v>
      </c>
      <c r="H264" s="41" t="str">
        <f aca="false">IF(G264&gt;=2.5,"Outlier — 2.5x+ rep's typical deal size for this type","")</f>
        <v/>
      </c>
    </row>
    <row r="265" customFormat="false" ht="15" hidden="false" customHeight="false" outlineLevel="0" collapsed="false">
      <c r="B265" s="34" t="str">
        <f aca="false">'Bookings Detail'!A225</f>
        <v>D00152</v>
      </c>
      <c r="C265" s="34" t="str">
        <f aca="false">'Bookings Detail'!B225</f>
        <v>R008</v>
      </c>
      <c r="D265" s="34" t="str">
        <f aca="false">'Bookings Detail'!H225</f>
        <v>New Business</v>
      </c>
      <c r="E265" s="36" t="n">
        <f aca="false">'Bookings Detail'!K225</f>
        <v>136000</v>
      </c>
      <c r="F265" s="37" t="n">
        <f aca="false">AVERAGEIFS('Bookings Detail'!$K$5:$K$274,'Bookings Detail'!$B$5:$B$274,C265,'Bookings Detail'!$H$5:$H$274,D265)</f>
        <v>82142.8571428571</v>
      </c>
      <c r="G265" s="89" t="n">
        <f aca="false">IFERROR(E265/F265,0)</f>
        <v>1.65565217391304</v>
      </c>
      <c r="H265" s="35" t="str">
        <f aca="false">IF(G265&gt;=2.5,"Outlier — 2.5x+ rep's typical deal size for this type","")</f>
        <v/>
      </c>
    </row>
    <row r="266" customFormat="false" ht="15" hidden="false" customHeight="false" outlineLevel="0" collapsed="false">
      <c r="B266" s="40" t="str">
        <f aca="false">'Bookings Detail'!A226</f>
        <v>D00118</v>
      </c>
      <c r="C266" s="40" t="str">
        <f aca="false">'Bookings Detail'!B226</f>
        <v>R006</v>
      </c>
      <c r="D266" s="40" t="str">
        <f aca="false">'Bookings Detail'!H226</f>
        <v>New Business</v>
      </c>
      <c r="E266" s="42" t="n">
        <f aca="false">'Bookings Detail'!K226</f>
        <v>26000</v>
      </c>
      <c r="F266" s="43" t="n">
        <f aca="false">AVERAGEIFS('Bookings Detail'!$K$5:$K$274,'Bookings Detail'!$B$5:$B$274,C266,'Bookings Detail'!$H$5:$H$274,D266)</f>
        <v>37450</v>
      </c>
      <c r="G266" s="90" t="n">
        <f aca="false">IFERROR(E266/F266,0)</f>
        <v>0.694259012016021</v>
      </c>
      <c r="H266" s="41" t="str">
        <f aca="false">IF(G266&gt;=2.5,"Outlier — 2.5x+ rep's typical deal size for this type","")</f>
        <v/>
      </c>
    </row>
    <row r="267" customFormat="false" ht="15" hidden="false" customHeight="false" outlineLevel="0" collapsed="false">
      <c r="B267" s="34" t="str">
        <f aca="false">'Bookings Detail'!A227</f>
        <v>D00124</v>
      </c>
      <c r="C267" s="34" t="str">
        <f aca="false">'Bookings Detail'!B227</f>
        <v>R006</v>
      </c>
      <c r="D267" s="34" t="str">
        <f aca="false">'Bookings Detail'!H227</f>
        <v>Renewal</v>
      </c>
      <c r="E267" s="36" t="n">
        <f aca="false">'Bookings Detail'!K227</f>
        <v>27500</v>
      </c>
      <c r="F267" s="37" t="n">
        <f aca="false">AVERAGEIFS('Bookings Detail'!$K$5:$K$274,'Bookings Detail'!$B$5:$B$274,C267,'Bookings Detail'!$H$5:$H$274,D267)</f>
        <v>20277.7777777778</v>
      </c>
      <c r="G267" s="89" t="n">
        <f aca="false">IFERROR(E267/F267,0)</f>
        <v>1.35616438356164</v>
      </c>
      <c r="H267" s="35" t="str">
        <f aca="false">IF(G267&gt;=2.5,"Outlier — 2.5x+ rep's typical deal size for this type","")</f>
        <v/>
      </c>
    </row>
    <row r="268" customFormat="false" ht="15" hidden="false" customHeight="false" outlineLevel="0" collapsed="false">
      <c r="B268" s="40" t="str">
        <f aca="false">'Bookings Detail'!A228</f>
        <v>D00171</v>
      </c>
      <c r="C268" s="40" t="str">
        <f aca="false">'Bookings Detail'!B228</f>
        <v>R009</v>
      </c>
      <c r="D268" s="40" t="str">
        <f aca="false">'Bookings Detail'!H228</f>
        <v>New Business</v>
      </c>
      <c r="E268" s="42" t="n">
        <f aca="false">'Bookings Detail'!K228</f>
        <v>14500</v>
      </c>
      <c r="F268" s="43" t="n">
        <f aca="false">AVERAGEIFS('Bookings Detail'!$K$5:$K$274,'Bookings Detail'!$B$5:$B$274,C268,'Bookings Detail'!$H$5:$H$274,D268)</f>
        <v>86500</v>
      </c>
      <c r="G268" s="90" t="n">
        <f aca="false">IFERROR(E268/F268,0)</f>
        <v>0.167630057803468</v>
      </c>
      <c r="H268" s="41" t="str">
        <f aca="false">IF(G268&gt;=2.5,"Outlier — 2.5x+ rep's typical deal size for this type","")</f>
        <v/>
      </c>
    </row>
    <row r="269" customFormat="false" ht="15" hidden="false" customHeight="false" outlineLevel="0" collapsed="false">
      <c r="B269" s="34" t="str">
        <f aca="false">'Bookings Detail'!A229</f>
        <v>D00018</v>
      </c>
      <c r="C269" s="34" t="str">
        <f aca="false">'Bookings Detail'!B229</f>
        <v>R001</v>
      </c>
      <c r="D269" s="34" t="str">
        <f aca="false">'Bookings Detail'!H229</f>
        <v>New Business</v>
      </c>
      <c r="E269" s="36" t="n">
        <f aca="false">'Bookings Detail'!K229</f>
        <v>61500</v>
      </c>
      <c r="F269" s="37" t="n">
        <f aca="false">AVERAGEIFS('Bookings Detail'!$K$5:$K$274,'Bookings Detail'!$B$5:$B$274,C269,'Bookings Detail'!$H$5:$H$274,D269)</f>
        <v>25550</v>
      </c>
      <c r="G269" s="89" t="n">
        <f aca="false">IFERROR(E269/F269,0)</f>
        <v>2.40704500978474</v>
      </c>
      <c r="H269" s="35" t="str">
        <f aca="false">IF(G269&gt;=2.5,"Outlier — 2.5x+ rep's typical deal size for this type","")</f>
        <v/>
      </c>
    </row>
    <row r="270" customFormat="false" ht="15" hidden="false" customHeight="false" outlineLevel="0" collapsed="false">
      <c r="B270" s="40" t="str">
        <f aca="false">'Bookings Detail'!A230</f>
        <v>D00214</v>
      </c>
      <c r="C270" s="40" t="str">
        <f aca="false">'Bookings Detail'!B230</f>
        <v>R011</v>
      </c>
      <c r="D270" s="40" t="str">
        <f aca="false">'Bookings Detail'!H230</f>
        <v>Renewal</v>
      </c>
      <c r="E270" s="42" t="n">
        <f aca="false">'Bookings Detail'!K230</f>
        <v>30000</v>
      </c>
      <c r="F270" s="43" t="n">
        <f aca="false">AVERAGEIFS('Bookings Detail'!$K$5:$K$274,'Bookings Detail'!$B$5:$B$274,C270,'Bookings Detail'!$H$5:$H$274,D270)</f>
        <v>24142.8571428571</v>
      </c>
      <c r="G270" s="90" t="n">
        <f aca="false">IFERROR(E270/F270,0)</f>
        <v>1.24260355029586</v>
      </c>
      <c r="H270" s="41" t="str">
        <f aca="false">IF(G270&gt;=2.5,"Outlier — 2.5x+ rep's typical deal size for this type","")</f>
        <v/>
      </c>
    </row>
    <row r="271" customFormat="false" ht="15" hidden="false" customHeight="false" outlineLevel="0" collapsed="false">
      <c r="B271" s="34" t="str">
        <f aca="false">'Bookings Detail'!A231</f>
        <v>D00082</v>
      </c>
      <c r="C271" s="34" t="str">
        <f aca="false">'Bookings Detail'!B231</f>
        <v>R004</v>
      </c>
      <c r="D271" s="34" t="str">
        <f aca="false">'Bookings Detail'!H231</f>
        <v>Renewal</v>
      </c>
      <c r="E271" s="36" t="n">
        <f aca="false">'Bookings Detail'!K231</f>
        <v>4000</v>
      </c>
      <c r="F271" s="37" t="n">
        <f aca="false">AVERAGEIFS('Bookings Detail'!$K$5:$K$274,'Bookings Detail'!$B$5:$B$274,C271,'Bookings Detail'!$H$5:$H$274,D271)</f>
        <v>26250</v>
      </c>
      <c r="G271" s="89" t="n">
        <f aca="false">IFERROR(E271/F271,0)</f>
        <v>0.152380952380952</v>
      </c>
      <c r="H271" s="35" t="str">
        <f aca="false">IF(G271&gt;=2.5,"Outlier — 2.5x+ rep's typical deal size for this type","")</f>
        <v/>
      </c>
    </row>
    <row r="272" customFormat="false" ht="15" hidden="false" customHeight="false" outlineLevel="0" collapsed="false">
      <c r="B272" s="40" t="str">
        <f aca="false">'Bookings Detail'!A232</f>
        <v>D00267</v>
      </c>
      <c r="C272" s="40" t="str">
        <f aca="false">'Bookings Detail'!B232</f>
        <v>R015</v>
      </c>
      <c r="D272" s="40" t="str">
        <f aca="false">'Bookings Detail'!H232</f>
        <v>New Business</v>
      </c>
      <c r="E272" s="42" t="n">
        <f aca="false">'Bookings Detail'!K232</f>
        <v>168000</v>
      </c>
      <c r="F272" s="43" t="n">
        <f aca="false">AVERAGEIFS('Bookings Detail'!$K$5:$K$274,'Bookings Detail'!$B$5:$B$274,C272,'Bookings Detail'!$H$5:$H$274,D272)</f>
        <v>379666.666666667</v>
      </c>
      <c r="G272" s="90" t="n">
        <f aca="false">IFERROR(E272/F272,0)</f>
        <v>0.442493415276558</v>
      </c>
      <c r="H272" s="41" t="str">
        <f aca="false">IF(G272&gt;=2.5,"Outlier — 2.5x+ rep's typical deal size for this type","")</f>
        <v/>
      </c>
    </row>
    <row r="273" customFormat="false" ht="15" hidden="false" customHeight="false" outlineLevel="0" collapsed="false">
      <c r="B273" s="34" t="str">
        <f aca="false">'Bookings Detail'!A233</f>
        <v>D00253</v>
      </c>
      <c r="C273" s="34" t="str">
        <f aca="false">'Bookings Detail'!B233</f>
        <v>R014</v>
      </c>
      <c r="D273" s="34" t="str">
        <f aca="false">'Bookings Detail'!H233</f>
        <v>Renewal</v>
      </c>
      <c r="E273" s="36" t="n">
        <f aca="false">'Bookings Detail'!K233</f>
        <v>11000</v>
      </c>
      <c r="F273" s="37" t="n">
        <f aca="false">AVERAGEIFS('Bookings Detail'!$K$5:$K$274,'Bookings Detail'!$B$5:$B$274,C273,'Bookings Detail'!$H$5:$H$274,D273)</f>
        <v>60357.1428571429</v>
      </c>
      <c r="G273" s="89" t="n">
        <f aca="false">IFERROR(E273/F273,0)</f>
        <v>0.182248520710059</v>
      </c>
      <c r="H273" s="35" t="str">
        <f aca="false">IF(G273&gt;=2.5,"Outlier — 2.5x+ rep's typical deal size for this type","")</f>
        <v/>
      </c>
    </row>
    <row r="274" customFormat="false" ht="15" hidden="false" customHeight="false" outlineLevel="0" collapsed="false">
      <c r="B274" s="40" t="str">
        <f aca="false">'Bookings Detail'!A234</f>
        <v>D00120</v>
      </c>
      <c r="C274" s="40" t="str">
        <f aca="false">'Bookings Detail'!B234</f>
        <v>R006</v>
      </c>
      <c r="D274" s="40" t="str">
        <f aca="false">'Bookings Detail'!H234</f>
        <v>Upsell</v>
      </c>
      <c r="E274" s="42" t="n">
        <f aca="false">'Bookings Detail'!K234</f>
        <v>33000</v>
      </c>
      <c r="F274" s="43" t="n">
        <f aca="false">AVERAGEIFS('Bookings Detail'!$K$5:$K$274,'Bookings Detail'!$B$5:$B$274,C274,'Bookings Detail'!$H$5:$H$274,D274)</f>
        <v>26333.3333333333</v>
      </c>
      <c r="G274" s="90" t="n">
        <f aca="false">IFERROR(E274/F274,0)</f>
        <v>1.25316455696203</v>
      </c>
      <c r="H274" s="41" t="str">
        <f aca="false">IF(G274&gt;=2.5,"Outlier — 2.5x+ rep's typical deal size for this type","")</f>
        <v/>
      </c>
    </row>
    <row r="275" customFormat="false" ht="15" hidden="false" customHeight="false" outlineLevel="0" collapsed="false">
      <c r="B275" s="34" t="str">
        <f aca="false">'Bookings Detail'!A235</f>
        <v>D00094</v>
      </c>
      <c r="C275" s="34" t="str">
        <f aca="false">'Bookings Detail'!B235</f>
        <v>R005</v>
      </c>
      <c r="D275" s="34" t="str">
        <f aca="false">'Bookings Detail'!H235</f>
        <v>New Business</v>
      </c>
      <c r="E275" s="36" t="n">
        <f aca="false">'Bookings Detail'!K235</f>
        <v>8500</v>
      </c>
      <c r="F275" s="37" t="n">
        <f aca="false">AVERAGEIFS('Bookings Detail'!$K$5:$K$274,'Bookings Detail'!$B$5:$B$274,C275,'Bookings Detail'!$H$5:$H$274,D275)</f>
        <v>34444.4444444444</v>
      </c>
      <c r="G275" s="89" t="n">
        <f aca="false">IFERROR(E275/F275,0)</f>
        <v>0.246774193548387</v>
      </c>
      <c r="H275" s="35" t="str">
        <f aca="false">IF(G275&gt;=2.5,"Outlier — 2.5x+ rep's typical deal size for this type","")</f>
        <v/>
      </c>
    </row>
    <row r="276" customFormat="false" ht="15" hidden="false" customHeight="false" outlineLevel="0" collapsed="false">
      <c r="B276" s="40" t="str">
        <f aca="false">'Bookings Detail'!A236</f>
        <v>D00092</v>
      </c>
      <c r="C276" s="40" t="str">
        <f aca="false">'Bookings Detail'!B236</f>
        <v>R005</v>
      </c>
      <c r="D276" s="40" t="str">
        <f aca="false">'Bookings Detail'!H236</f>
        <v>New Business</v>
      </c>
      <c r="E276" s="42" t="n">
        <f aca="false">'Bookings Detail'!K236</f>
        <v>50500</v>
      </c>
      <c r="F276" s="43" t="n">
        <f aca="false">AVERAGEIFS('Bookings Detail'!$K$5:$K$274,'Bookings Detail'!$B$5:$B$274,C276,'Bookings Detail'!$H$5:$H$274,D276)</f>
        <v>34444.4444444444</v>
      </c>
      <c r="G276" s="90" t="n">
        <f aca="false">IFERROR(E276/F276,0)</f>
        <v>1.46612903225806</v>
      </c>
      <c r="H276" s="41" t="str">
        <f aca="false">IF(G276&gt;=2.5,"Outlier — 2.5x+ rep's typical deal size for this type","")</f>
        <v/>
      </c>
    </row>
    <row r="277" customFormat="false" ht="15" hidden="false" customHeight="false" outlineLevel="0" collapsed="false">
      <c r="B277" s="34" t="str">
        <f aca="false">'Bookings Detail'!A237</f>
        <v>D00156</v>
      </c>
      <c r="C277" s="34" t="str">
        <f aca="false">'Bookings Detail'!B237</f>
        <v>R008</v>
      </c>
      <c r="D277" s="34" t="str">
        <f aca="false">'Bookings Detail'!H237</f>
        <v>Renewal</v>
      </c>
      <c r="E277" s="36" t="n">
        <f aca="false">'Bookings Detail'!K237</f>
        <v>32000</v>
      </c>
      <c r="F277" s="37" t="n">
        <f aca="false">AVERAGEIFS('Bookings Detail'!$K$5:$K$274,'Bookings Detail'!$B$5:$B$274,C277,'Bookings Detail'!$H$5:$H$274,D277)</f>
        <v>21000</v>
      </c>
      <c r="G277" s="89" t="n">
        <f aca="false">IFERROR(E277/F277,0)</f>
        <v>1.52380952380952</v>
      </c>
      <c r="H277" s="35" t="str">
        <f aca="false">IF(G277&gt;=2.5,"Outlier — 2.5x+ rep's typical deal size for this type","")</f>
        <v/>
      </c>
    </row>
    <row r="278" customFormat="false" ht="15" hidden="false" customHeight="false" outlineLevel="0" collapsed="false">
      <c r="B278" s="40" t="str">
        <f aca="false">'Bookings Detail'!A238</f>
        <v>D00242</v>
      </c>
      <c r="C278" s="40" t="str">
        <f aca="false">'Bookings Detail'!B238</f>
        <v>R013</v>
      </c>
      <c r="D278" s="40" t="str">
        <f aca="false">'Bookings Detail'!H238</f>
        <v>Renewal</v>
      </c>
      <c r="E278" s="42" t="n">
        <f aca="false">'Bookings Detail'!K238</f>
        <v>179000</v>
      </c>
      <c r="F278" s="43" t="n">
        <f aca="false">AVERAGEIFS('Bookings Detail'!$K$5:$K$274,'Bookings Detail'!$B$5:$B$274,C278,'Bookings Detail'!$H$5:$H$274,D278)</f>
        <v>94750</v>
      </c>
      <c r="G278" s="90" t="n">
        <f aca="false">IFERROR(E278/F278,0)</f>
        <v>1.88918205804749</v>
      </c>
      <c r="H278" s="41" t="str">
        <f aca="false">IF(G278&gt;=2.5,"Outlier — 2.5x+ rep's typical deal size for this type","")</f>
        <v/>
      </c>
    </row>
    <row r="279" customFormat="false" ht="15" hidden="false" customHeight="false" outlineLevel="0" collapsed="false">
      <c r="B279" s="34" t="str">
        <f aca="false">'Bookings Detail'!A239</f>
        <v>D00063</v>
      </c>
      <c r="C279" s="34" t="str">
        <f aca="false">'Bookings Detail'!B239</f>
        <v>R003</v>
      </c>
      <c r="D279" s="34" t="str">
        <f aca="false">'Bookings Detail'!H239</f>
        <v>Renewal</v>
      </c>
      <c r="E279" s="36" t="n">
        <f aca="false">'Bookings Detail'!K239</f>
        <v>27000</v>
      </c>
      <c r="F279" s="37" t="n">
        <f aca="false">AVERAGEIFS('Bookings Detail'!$K$5:$K$274,'Bookings Detail'!$B$5:$B$274,C279,'Bookings Detail'!$H$5:$H$274,D279)</f>
        <v>17200</v>
      </c>
      <c r="G279" s="89" t="n">
        <f aca="false">IFERROR(E279/F279,0)</f>
        <v>1.56976744186047</v>
      </c>
      <c r="H279" s="35" t="str">
        <f aca="false">IF(G279&gt;=2.5,"Outlier — 2.5x+ rep's typical deal size for this type","")</f>
        <v/>
      </c>
    </row>
    <row r="280" customFormat="false" ht="15" hidden="false" customHeight="false" outlineLevel="0" collapsed="false">
      <c r="B280" s="40" t="str">
        <f aca="false">'Bookings Detail'!A240</f>
        <v>D00036</v>
      </c>
      <c r="C280" s="40" t="str">
        <f aca="false">'Bookings Detail'!B240</f>
        <v>R002</v>
      </c>
      <c r="D280" s="40" t="str">
        <f aca="false">'Bookings Detail'!H240</f>
        <v>New Business</v>
      </c>
      <c r="E280" s="42" t="n">
        <f aca="false">'Bookings Detail'!K240</f>
        <v>66000</v>
      </c>
      <c r="F280" s="43" t="n">
        <f aca="false">AVERAGEIFS('Bookings Detail'!$K$5:$K$274,'Bookings Detail'!$B$5:$B$274,C280,'Bookings Detail'!$H$5:$H$274,D280)</f>
        <v>39312.5</v>
      </c>
      <c r="G280" s="90" t="n">
        <f aca="false">IFERROR(E280/F280,0)</f>
        <v>1.67885532591415</v>
      </c>
      <c r="H280" s="41" t="str">
        <f aca="false">IF(G280&gt;=2.5,"Outlier — 2.5x+ rep's typical deal size for this type","")</f>
        <v/>
      </c>
    </row>
    <row r="281" customFormat="false" ht="15" hidden="false" customHeight="false" outlineLevel="0" collapsed="false">
      <c r="B281" s="34" t="str">
        <f aca="false">'Bookings Detail'!A241</f>
        <v>D00239</v>
      </c>
      <c r="C281" s="34" t="str">
        <f aca="false">'Bookings Detail'!B241</f>
        <v>R013</v>
      </c>
      <c r="D281" s="34" t="str">
        <f aca="false">'Bookings Detail'!H241</f>
        <v>New Business</v>
      </c>
      <c r="E281" s="36" t="n">
        <f aca="false">'Bookings Detail'!K241</f>
        <v>322000</v>
      </c>
      <c r="F281" s="37" t="n">
        <f aca="false">AVERAGEIFS('Bookings Detail'!$K$5:$K$274,'Bookings Detail'!$B$5:$B$274,C281,'Bookings Detail'!$H$5:$H$274,D281)</f>
        <v>259166.666666667</v>
      </c>
      <c r="G281" s="89" t="n">
        <f aca="false">IFERROR(E281/F281,0)</f>
        <v>1.24244372990354</v>
      </c>
      <c r="H281" s="35" t="str">
        <f aca="false">IF(G281&gt;=2.5,"Outlier — 2.5x+ rep's typical deal size for this type","")</f>
        <v/>
      </c>
    </row>
    <row r="282" customFormat="false" ht="15" hidden="false" customHeight="false" outlineLevel="0" collapsed="false">
      <c r="B282" s="40" t="str">
        <f aca="false">'Bookings Detail'!A242</f>
        <v>D00096</v>
      </c>
      <c r="C282" s="40" t="str">
        <f aca="false">'Bookings Detail'!B242</f>
        <v>R005</v>
      </c>
      <c r="D282" s="40" t="str">
        <f aca="false">'Bookings Detail'!H242</f>
        <v>New Business</v>
      </c>
      <c r="E282" s="42" t="n">
        <f aca="false">'Bookings Detail'!K242</f>
        <v>67000</v>
      </c>
      <c r="F282" s="43" t="n">
        <f aca="false">AVERAGEIFS('Bookings Detail'!$K$5:$K$274,'Bookings Detail'!$B$5:$B$274,C282,'Bookings Detail'!$H$5:$H$274,D282)</f>
        <v>34444.4444444444</v>
      </c>
      <c r="G282" s="90" t="n">
        <f aca="false">IFERROR(E282/F282,0)</f>
        <v>1.94516129032258</v>
      </c>
      <c r="H282" s="41" t="str">
        <f aca="false">IF(G282&gt;=2.5,"Outlier — 2.5x+ rep's typical deal size for this type","")</f>
        <v/>
      </c>
    </row>
    <row r="283" customFormat="false" ht="15" hidden="false" customHeight="false" outlineLevel="0" collapsed="false">
      <c r="B283" s="34" t="str">
        <f aca="false">'Bookings Detail'!A243</f>
        <v>D00268</v>
      </c>
      <c r="C283" s="34" t="str">
        <f aca="false">'Bookings Detail'!B243</f>
        <v>R015</v>
      </c>
      <c r="D283" s="34" t="str">
        <f aca="false">'Bookings Detail'!H243</f>
        <v>Renewal</v>
      </c>
      <c r="E283" s="36" t="n">
        <f aca="false">'Bookings Detail'!K243</f>
        <v>71500</v>
      </c>
      <c r="F283" s="37" t="n">
        <f aca="false">AVERAGEIFS('Bookings Detail'!$K$5:$K$274,'Bookings Detail'!$B$5:$B$274,C283,'Bookings Detail'!$H$5:$H$274,D283)</f>
        <v>57611.1111111111</v>
      </c>
      <c r="G283" s="89" t="n">
        <f aca="false">IFERROR(E283/F283,0)</f>
        <v>1.24108003857281</v>
      </c>
      <c r="H283" s="35" t="str">
        <f aca="false">IF(G283&gt;=2.5,"Outlier — 2.5x+ rep's typical deal size for this type","")</f>
        <v/>
      </c>
    </row>
    <row r="284" customFormat="false" ht="15" hidden="false" customHeight="false" outlineLevel="0" collapsed="false">
      <c r="B284" s="40" t="str">
        <f aca="false">'Bookings Detail'!A244</f>
        <v>D00014</v>
      </c>
      <c r="C284" s="40" t="str">
        <f aca="false">'Bookings Detail'!B244</f>
        <v>R001</v>
      </c>
      <c r="D284" s="40" t="str">
        <f aca="false">'Bookings Detail'!H244</f>
        <v>New Business</v>
      </c>
      <c r="E284" s="42" t="n">
        <f aca="false">'Bookings Detail'!K244</f>
        <v>20500</v>
      </c>
      <c r="F284" s="43" t="n">
        <f aca="false">AVERAGEIFS('Bookings Detail'!$K$5:$K$274,'Bookings Detail'!$B$5:$B$274,C284,'Bookings Detail'!$H$5:$H$274,D284)</f>
        <v>25550</v>
      </c>
      <c r="G284" s="90" t="n">
        <f aca="false">IFERROR(E284/F284,0)</f>
        <v>0.802348336594912</v>
      </c>
      <c r="H284" s="41" t="str">
        <f aca="false">IF(G284&gt;=2.5,"Outlier — 2.5x+ rep's typical deal size for this type","")</f>
        <v/>
      </c>
    </row>
    <row r="285" customFormat="false" ht="15" hidden="false" customHeight="false" outlineLevel="0" collapsed="false">
      <c r="B285" s="34" t="str">
        <f aca="false">'Bookings Detail'!A245</f>
        <v>D00098</v>
      </c>
      <c r="C285" s="34" t="str">
        <f aca="false">'Bookings Detail'!B245</f>
        <v>R005</v>
      </c>
      <c r="D285" s="34" t="str">
        <f aca="false">'Bookings Detail'!H245</f>
        <v>Renewal</v>
      </c>
      <c r="E285" s="36" t="n">
        <f aca="false">'Bookings Detail'!K245</f>
        <v>28500</v>
      </c>
      <c r="F285" s="37" t="n">
        <f aca="false">AVERAGEIFS('Bookings Detail'!$K$5:$K$274,'Bookings Detail'!$B$5:$B$274,C285,'Bookings Detail'!$H$5:$H$274,D285)</f>
        <v>21687.5</v>
      </c>
      <c r="G285" s="89" t="n">
        <f aca="false">IFERROR(E285/F285,0)</f>
        <v>1.31412103746398</v>
      </c>
      <c r="H285" s="35" t="str">
        <f aca="false">IF(G285&gt;=2.5,"Outlier — 2.5x+ rep's typical deal size for this type","")</f>
        <v/>
      </c>
    </row>
    <row r="286" customFormat="false" ht="15" hidden="false" customHeight="false" outlineLevel="0" collapsed="false">
      <c r="B286" s="40" t="str">
        <f aca="false">'Bookings Detail'!A246</f>
        <v>D00172</v>
      </c>
      <c r="C286" s="40" t="str">
        <f aca="false">'Bookings Detail'!B246</f>
        <v>R009</v>
      </c>
      <c r="D286" s="40" t="str">
        <f aca="false">'Bookings Detail'!H246</f>
        <v>New Business</v>
      </c>
      <c r="E286" s="42" t="n">
        <f aca="false">'Bookings Detail'!K246</f>
        <v>238500</v>
      </c>
      <c r="F286" s="43" t="n">
        <f aca="false">AVERAGEIFS('Bookings Detail'!$K$5:$K$274,'Bookings Detail'!$B$5:$B$274,C286,'Bookings Detail'!$H$5:$H$274,D286)</f>
        <v>86500</v>
      </c>
      <c r="G286" s="90" t="n">
        <f aca="false">IFERROR(E286/F286,0)</f>
        <v>2.75722543352601</v>
      </c>
      <c r="H286" s="41" t="str">
        <f aca="false">IF(G286&gt;=2.5,"Outlier — 2.5x+ rep's typical deal size for this type","")</f>
        <v>Outlier — 2.5x+ rep's typical deal size for this type</v>
      </c>
    </row>
    <row r="287" customFormat="false" ht="15" hidden="false" customHeight="false" outlineLevel="0" collapsed="false">
      <c r="B287" s="34" t="str">
        <f aca="false">'Bookings Detail'!A247</f>
        <v>D00271</v>
      </c>
      <c r="C287" s="34" t="str">
        <f aca="false">'Bookings Detail'!B247</f>
        <v>R015</v>
      </c>
      <c r="D287" s="34" t="str">
        <f aca="false">'Bookings Detail'!H247</f>
        <v>Renewal</v>
      </c>
      <c r="E287" s="36" t="n">
        <f aca="false">'Bookings Detail'!K247</f>
        <v>112500</v>
      </c>
      <c r="F287" s="37" t="n">
        <f aca="false">AVERAGEIFS('Bookings Detail'!$K$5:$K$274,'Bookings Detail'!$B$5:$B$274,C287,'Bookings Detail'!$H$5:$H$274,D287)</f>
        <v>57611.1111111111</v>
      </c>
      <c r="G287" s="89" t="n">
        <f aca="false">IFERROR(E287/F287,0)</f>
        <v>1.95274831243973</v>
      </c>
      <c r="H287" s="35" t="str">
        <f aca="false">IF(G287&gt;=2.5,"Outlier — 2.5x+ rep's typical deal size for this type","")</f>
        <v/>
      </c>
    </row>
    <row r="288" customFormat="false" ht="15" hidden="false" customHeight="false" outlineLevel="0" collapsed="false">
      <c r="B288" s="40" t="str">
        <f aca="false">'Bookings Detail'!A248</f>
        <v>D00190</v>
      </c>
      <c r="C288" s="40" t="str">
        <f aca="false">'Bookings Detail'!B248</f>
        <v>R010</v>
      </c>
      <c r="D288" s="40" t="str">
        <f aca="false">'Bookings Detail'!H248</f>
        <v>New Business</v>
      </c>
      <c r="E288" s="42" t="n">
        <f aca="false">'Bookings Detail'!K248</f>
        <v>73500</v>
      </c>
      <c r="F288" s="43" t="n">
        <f aca="false">AVERAGEIFS('Bookings Detail'!$K$5:$K$274,'Bookings Detail'!$B$5:$B$274,C288,'Bookings Detail'!$H$5:$H$274,D288)</f>
        <v>96333.3333333333</v>
      </c>
      <c r="G288" s="90" t="n">
        <f aca="false">IFERROR(E288/F288,0)</f>
        <v>0.762975778546713</v>
      </c>
      <c r="H288" s="41" t="str">
        <f aca="false">IF(G288&gt;=2.5,"Outlier — 2.5x+ rep's typical deal size for this type","")</f>
        <v/>
      </c>
    </row>
    <row r="289" customFormat="false" ht="15" hidden="false" customHeight="false" outlineLevel="0" collapsed="false">
      <c r="B289" s="34" t="str">
        <f aca="false">'Bookings Detail'!A249</f>
        <v>D00207</v>
      </c>
      <c r="C289" s="34" t="str">
        <f aca="false">'Bookings Detail'!B249</f>
        <v>R011</v>
      </c>
      <c r="D289" s="34" t="str">
        <f aca="false">'Bookings Detail'!H249</f>
        <v>New Business</v>
      </c>
      <c r="E289" s="36" t="n">
        <f aca="false">'Bookings Detail'!K249</f>
        <v>72000</v>
      </c>
      <c r="F289" s="37" t="n">
        <f aca="false">AVERAGEIFS('Bookings Detail'!$K$5:$K$274,'Bookings Detail'!$B$5:$B$274,C289,'Bookings Detail'!$H$5:$H$274,D289)</f>
        <v>70062.5</v>
      </c>
      <c r="G289" s="89" t="n">
        <f aca="false">IFERROR(E289/F289,0)</f>
        <v>1.02765388046387</v>
      </c>
      <c r="H289" s="35" t="str">
        <f aca="false">IF(G289&gt;=2.5,"Outlier — 2.5x+ rep's typical deal size for this type","")</f>
        <v/>
      </c>
    </row>
    <row r="290" customFormat="false" ht="15" hidden="false" customHeight="false" outlineLevel="0" collapsed="false">
      <c r="B290" s="40" t="str">
        <f aca="false">'Bookings Detail'!A250</f>
        <v>D00022</v>
      </c>
      <c r="C290" s="40" t="str">
        <f aca="false">'Bookings Detail'!B250</f>
        <v>R001</v>
      </c>
      <c r="D290" s="40" t="str">
        <f aca="false">'Bookings Detail'!H250</f>
        <v>Renewal</v>
      </c>
      <c r="E290" s="42" t="n">
        <f aca="false">'Bookings Detail'!K250</f>
        <v>5000</v>
      </c>
      <c r="F290" s="43" t="n">
        <f aca="false">AVERAGEIFS('Bookings Detail'!$K$5:$K$274,'Bookings Detail'!$B$5:$B$274,C290,'Bookings Detail'!$H$5:$H$274,D290)</f>
        <v>19187.5</v>
      </c>
      <c r="G290" s="90" t="n">
        <f aca="false">IFERROR(E290/F290,0)</f>
        <v>0.260586319218241</v>
      </c>
      <c r="H290" s="41" t="str">
        <f aca="false">IF(G290&gt;=2.5,"Outlier — 2.5x+ rep's typical deal size for this type","")</f>
        <v/>
      </c>
    </row>
    <row r="291" customFormat="false" ht="15" hidden="false" customHeight="false" outlineLevel="0" collapsed="false">
      <c r="B291" s="34" t="str">
        <f aca="false">'Bookings Detail'!A251</f>
        <v>D00123</v>
      </c>
      <c r="C291" s="34" t="str">
        <f aca="false">'Bookings Detail'!B251</f>
        <v>R006</v>
      </c>
      <c r="D291" s="34" t="str">
        <f aca="false">'Bookings Detail'!H251</f>
        <v>Renewal</v>
      </c>
      <c r="E291" s="36" t="n">
        <f aca="false">'Bookings Detail'!K251</f>
        <v>1500</v>
      </c>
      <c r="F291" s="37" t="n">
        <f aca="false">AVERAGEIFS('Bookings Detail'!$K$5:$K$274,'Bookings Detail'!$B$5:$B$274,C291,'Bookings Detail'!$H$5:$H$274,D291)</f>
        <v>20277.7777777778</v>
      </c>
      <c r="G291" s="89" t="n">
        <f aca="false">IFERROR(E291/F291,0)</f>
        <v>0.073972602739726</v>
      </c>
      <c r="H291" s="35" t="str">
        <f aca="false">IF(G291&gt;=2.5,"Outlier — 2.5x+ rep's typical deal size for this type","")</f>
        <v/>
      </c>
    </row>
    <row r="292" customFormat="false" ht="15" hidden="false" customHeight="false" outlineLevel="0" collapsed="false">
      <c r="B292" s="40" t="str">
        <f aca="false">'Bookings Detail'!A252</f>
        <v>D00054</v>
      </c>
      <c r="C292" s="40" t="str">
        <f aca="false">'Bookings Detail'!B252</f>
        <v>R003</v>
      </c>
      <c r="D292" s="40" t="str">
        <f aca="false">'Bookings Detail'!H252</f>
        <v>New Business</v>
      </c>
      <c r="E292" s="42" t="n">
        <f aca="false">'Bookings Detail'!K252</f>
        <v>45500</v>
      </c>
      <c r="F292" s="43" t="n">
        <f aca="false">AVERAGEIFS('Bookings Detail'!$K$5:$K$274,'Bookings Detail'!$B$5:$B$274,C292,'Bookings Detail'!$H$5:$H$274,D292)</f>
        <v>33928.5714285714</v>
      </c>
      <c r="G292" s="90" t="n">
        <f aca="false">IFERROR(E292/F292,0)</f>
        <v>1.34105263157895</v>
      </c>
      <c r="H292" s="41" t="str">
        <f aca="false">IF(G292&gt;=2.5,"Outlier — 2.5x+ rep's typical deal size for this type","")</f>
        <v/>
      </c>
    </row>
    <row r="293" customFormat="false" ht="15" hidden="false" customHeight="false" outlineLevel="0" collapsed="false">
      <c r="B293" s="34" t="str">
        <f aca="false">'Bookings Detail'!A253</f>
        <v>D00151</v>
      </c>
      <c r="C293" s="34" t="str">
        <f aca="false">'Bookings Detail'!B253</f>
        <v>R008</v>
      </c>
      <c r="D293" s="34" t="str">
        <f aca="false">'Bookings Detail'!H253</f>
        <v>New Business</v>
      </c>
      <c r="E293" s="36" t="n">
        <f aca="false">'Bookings Detail'!K253</f>
        <v>32500</v>
      </c>
      <c r="F293" s="37" t="n">
        <f aca="false">AVERAGEIFS('Bookings Detail'!$K$5:$K$274,'Bookings Detail'!$B$5:$B$274,C293,'Bookings Detail'!$H$5:$H$274,D293)</f>
        <v>82142.8571428571</v>
      </c>
      <c r="G293" s="89" t="n">
        <f aca="false">IFERROR(E293/F293,0)</f>
        <v>0.395652173913043</v>
      </c>
      <c r="H293" s="35" t="str">
        <f aca="false">IF(G293&gt;=2.5,"Outlier — 2.5x+ rep's typical deal size for this type","")</f>
        <v/>
      </c>
    </row>
    <row r="294" customFormat="false" ht="15" hidden="false" customHeight="false" outlineLevel="0" collapsed="false">
      <c r="B294" s="40" t="str">
        <f aca="false">'Bookings Detail'!A254</f>
        <v>D00231</v>
      </c>
      <c r="C294" s="40" t="str">
        <f aca="false">'Bookings Detail'!B254</f>
        <v>R012</v>
      </c>
      <c r="D294" s="40" t="str">
        <f aca="false">'Bookings Detail'!H254</f>
        <v>Renewal</v>
      </c>
      <c r="E294" s="42" t="n">
        <f aca="false">'Bookings Detail'!K254</f>
        <v>50000</v>
      </c>
      <c r="F294" s="43" t="n">
        <f aca="false">AVERAGEIFS('Bookings Detail'!$K$5:$K$274,'Bookings Detail'!$B$5:$B$274,C294,'Bookings Detail'!$H$5:$H$274,D294)</f>
        <v>25700</v>
      </c>
      <c r="G294" s="90" t="n">
        <f aca="false">IFERROR(E294/F294,0)</f>
        <v>1.94552529182879</v>
      </c>
      <c r="H294" s="41" t="str">
        <f aca="false">IF(G294&gt;=2.5,"Outlier — 2.5x+ rep's typical deal size for this type","")</f>
        <v/>
      </c>
    </row>
    <row r="295" customFormat="false" ht="15" hidden="false" customHeight="false" outlineLevel="0" collapsed="false">
      <c r="B295" s="34" t="str">
        <f aca="false">'Bookings Detail'!A255</f>
        <v>D00100</v>
      </c>
      <c r="C295" s="34" t="str">
        <f aca="false">'Bookings Detail'!B255</f>
        <v>R005</v>
      </c>
      <c r="D295" s="34" t="str">
        <f aca="false">'Bookings Detail'!H255</f>
        <v>Renewal</v>
      </c>
      <c r="E295" s="36" t="n">
        <f aca="false">'Bookings Detail'!K255</f>
        <v>13000</v>
      </c>
      <c r="F295" s="37" t="n">
        <f aca="false">AVERAGEIFS('Bookings Detail'!$K$5:$K$274,'Bookings Detail'!$B$5:$B$274,C295,'Bookings Detail'!$H$5:$H$274,D295)</f>
        <v>21687.5</v>
      </c>
      <c r="G295" s="89" t="n">
        <f aca="false">IFERROR(E295/F295,0)</f>
        <v>0.599423631123919</v>
      </c>
      <c r="H295" s="35" t="str">
        <f aca="false">IF(G295&gt;=2.5,"Outlier — 2.5x+ rep's typical deal size for this type","")</f>
        <v/>
      </c>
    </row>
    <row r="296" customFormat="false" ht="15" hidden="false" customHeight="false" outlineLevel="0" collapsed="false">
      <c r="B296" s="40" t="str">
        <f aca="false">'Bookings Detail'!A256</f>
        <v>D00126</v>
      </c>
      <c r="C296" s="40" t="str">
        <f aca="false">'Bookings Detail'!B256</f>
        <v>R006</v>
      </c>
      <c r="D296" s="40" t="str">
        <f aca="false">'Bookings Detail'!H256</f>
        <v>Renewal</v>
      </c>
      <c r="E296" s="42" t="n">
        <f aca="false">'Bookings Detail'!K256</f>
        <v>25000</v>
      </c>
      <c r="F296" s="43" t="n">
        <f aca="false">AVERAGEIFS('Bookings Detail'!$K$5:$K$274,'Bookings Detail'!$B$5:$B$274,C296,'Bookings Detail'!$H$5:$H$274,D296)</f>
        <v>20277.7777777778</v>
      </c>
      <c r="G296" s="90" t="n">
        <f aca="false">IFERROR(E296/F296,0)</f>
        <v>1.23287671232877</v>
      </c>
      <c r="H296" s="41" t="str">
        <f aca="false">IF(G296&gt;=2.5,"Outlier — 2.5x+ rep's typical deal size for this type","")</f>
        <v/>
      </c>
    </row>
    <row r="297" customFormat="false" ht="15" hidden="false" customHeight="false" outlineLevel="0" collapsed="false">
      <c r="B297" s="34" t="str">
        <f aca="false">'Bookings Detail'!A257</f>
        <v>D00138</v>
      </c>
      <c r="C297" s="34" t="str">
        <f aca="false">'Bookings Detail'!B257</f>
        <v>R007</v>
      </c>
      <c r="D297" s="34" t="str">
        <f aca="false">'Bookings Detail'!H257</f>
        <v>New Business</v>
      </c>
      <c r="E297" s="36" t="n">
        <f aca="false">'Bookings Detail'!K257</f>
        <v>132500</v>
      </c>
      <c r="F297" s="37" t="n">
        <f aca="false">AVERAGEIFS('Bookings Detail'!$K$5:$K$274,'Bookings Detail'!$B$5:$B$274,C297,'Bookings Detail'!$H$5:$H$274,D297)</f>
        <v>72785.7142857143</v>
      </c>
      <c r="G297" s="89" t="n">
        <f aca="false">IFERROR(E297/F297,0)</f>
        <v>1.82041216879293</v>
      </c>
      <c r="H297" s="35" t="str">
        <f aca="false">IF(G297&gt;=2.5,"Outlier — 2.5x+ rep's typical deal size for this type","")</f>
        <v/>
      </c>
    </row>
    <row r="298" customFormat="false" ht="15" hidden="false" customHeight="false" outlineLevel="0" collapsed="false">
      <c r="B298" s="40" t="str">
        <f aca="false">'Bookings Detail'!A258</f>
        <v>D00270</v>
      </c>
      <c r="C298" s="40" t="str">
        <f aca="false">'Bookings Detail'!B258</f>
        <v>R015</v>
      </c>
      <c r="D298" s="40" t="str">
        <f aca="false">'Bookings Detail'!H258</f>
        <v>Renewal</v>
      </c>
      <c r="E298" s="42" t="n">
        <f aca="false">'Bookings Detail'!K258</f>
        <v>59000</v>
      </c>
      <c r="F298" s="43" t="n">
        <f aca="false">AVERAGEIFS('Bookings Detail'!$K$5:$K$274,'Bookings Detail'!$B$5:$B$274,C298,'Bookings Detail'!$H$5:$H$274,D298)</f>
        <v>57611.1111111111</v>
      </c>
      <c r="G298" s="90" t="n">
        <f aca="false">IFERROR(E298/F298,0)</f>
        <v>1.02410800385728</v>
      </c>
      <c r="H298" s="41" t="str">
        <f aca="false">IF(G298&gt;=2.5,"Outlier — 2.5x+ rep's typical deal size for this type","")</f>
        <v/>
      </c>
    </row>
    <row r="299" customFormat="false" ht="15" hidden="false" customHeight="false" outlineLevel="0" collapsed="false">
      <c r="B299" s="34" t="str">
        <f aca="false">'Bookings Detail'!A259</f>
        <v>D00269</v>
      </c>
      <c r="C299" s="34" t="str">
        <f aca="false">'Bookings Detail'!B259</f>
        <v>R015</v>
      </c>
      <c r="D299" s="34" t="str">
        <f aca="false">'Bookings Detail'!H259</f>
        <v>Renewal</v>
      </c>
      <c r="E299" s="36" t="n">
        <f aca="false">'Bookings Detail'!K259</f>
        <v>5000</v>
      </c>
      <c r="F299" s="37" t="n">
        <f aca="false">AVERAGEIFS('Bookings Detail'!$K$5:$K$274,'Bookings Detail'!$B$5:$B$274,C299,'Bookings Detail'!$H$5:$H$274,D299)</f>
        <v>57611.1111111111</v>
      </c>
      <c r="G299" s="89" t="n">
        <f aca="false">IFERROR(E299/F299,0)</f>
        <v>0.0867888138862102</v>
      </c>
      <c r="H299" s="35" t="str">
        <f aca="false">IF(G299&gt;=2.5,"Outlier — 2.5x+ rep's typical deal size for this type","")</f>
        <v/>
      </c>
    </row>
    <row r="300" customFormat="false" ht="15" hidden="false" customHeight="false" outlineLevel="0" collapsed="false">
      <c r="B300" s="40" t="str">
        <f aca="false">'Bookings Detail'!A260</f>
        <v>D00061</v>
      </c>
      <c r="C300" s="40" t="str">
        <f aca="false">'Bookings Detail'!B260</f>
        <v>R003</v>
      </c>
      <c r="D300" s="40" t="str">
        <f aca="false">'Bookings Detail'!H260</f>
        <v>Renewal</v>
      </c>
      <c r="E300" s="42" t="n">
        <f aca="false">'Bookings Detail'!K260</f>
        <v>18500</v>
      </c>
      <c r="F300" s="43" t="n">
        <f aca="false">AVERAGEIFS('Bookings Detail'!$K$5:$K$274,'Bookings Detail'!$B$5:$B$274,C300,'Bookings Detail'!$H$5:$H$274,D300)</f>
        <v>17200</v>
      </c>
      <c r="G300" s="90" t="n">
        <f aca="false">IFERROR(E300/F300,0)</f>
        <v>1.07558139534884</v>
      </c>
      <c r="H300" s="41" t="str">
        <f aca="false">IF(G300&gt;=2.5,"Outlier — 2.5x+ rep's typical deal size for this type","")</f>
        <v/>
      </c>
    </row>
    <row r="301" customFormat="false" ht="15" hidden="false" customHeight="false" outlineLevel="0" collapsed="false">
      <c r="B301" s="34" t="str">
        <f aca="false">'Bookings Detail'!A261</f>
        <v>D00139</v>
      </c>
      <c r="C301" s="34" t="str">
        <f aca="false">'Bookings Detail'!B261</f>
        <v>R007</v>
      </c>
      <c r="D301" s="34" t="str">
        <f aca="false">'Bookings Detail'!H261</f>
        <v>Renewal</v>
      </c>
      <c r="E301" s="36" t="n">
        <f aca="false">'Bookings Detail'!K261</f>
        <v>80500</v>
      </c>
      <c r="F301" s="37" t="n">
        <f aca="false">AVERAGEIFS('Bookings Detail'!$K$5:$K$274,'Bookings Detail'!$B$5:$B$274,C301,'Bookings Detail'!$H$5:$H$274,D301)</f>
        <v>67375</v>
      </c>
      <c r="G301" s="89" t="n">
        <f aca="false">IFERROR(E301/F301,0)</f>
        <v>1.19480519480519</v>
      </c>
      <c r="H301" s="35" t="str">
        <f aca="false">IF(G301&gt;=2.5,"Outlier — 2.5x+ rep's typical deal size for this type","")</f>
        <v/>
      </c>
    </row>
    <row r="302" customFormat="false" ht="15" hidden="false" customHeight="false" outlineLevel="0" collapsed="false">
      <c r="B302" s="40" t="str">
        <f aca="false">'Bookings Detail'!A262</f>
        <v>D00228</v>
      </c>
      <c r="C302" s="40" t="str">
        <f aca="false">'Bookings Detail'!B262</f>
        <v>R012</v>
      </c>
      <c r="D302" s="40" t="str">
        <f aca="false">'Bookings Detail'!H262</f>
        <v>Upsell</v>
      </c>
      <c r="E302" s="42" t="n">
        <f aca="false">'Bookings Detail'!K262</f>
        <v>16500</v>
      </c>
      <c r="F302" s="43" t="n">
        <f aca="false">AVERAGEIFS('Bookings Detail'!$K$5:$K$274,'Bookings Detail'!$B$5:$B$274,C302,'Bookings Detail'!$H$5:$H$274,D302)</f>
        <v>19300</v>
      </c>
      <c r="G302" s="90" t="n">
        <f aca="false">IFERROR(E302/F302,0)</f>
        <v>0.854922279792746</v>
      </c>
      <c r="H302" s="41" t="str">
        <f aca="false">IF(G302&gt;=2.5,"Outlier — 2.5x+ rep's typical deal size for this type","")</f>
        <v/>
      </c>
    </row>
    <row r="303" customFormat="false" ht="15" hidden="false" customHeight="false" outlineLevel="0" collapsed="false">
      <c r="B303" s="34" t="str">
        <f aca="false">'Bookings Detail'!A263</f>
        <v>D00209</v>
      </c>
      <c r="C303" s="34" t="str">
        <f aca="false">'Bookings Detail'!B263</f>
        <v>R011</v>
      </c>
      <c r="D303" s="34" t="str">
        <f aca="false">'Bookings Detail'!H263</f>
        <v>New Business</v>
      </c>
      <c r="E303" s="36" t="n">
        <f aca="false">'Bookings Detail'!K263</f>
        <v>76500</v>
      </c>
      <c r="F303" s="37" t="n">
        <f aca="false">AVERAGEIFS('Bookings Detail'!$K$5:$K$274,'Bookings Detail'!$B$5:$B$274,C303,'Bookings Detail'!$H$5:$H$274,D303)</f>
        <v>70062.5</v>
      </c>
      <c r="G303" s="89" t="n">
        <f aca="false">IFERROR(E303/F303,0)</f>
        <v>1.09188224799286</v>
      </c>
      <c r="H303" s="35" t="str">
        <f aca="false">IF(G303&gt;=2.5,"Outlier — 2.5x+ rep's typical deal size for this type","")</f>
        <v/>
      </c>
    </row>
    <row r="304" customFormat="false" ht="15" hidden="false" customHeight="false" outlineLevel="0" collapsed="false">
      <c r="B304" s="40" t="str">
        <f aca="false">'Bookings Detail'!A264</f>
        <v>D00041</v>
      </c>
      <c r="C304" s="40" t="str">
        <f aca="false">'Bookings Detail'!B264</f>
        <v>R002</v>
      </c>
      <c r="D304" s="40" t="str">
        <f aca="false">'Bookings Detail'!H264</f>
        <v>Renewal</v>
      </c>
      <c r="E304" s="42" t="n">
        <f aca="false">'Bookings Detail'!K264</f>
        <v>1500</v>
      </c>
      <c r="F304" s="43" t="n">
        <f aca="false">AVERAGEIFS('Bookings Detail'!$K$5:$K$274,'Bookings Detail'!$B$5:$B$274,C304,'Bookings Detail'!$H$5:$H$274,D304)</f>
        <v>3357.14285714286</v>
      </c>
      <c r="G304" s="90" t="n">
        <f aca="false">IFERROR(E304/F304,0)</f>
        <v>0.446808510638298</v>
      </c>
      <c r="H304" s="41" t="str">
        <f aca="false">IF(G304&gt;=2.5,"Outlier — 2.5x+ rep's typical deal size for this type","")</f>
        <v/>
      </c>
    </row>
    <row r="305" customFormat="false" ht="15" hidden="false" customHeight="false" outlineLevel="0" collapsed="false">
      <c r="B305" s="34" t="str">
        <f aca="false">'Bookings Detail'!A265</f>
        <v>D00075</v>
      </c>
      <c r="C305" s="34" t="str">
        <f aca="false">'Bookings Detail'!B265</f>
        <v>R004</v>
      </c>
      <c r="D305" s="34" t="str">
        <f aca="false">'Bookings Detail'!H265</f>
        <v>New Business</v>
      </c>
      <c r="E305" s="36" t="n">
        <f aca="false">'Bookings Detail'!K265</f>
        <v>3000</v>
      </c>
      <c r="F305" s="37" t="n">
        <f aca="false">AVERAGEIFS('Bookings Detail'!$K$5:$K$274,'Bookings Detail'!$B$5:$B$274,C305,'Bookings Detail'!$H$5:$H$274,D305)</f>
        <v>31785.7142857143</v>
      </c>
      <c r="G305" s="89" t="n">
        <f aca="false">IFERROR(E305/F305,0)</f>
        <v>0.0943820224719101</v>
      </c>
      <c r="H305" s="35" t="str">
        <f aca="false">IF(G305&gt;=2.5,"Outlier — 2.5x+ rep's typical deal size for this type","")</f>
        <v/>
      </c>
    </row>
    <row r="306" customFormat="false" ht="15" hidden="false" customHeight="false" outlineLevel="0" collapsed="false">
      <c r="B306" s="40" t="str">
        <f aca="false">'Bookings Detail'!A266</f>
        <v>D00157</v>
      </c>
      <c r="C306" s="40" t="str">
        <f aca="false">'Bookings Detail'!B266</f>
        <v>R008</v>
      </c>
      <c r="D306" s="40" t="str">
        <f aca="false">'Bookings Detail'!H266</f>
        <v>Renewal</v>
      </c>
      <c r="E306" s="42" t="n">
        <f aca="false">'Bookings Detail'!K266</f>
        <v>14000</v>
      </c>
      <c r="F306" s="43" t="n">
        <f aca="false">AVERAGEIFS('Bookings Detail'!$K$5:$K$274,'Bookings Detail'!$B$5:$B$274,C306,'Bookings Detail'!$H$5:$H$274,D306)</f>
        <v>21000</v>
      </c>
      <c r="G306" s="90" t="n">
        <f aca="false">IFERROR(E306/F306,0)</f>
        <v>0.666666666666667</v>
      </c>
      <c r="H306" s="41" t="str">
        <f aca="false">IF(G306&gt;=2.5,"Outlier — 2.5x+ rep's typical deal size for this type","")</f>
        <v/>
      </c>
    </row>
    <row r="307" customFormat="false" ht="15" hidden="false" customHeight="false" outlineLevel="0" collapsed="false">
      <c r="B307" s="34" t="str">
        <f aca="false">'Bookings Detail'!A267</f>
        <v>D00256</v>
      </c>
      <c r="C307" s="34" t="str">
        <f aca="false">'Bookings Detail'!B267</f>
        <v>R014</v>
      </c>
      <c r="D307" s="34" t="str">
        <f aca="false">'Bookings Detail'!H267</f>
        <v>Renewal</v>
      </c>
      <c r="E307" s="36" t="n">
        <f aca="false">'Bookings Detail'!K267</f>
        <v>12500</v>
      </c>
      <c r="F307" s="37" t="n">
        <f aca="false">AVERAGEIFS('Bookings Detail'!$K$5:$K$274,'Bookings Detail'!$B$5:$B$274,C307,'Bookings Detail'!$H$5:$H$274,D307)</f>
        <v>60357.1428571429</v>
      </c>
      <c r="G307" s="89" t="n">
        <f aca="false">IFERROR(E307/F307,0)</f>
        <v>0.207100591715976</v>
      </c>
      <c r="H307" s="35" t="str">
        <f aca="false">IF(G307&gt;=2.5,"Outlier — 2.5x+ rep's typical deal size for this type","")</f>
        <v/>
      </c>
    </row>
    <row r="308" customFormat="false" ht="15" hidden="false" customHeight="false" outlineLevel="0" collapsed="false">
      <c r="B308" s="40" t="str">
        <f aca="false">'Bookings Detail'!A268</f>
        <v>D00040</v>
      </c>
      <c r="C308" s="40" t="str">
        <f aca="false">'Bookings Detail'!B268</f>
        <v>R002</v>
      </c>
      <c r="D308" s="40" t="str">
        <f aca="false">'Bookings Detail'!H268</f>
        <v>Renewal</v>
      </c>
      <c r="E308" s="42" t="n">
        <f aca="false">'Bookings Detail'!K268</f>
        <v>5000</v>
      </c>
      <c r="F308" s="43" t="n">
        <f aca="false">AVERAGEIFS('Bookings Detail'!$K$5:$K$274,'Bookings Detail'!$B$5:$B$274,C308,'Bookings Detail'!$H$5:$H$274,D308)</f>
        <v>3357.14285714286</v>
      </c>
      <c r="G308" s="90" t="n">
        <f aca="false">IFERROR(E308/F308,0)</f>
        <v>1.48936170212766</v>
      </c>
      <c r="H308" s="41" t="str">
        <f aca="false">IF(G308&gt;=2.5,"Outlier — 2.5x+ rep's typical deal size for this type","")</f>
        <v/>
      </c>
    </row>
    <row r="309" customFormat="false" ht="15" hidden="false" customHeight="false" outlineLevel="0" collapsed="false">
      <c r="B309" s="34" t="str">
        <f aca="false">'Bookings Detail'!A269</f>
        <v>D00158</v>
      </c>
      <c r="C309" s="34" t="str">
        <f aca="false">'Bookings Detail'!B269</f>
        <v>R008</v>
      </c>
      <c r="D309" s="34" t="str">
        <f aca="false">'Bookings Detail'!H269</f>
        <v>Renewal</v>
      </c>
      <c r="E309" s="36" t="n">
        <f aca="false">'Bookings Detail'!K269</f>
        <v>13000</v>
      </c>
      <c r="F309" s="37" t="n">
        <f aca="false">AVERAGEIFS('Bookings Detail'!$K$5:$K$274,'Bookings Detail'!$B$5:$B$274,C309,'Bookings Detail'!$H$5:$H$274,D309)</f>
        <v>21000</v>
      </c>
      <c r="G309" s="89" t="n">
        <f aca="false">IFERROR(E309/F309,0)</f>
        <v>0.619047619047619</v>
      </c>
      <c r="H309" s="35" t="str">
        <f aca="false">IF(G309&gt;=2.5,"Outlier — 2.5x+ rep's typical deal size for this type","")</f>
        <v/>
      </c>
    </row>
    <row r="310" customFormat="false" ht="15" hidden="false" customHeight="false" outlineLevel="0" collapsed="false">
      <c r="B310" s="40" t="str">
        <f aca="false">'Bookings Detail'!A270</f>
        <v>D00174</v>
      </c>
      <c r="C310" s="40" t="str">
        <f aca="false">'Bookings Detail'!B270</f>
        <v>R009</v>
      </c>
      <c r="D310" s="40" t="str">
        <f aca="false">'Bookings Detail'!H270</f>
        <v>Renewal</v>
      </c>
      <c r="E310" s="42" t="n">
        <f aca="false">'Bookings Detail'!K270</f>
        <v>18500</v>
      </c>
      <c r="F310" s="43" t="n">
        <f aca="false">AVERAGEIFS('Bookings Detail'!$K$5:$K$274,'Bookings Detail'!$B$5:$B$274,C310,'Bookings Detail'!$H$5:$H$274,D310)</f>
        <v>29600</v>
      </c>
      <c r="G310" s="90" t="n">
        <f aca="false">IFERROR(E310/F310,0)</f>
        <v>0.625</v>
      </c>
      <c r="H310" s="41" t="str">
        <f aca="false">IF(G310&gt;=2.5,"Outlier — 2.5x+ rep's typical deal size for this type","")</f>
        <v/>
      </c>
    </row>
    <row r="311" customFormat="false" ht="15" hidden="false" customHeight="false" outlineLevel="0" collapsed="false">
      <c r="B311" s="34" t="str">
        <f aca="false">'Bookings Detail'!A271</f>
        <v>D00121</v>
      </c>
      <c r="C311" s="34" t="str">
        <f aca="false">'Bookings Detail'!B271</f>
        <v>R006</v>
      </c>
      <c r="D311" s="34" t="str">
        <f aca="false">'Bookings Detail'!H271</f>
        <v>Upsell</v>
      </c>
      <c r="E311" s="36" t="n">
        <f aca="false">'Bookings Detail'!K271</f>
        <v>29500</v>
      </c>
      <c r="F311" s="37" t="n">
        <f aca="false">AVERAGEIFS('Bookings Detail'!$K$5:$K$274,'Bookings Detail'!$B$5:$B$274,C311,'Bookings Detail'!$H$5:$H$274,D311)</f>
        <v>26333.3333333333</v>
      </c>
      <c r="G311" s="89" t="n">
        <f aca="false">IFERROR(E311/F311,0)</f>
        <v>1.12025316455696</v>
      </c>
      <c r="H311" s="35" t="str">
        <f aca="false">IF(G311&gt;=2.5,"Outlier — 2.5x+ rep's typical deal size for this type","")</f>
        <v/>
      </c>
    </row>
    <row r="312" customFormat="false" ht="15" hidden="false" customHeight="false" outlineLevel="0" collapsed="false">
      <c r="B312" s="40" t="str">
        <f aca="false">'Bookings Detail'!A272</f>
        <v>D00053</v>
      </c>
      <c r="C312" s="40" t="str">
        <f aca="false">'Bookings Detail'!B272</f>
        <v>R003</v>
      </c>
      <c r="D312" s="40" t="str">
        <f aca="false">'Bookings Detail'!H272</f>
        <v>New Business</v>
      </c>
      <c r="E312" s="42" t="n">
        <f aca="false">'Bookings Detail'!K272</f>
        <v>43500</v>
      </c>
      <c r="F312" s="43" t="n">
        <f aca="false">AVERAGEIFS('Bookings Detail'!$K$5:$K$274,'Bookings Detail'!$B$5:$B$274,C312,'Bookings Detail'!$H$5:$H$274,D312)</f>
        <v>33928.5714285714</v>
      </c>
      <c r="G312" s="90" t="n">
        <f aca="false">IFERROR(E312/F312,0)</f>
        <v>1.28210526315789</v>
      </c>
      <c r="H312" s="41" t="str">
        <f aca="false">IF(G312&gt;=2.5,"Outlier — 2.5x+ rep's typical deal size for this type","")</f>
        <v/>
      </c>
    </row>
    <row r="313" customFormat="false" ht="15" hidden="false" customHeight="false" outlineLevel="0" collapsed="false">
      <c r="B313" s="34" t="str">
        <f aca="false">'Bookings Detail'!A273</f>
        <v>D00230</v>
      </c>
      <c r="C313" s="34" t="str">
        <f aca="false">'Bookings Detail'!B273</f>
        <v>R012</v>
      </c>
      <c r="D313" s="34" t="str">
        <f aca="false">'Bookings Detail'!H273</f>
        <v>Renewal</v>
      </c>
      <c r="E313" s="36" t="n">
        <f aca="false">'Bookings Detail'!K273</f>
        <v>13500</v>
      </c>
      <c r="F313" s="37" t="n">
        <f aca="false">AVERAGEIFS('Bookings Detail'!$K$5:$K$274,'Bookings Detail'!$B$5:$B$274,C313,'Bookings Detail'!$H$5:$H$274,D313)</f>
        <v>25700</v>
      </c>
      <c r="G313" s="89" t="n">
        <f aca="false">IFERROR(E313/F313,0)</f>
        <v>0.525291828793774</v>
      </c>
      <c r="H313" s="35" t="str">
        <f aca="false">IF(G313&gt;=2.5,"Outlier — 2.5x+ rep's typical deal size for this type","")</f>
        <v/>
      </c>
    </row>
    <row r="314" customFormat="false" ht="15" hidden="false" customHeight="false" outlineLevel="0" collapsed="false">
      <c r="B314" s="40" t="str">
        <f aca="false">'Bookings Detail'!A274</f>
        <v>D00115</v>
      </c>
      <c r="C314" s="40" t="str">
        <f aca="false">'Bookings Detail'!B274</f>
        <v>R006</v>
      </c>
      <c r="D314" s="40" t="str">
        <f aca="false">'Bookings Detail'!H274</f>
        <v>New Business</v>
      </c>
      <c r="E314" s="42" t="n">
        <f aca="false">'Bookings Detail'!K274</f>
        <v>65500</v>
      </c>
      <c r="F314" s="43" t="n">
        <f aca="false">AVERAGEIFS('Bookings Detail'!$K$5:$K$274,'Bookings Detail'!$B$5:$B$274,C314,'Bookings Detail'!$H$5:$H$274,D314)</f>
        <v>37450</v>
      </c>
      <c r="G314" s="90" t="n">
        <f aca="false">IFERROR(E314/F314,0)</f>
        <v>1.74899866488652</v>
      </c>
      <c r="H314" s="41" t="str">
        <f aca="false">IF(G314&gt;=2.5,"Outlier — 2.5x+ rep's typical deal size for this type","")</f>
        <v/>
      </c>
    </row>
  </sheetData>
  <mergeCells count="1">
    <mergeCell ref="B3:J3"/>
  </mergeCells>
  <conditionalFormatting sqref="B10:I39">
    <cfRule type="expression" priority="2" aboveAverage="0" equalAverage="0" bottom="0" percent="0" rank="0" text="" dxfId="7">
      <formula>$I10&lt;&gt;""</formula>
    </cfRule>
  </conditionalFormatting>
  <conditionalFormatting sqref="B45:H314">
    <cfRule type="expression" priority="3" aboveAverage="0" equalAverage="0" bottom="0" percent="0" rank="0" text="" dxfId="7">
      <formula>$H45&lt;&gt;""</formula>
    </cfRule>
  </conditionalFormatting>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K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 width="2"/>
    <col collapsed="false" customWidth="true" hidden="false" outlineLevel="0" max="2" min="2" style="1" width="10"/>
    <col collapsed="false" customWidth="true" hidden="false" outlineLevel="0" max="3" min="3" style="1" width="18"/>
    <col collapsed="false" customWidth="true" hidden="false" outlineLevel="0" max="4" min="4" style="1" width="20"/>
    <col collapsed="false" customWidth="true" hidden="false" outlineLevel="0" max="5" min="5" style="1" width="16"/>
    <col collapsed="false" customWidth="true" hidden="false" outlineLevel="0" max="6" min="6" style="1" width="14"/>
    <col collapsed="false" customWidth="true" hidden="false" outlineLevel="0" max="7" min="7" style="1" width="16"/>
    <col collapsed="false" customWidth="true" hidden="false" outlineLevel="0" max="8" min="8" style="1" width="18"/>
    <col collapsed="false" customWidth="true" hidden="false" outlineLevel="0" max="9" min="9" style="1" width="16"/>
    <col collapsed="false" customWidth="true" hidden="false" outlineLevel="0" max="10" min="10" style="1" width="14"/>
    <col collapsed="false" customWidth="true" hidden="false" outlineLevel="0" max="11" min="11" style="1" width="11"/>
  </cols>
  <sheetData>
    <row r="2" customFormat="false" ht="17.35" hidden="false" customHeight="false" outlineLevel="0" collapsed="false">
      <c r="B2" s="13" t="s">
        <v>647</v>
      </c>
    </row>
    <row r="3" customFormat="false" ht="15" hidden="false" customHeight="false" outlineLevel="0" collapsed="false">
      <c r="B3" s="33" t="s">
        <v>648</v>
      </c>
      <c r="C3" s="33"/>
      <c r="D3" s="33"/>
      <c r="E3" s="33"/>
      <c r="F3" s="33"/>
      <c r="G3" s="33"/>
      <c r="H3" s="33"/>
      <c r="I3" s="33"/>
      <c r="J3" s="33"/>
    </row>
    <row r="5" customFormat="false" ht="23.85" hidden="false" customHeight="false" outlineLevel="0" collapsed="false">
      <c r="B5" s="14" t="s">
        <v>121</v>
      </c>
      <c r="C5" s="14" t="s">
        <v>649</v>
      </c>
      <c r="D5" s="14" t="s">
        <v>650</v>
      </c>
      <c r="E5" s="14" t="s">
        <v>651</v>
      </c>
      <c r="F5" s="14" t="s">
        <v>652</v>
      </c>
      <c r="G5" s="14" t="s">
        <v>653</v>
      </c>
      <c r="H5" s="14" t="s">
        <v>654</v>
      </c>
      <c r="I5" s="14" t="s">
        <v>655</v>
      </c>
      <c r="J5" s="14" t="s">
        <v>656</v>
      </c>
      <c r="K5" s="14" t="s">
        <v>657</v>
      </c>
    </row>
    <row r="6" customFormat="false" ht="15" hidden="false" customHeight="false" outlineLevel="0" collapsed="false">
      <c r="B6" s="24" t="s">
        <v>580</v>
      </c>
      <c r="C6" s="91" t="n">
        <v>1500000</v>
      </c>
      <c r="D6" s="36" t="n">
        <f aca="false">'Monthly Accrual &amp; Forecast'!B5</f>
        <v>1341500</v>
      </c>
      <c r="E6" s="37" t="n">
        <f aca="false">D6-C6</f>
        <v>-158500</v>
      </c>
      <c r="F6" s="38" t="n">
        <f aca="false">IFERROR(E6/C6,0)</f>
        <v>-0.105666666666667</v>
      </c>
      <c r="G6" s="91" t="n">
        <v>97500</v>
      </c>
      <c r="H6" s="36" t="n">
        <f aca="false">'Monthly Accrual &amp; Forecast'!C5</f>
        <v>85003.0421699646</v>
      </c>
      <c r="I6" s="37" t="n">
        <f aca="false">H6-G6</f>
        <v>-12496.9578300354</v>
      </c>
      <c r="J6" s="38" t="n">
        <f aca="false">IFERROR(I6/G6,0)</f>
        <v>-0.128173926461902</v>
      </c>
      <c r="K6" s="34" t="str">
        <f aca="false">'Monthly Accrual &amp; Forecast'!F5</f>
        <v>Actual</v>
      </c>
    </row>
    <row r="7" customFormat="false" ht="15" hidden="false" customHeight="false" outlineLevel="0" collapsed="false">
      <c r="B7" s="27" t="s">
        <v>582</v>
      </c>
      <c r="C7" s="29" t="n">
        <v>2200000</v>
      </c>
      <c r="D7" s="42" t="n">
        <f aca="false">'Monthly Accrual &amp; Forecast'!B6</f>
        <v>3145500</v>
      </c>
      <c r="E7" s="43" t="n">
        <f aca="false">D7-C7</f>
        <v>945500</v>
      </c>
      <c r="F7" s="44" t="n">
        <f aca="false">IFERROR(E7/C7,0)</f>
        <v>0.429772727272727</v>
      </c>
      <c r="G7" s="29" t="n">
        <v>143000</v>
      </c>
      <c r="H7" s="42" t="n">
        <f aca="false">'Monthly Accrual &amp; Forecast'!C6</f>
        <v>207904.907605058</v>
      </c>
      <c r="I7" s="43" t="n">
        <f aca="false">H7-G7</f>
        <v>64904.9076050576</v>
      </c>
      <c r="J7" s="44" t="n">
        <f aca="false">IFERROR(I7/G7,0)</f>
        <v>0.453880472762641</v>
      </c>
      <c r="K7" s="40" t="str">
        <f aca="false">'Monthly Accrual &amp; Forecast'!F6</f>
        <v>Actual</v>
      </c>
    </row>
    <row r="8" customFormat="false" ht="15" hidden="false" customHeight="false" outlineLevel="0" collapsed="false">
      <c r="B8" s="24" t="s">
        <v>583</v>
      </c>
      <c r="C8" s="91" t="n">
        <v>2600000</v>
      </c>
      <c r="D8" s="36" t="n">
        <f aca="false">'Monthly Accrual &amp; Forecast'!B7</f>
        <v>2735500</v>
      </c>
      <c r="E8" s="37" t="n">
        <f aca="false">D8-C8</f>
        <v>135500</v>
      </c>
      <c r="F8" s="38" t="n">
        <f aca="false">IFERROR(E8/C8,0)</f>
        <v>0.0521153846153846</v>
      </c>
      <c r="G8" s="91" t="n">
        <v>169000</v>
      </c>
      <c r="H8" s="36" t="n">
        <f aca="false">'Monthly Accrual &amp; Forecast'!C7</f>
        <v>172902.050224978</v>
      </c>
      <c r="I8" s="37" t="n">
        <f aca="false">H8-G8</f>
        <v>3902.05022497778</v>
      </c>
      <c r="J8" s="38" t="n">
        <f aca="false">IFERROR(I8/G8,0)</f>
        <v>0.0230890545856673</v>
      </c>
      <c r="K8" s="34" t="str">
        <f aca="false">'Monthly Accrual &amp; Forecast'!F7</f>
        <v>Actual</v>
      </c>
    </row>
    <row r="9" customFormat="false" ht="15" hidden="false" customHeight="false" outlineLevel="0" collapsed="false">
      <c r="B9" s="27" t="s">
        <v>584</v>
      </c>
      <c r="C9" s="29" t="n">
        <v>2300000</v>
      </c>
      <c r="D9" s="42" t="n">
        <f aca="false">'Monthly Accrual &amp; Forecast'!B8</f>
        <v>2099000</v>
      </c>
      <c r="E9" s="43" t="n">
        <f aca="false">D9-C9</f>
        <v>-201000</v>
      </c>
      <c r="F9" s="44" t="n">
        <f aca="false">IFERROR(E9/C9,0)</f>
        <v>-0.0873913043478261</v>
      </c>
      <c r="G9" s="29" t="n">
        <v>149500</v>
      </c>
      <c r="H9" s="42" t="n">
        <f aca="false">'Monthly Accrual &amp; Forecast'!C8</f>
        <v>131582.100028587</v>
      </c>
      <c r="I9" s="43" t="n">
        <f aca="false">H9-G9</f>
        <v>-17917.8999714129</v>
      </c>
      <c r="J9" s="44" t="n">
        <f aca="false">IFERROR(I9/G9,0)</f>
        <v>-0.119852173721825</v>
      </c>
      <c r="K9" s="40" t="str">
        <f aca="false">'Monthly Accrual &amp; Forecast'!F8</f>
        <v>Actual</v>
      </c>
    </row>
    <row r="10" customFormat="false" ht="15" hidden="false" customHeight="false" outlineLevel="0" collapsed="false">
      <c r="B10" s="24" t="s">
        <v>585</v>
      </c>
      <c r="C10" s="91" t="n">
        <v>2400000</v>
      </c>
      <c r="D10" s="36" t="n">
        <f aca="false">'Monthly Accrual &amp; Forecast'!B9</f>
        <v>2559500</v>
      </c>
      <c r="E10" s="37" t="n">
        <f aca="false">D10-C10</f>
        <v>159500</v>
      </c>
      <c r="F10" s="38" t="n">
        <f aca="false">IFERROR(E10/C10,0)</f>
        <v>0.0664583333333333</v>
      </c>
      <c r="G10" s="91" t="n">
        <v>156000</v>
      </c>
      <c r="H10" s="36" t="n">
        <f aca="false">'Monthly Accrual &amp; Forecast'!C9</f>
        <v>184816.763584711</v>
      </c>
      <c r="I10" s="37" t="n">
        <f aca="false">H10-G10</f>
        <v>28816.7635847107</v>
      </c>
      <c r="J10" s="38" t="n">
        <f aca="false">IFERROR(I10/G10,0)</f>
        <v>0.184722843491735</v>
      </c>
      <c r="K10" s="34" t="str">
        <f aca="false">'Monthly Accrual &amp; Forecast'!F9</f>
        <v>Actual</v>
      </c>
    </row>
    <row r="11" customFormat="false" ht="15" hidden="false" customHeight="false" outlineLevel="0" collapsed="false">
      <c r="B11" s="27" t="s">
        <v>586</v>
      </c>
      <c r="C11" s="29" t="n">
        <v>2500000</v>
      </c>
      <c r="D11" s="42" t="n">
        <f aca="false">'Monthly Accrual &amp; Forecast'!B10</f>
        <v>2193500</v>
      </c>
      <c r="E11" s="43" t="n">
        <f aca="false">D11-C11</f>
        <v>-306500</v>
      </c>
      <c r="F11" s="44" t="n">
        <f aca="false">IFERROR(E11/C11,0)</f>
        <v>-0.1226</v>
      </c>
      <c r="G11" s="29" t="n">
        <v>162500</v>
      </c>
      <c r="H11" s="42" t="n">
        <f aca="false">'Monthly Accrual &amp; Forecast'!C10</f>
        <v>134726.136386702</v>
      </c>
      <c r="I11" s="43" t="n">
        <f aca="false">H11-G11</f>
        <v>-27773.8636132978</v>
      </c>
      <c r="J11" s="44" t="n">
        <f aca="false">IFERROR(I11/G11,0)</f>
        <v>-0.17091608377414</v>
      </c>
      <c r="K11" s="40" t="str">
        <f aca="false">'Monthly Accrual &amp; Forecast'!F10</f>
        <v>Actual</v>
      </c>
    </row>
    <row r="12" customFormat="false" ht="15" hidden="false" customHeight="false" outlineLevel="0" collapsed="false">
      <c r="B12" s="24" t="s">
        <v>587</v>
      </c>
      <c r="C12" s="91" t="n">
        <v>2500000</v>
      </c>
      <c r="D12" s="36" t="n">
        <f aca="false">'Monthly Accrual &amp; Forecast'!B11</f>
        <v>2532300</v>
      </c>
      <c r="E12" s="37" t="n">
        <f aca="false">D12-C12</f>
        <v>32300</v>
      </c>
      <c r="F12" s="38" t="n">
        <f aca="false">IFERROR(E12/C12,0)</f>
        <v>0.01292</v>
      </c>
      <c r="G12" s="91" t="n">
        <v>162500</v>
      </c>
      <c r="H12" s="36" t="n">
        <f aca="false">'Monthly Accrual &amp; Forecast'!C11</f>
        <v>164170.558023276</v>
      </c>
      <c r="I12" s="37" t="n">
        <f aca="false">H12-G12</f>
        <v>1670.55802327616</v>
      </c>
      <c r="J12" s="38" t="n">
        <f aca="false">IFERROR(I12/G12,0)</f>
        <v>0.0102803570663148</v>
      </c>
      <c r="K12" s="34" t="str">
        <f aca="false">'Monthly Accrual &amp; Forecast'!F11</f>
        <v>Forecast</v>
      </c>
    </row>
    <row r="13" customFormat="false" ht="15" hidden="false" customHeight="false" outlineLevel="0" collapsed="false">
      <c r="B13" s="27" t="s">
        <v>589</v>
      </c>
      <c r="C13" s="29" t="n">
        <v>2600000</v>
      </c>
      <c r="D13" s="42" t="n">
        <f aca="false">'Monthly Accrual &amp; Forecast'!B12</f>
        <v>2585600</v>
      </c>
      <c r="E13" s="43" t="n">
        <f aca="false">D13-C13</f>
        <v>-14400</v>
      </c>
      <c r="F13" s="44" t="n">
        <f aca="false">IFERROR(E13/C13,0)</f>
        <v>-0.00553846153846154</v>
      </c>
      <c r="G13" s="29" t="n">
        <v>169000</v>
      </c>
      <c r="H13" s="42" t="n">
        <f aca="false">'Monthly Accrual &amp; Forecast'!C12</f>
        <v>167626.02962721</v>
      </c>
      <c r="I13" s="43" t="n">
        <f aca="false">H13-G13</f>
        <v>-1373.97037279041</v>
      </c>
      <c r="J13" s="44" t="n">
        <f aca="false">IFERROR(I13/G13,0)</f>
        <v>-0.00813000220586043</v>
      </c>
      <c r="K13" s="40" t="str">
        <f aca="false">'Monthly Accrual &amp; Forecast'!F12</f>
        <v>Forecast</v>
      </c>
    </row>
    <row r="14" customFormat="false" ht="15" hidden="false" customHeight="false" outlineLevel="0" collapsed="false">
      <c r="B14" s="24" t="s">
        <v>590</v>
      </c>
      <c r="C14" s="91" t="n">
        <v>2700000</v>
      </c>
      <c r="D14" s="36" t="n">
        <f aca="false">'Monthly Accrual &amp; Forecast'!B13</f>
        <v>2638900</v>
      </c>
      <c r="E14" s="37" t="n">
        <f aca="false">D14-C14</f>
        <v>-61100</v>
      </c>
      <c r="F14" s="38" t="n">
        <f aca="false">IFERROR(E14/C14,0)</f>
        <v>-0.0226296296296296</v>
      </c>
      <c r="G14" s="91" t="n">
        <v>175500</v>
      </c>
      <c r="H14" s="36" t="n">
        <f aca="false">'Monthly Accrual &amp; Forecast'!C13</f>
        <v>171081.501231143</v>
      </c>
      <c r="I14" s="37" t="n">
        <f aca="false">H14-G14</f>
        <v>-4418.49876885698</v>
      </c>
      <c r="J14" s="38" t="n">
        <f aca="false">IFERROR(I14/G14,0)</f>
        <v>-0.0251766311615782</v>
      </c>
      <c r="K14" s="34" t="str">
        <f aca="false">'Monthly Accrual &amp; Forecast'!F13</f>
        <v>Forecast</v>
      </c>
    </row>
    <row r="15" customFormat="false" ht="15" hidden="false" customHeight="false" outlineLevel="0" collapsed="false">
      <c r="B15" s="53" t="s">
        <v>658</v>
      </c>
      <c r="C15" s="48" t="n">
        <f aca="false">SUM(C6:C14)</f>
        <v>21300000</v>
      </c>
      <c r="D15" s="48" t="n">
        <f aca="false">SUM(D6:D14)</f>
        <v>21831300</v>
      </c>
      <c r="E15" s="48" t="n">
        <f aca="false">SUM(E6:E14)</f>
        <v>531300</v>
      </c>
      <c r="F15" s="46"/>
      <c r="G15" s="48" t="n">
        <f aca="false">SUM(G6:G14)</f>
        <v>1384500</v>
      </c>
      <c r="H15" s="48" t="n">
        <f aca="false">SUM(H6:H14)</f>
        <v>1419813.08888163</v>
      </c>
      <c r="I15" s="48" t="n">
        <f aca="false">SUM(I6:I14)</f>
        <v>35313.0888816288</v>
      </c>
      <c r="J15" s="46"/>
      <c r="K15" s="46"/>
    </row>
    <row r="37" customFormat="false" ht="15" hidden="false" customHeight="false" outlineLevel="0" collapsed="false">
      <c r="B37" s="8" t="s">
        <v>659</v>
      </c>
    </row>
    <row r="38" customFormat="false" ht="30" hidden="false" customHeight="true" outlineLevel="0" collapsed="false">
      <c r="B38" s="33" t="s">
        <v>660</v>
      </c>
      <c r="C38" s="33"/>
      <c r="D38" s="33"/>
      <c r="E38" s="33"/>
      <c r="F38" s="33"/>
      <c r="G38" s="33"/>
      <c r="H38" s="33"/>
      <c r="I38" s="33"/>
      <c r="J38" s="33"/>
    </row>
  </sheetData>
  <mergeCells count="2">
    <mergeCell ref="B3:J3"/>
    <mergeCell ref="B38:J38"/>
  </mergeCells>
  <conditionalFormatting sqref="E6:E14">
    <cfRule type="cellIs" priority="2" operator="lessThan" aboveAverage="0" equalAverage="0" bottom="0" percent="0" rank="0" text="" dxfId="8">
      <formula>0</formula>
    </cfRule>
    <cfRule type="cellIs" priority="3" operator="greaterThanOrEqual" aboveAverage="0" equalAverage="0" bottom="0" percent="0" rank="0" text="" dxfId="9">
      <formula>0</formula>
    </cfRule>
  </conditionalFormatting>
  <printOptions headings="false" gridLines="false" gridLinesSet="true" horizontalCentered="false" verticalCentered="false"/>
  <pageMargins left="0.3" right="0.3" top="0.4" bottom="0.4"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2026-09-05T19:14:36Z</dcterms:created>
  <dc:creator>openpyxl</dc:creator>
  <dc:description/>
  <dc:language>en-US</dc:language>
  <cp:lastModifiedBy/>
  <dcterms:modified xsi:type="dcterms:W3CDTF">2026-09-29T20:29:55Z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