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10.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9" autoFilterDateGrouping="1"/>
  </bookViews>
  <sheets>
    <sheet xmlns:r="http://schemas.openxmlformats.org/officeDocument/2006/relationships" name="Cover" sheetId="1" state="visible" r:id="rId1"/>
    <sheet xmlns:r="http://schemas.openxmlformats.org/officeDocument/2006/relationships" name="Commission Plan Rules" sheetId="2" state="visible" r:id="rId2"/>
    <sheet xmlns:r="http://schemas.openxmlformats.org/officeDocument/2006/relationships" name="Sales Roster &amp; Quotas" sheetId="3" state="visible" r:id="rId3"/>
    <sheet xmlns:r="http://schemas.openxmlformats.org/officeDocument/2006/relationships" name="Bookings Detail" sheetId="4" state="visible" r:id="rId4"/>
    <sheet xmlns:r="http://schemas.openxmlformats.org/officeDocument/2006/relationships" name="Rep-Quarter Summary" sheetId="5" state="visible" r:id="rId5"/>
    <sheet xmlns:r="http://schemas.openxmlformats.org/officeDocument/2006/relationships" name="Monthly Accrual &amp; Forecast" sheetId="6" state="visible" r:id="rId6"/>
    <sheet xmlns:r="http://schemas.openxmlformats.org/officeDocument/2006/relationships" name="Executive Dashboard" sheetId="7" state="visible" r:id="rId7"/>
    <sheet xmlns:r="http://schemas.openxmlformats.org/officeDocument/2006/relationships" name="Scenario Planner" sheetId="8" state="visible" r:id="rId8"/>
    <sheet xmlns:r="http://schemas.openxmlformats.org/officeDocument/2006/relationships" name="Audit &amp; Exceptions" sheetId="9" state="visible" r:id="rId9"/>
    <sheet xmlns:r="http://schemas.openxmlformats.org/officeDocument/2006/relationships" name="Budget vs Actual" sheetId="10" state="visible" r:id="rId10"/>
  </sheets>
  <definedNames>
    <definedName name="_xlnm.Print_Titles" localSheetId="3">'Bookings Detail'!$4:$4</definedName>
    <definedName name="_xlnm.Print_Titles" localSheetId="4">'Rep-Quarter Summary'!$4:$4</definedName>
    <definedName name="_xlnm.Print_Titles" localSheetId="8">'Audit &amp; Exceptions'!$9:$9</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mm\ d&quot;, &quot;yyyy"/>
    <numFmt numFmtId="165" formatCode="0.0%;\(0.0%\);\-"/>
    <numFmt numFmtId="166" formatCode="mm/dd/yyyy"/>
    <numFmt numFmtId="167" formatCode="\$#,##0;&quot;($&quot;#,##0\);\-"/>
    <numFmt numFmtId="168" formatCode="#,##0;\(#,##0\);\-"/>
    <numFmt numFmtId="169" formatCode="0.00\x"/>
    <numFmt numFmtId="170" formatCode="0.0;\(0.0\)"/>
  </numFmts>
  <fonts count="34">
    <font>
      <name val="Calibri"/>
      <charset val="1"/>
      <family val="2"/>
      <color theme="1"/>
      <sz val="11"/>
    </font>
    <font>
      <name val="Arial"/>
      <family val="0"/>
      <sz val="10"/>
    </font>
    <font>
      <name val="Arial"/>
      <family val="0"/>
      <sz val="10"/>
    </font>
    <font>
      <name val="Arial"/>
      <family val="0"/>
      <sz val="10"/>
    </font>
    <font>
      <name val="Calibri"/>
      <charset val="1"/>
      <family val="0"/>
      <b val="1"/>
      <color rgb="FF0F1B2D"/>
      <sz val="20"/>
    </font>
    <font>
      <name val="Calibri"/>
      <charset val="1"/>
      <family val="0"/>
      <color rgb="FF1F3A5F"/>
      <sz val="13"/>
    </font>
    <font>
      <name val="Calibri"/>
      <charset val="1"/>
      <family val="0"/>
      <i val="1"/>
      <color rgb="FF666666"/>
      <sz val="9"/>
    </font>
    <font>
      <name val="Calibri"/>
      <charset val="1"/>
      <family val="0"/>
      <b val="1"/>
      <sz val="10"/>
    </font>
    <font>
      <name val="Calibri"/>
      <charset val="1"/>
      <family val="0"/>
      <sz val="10"/>
    </font>
    <font>
      <name val="Calibri"/>
      <charset val="1"/>
      <family val="0"/>
      <b val="1"/>
      <color rgb="FF0F1B2D"/>
      <sz val="12"/>
    </font>
    <font>
      <name val="Calibri"/>
      <charset val="1"/>
      <family val="0"/>
      <b val="1"/>
      <color rgb="FF1F3A5F"/>
      <sz val="10"/>
    </font>
    <font>
      <name val="Calibri"/>
      <charset val="1"/>
      <family val="0"/>
      <b val="1"/>
      <color rgb="FFB8862B"/>
      <sz val="10"/>
    </font>
    <font>
      <name val="Calibri"/>
      <charset val="1"/>
      <family val="0"/>
      <b val="1"/>
      <color rgb="FF0F1B2D"/>
      <sz val="14"/>
    </font>
    <font>
      <name val="Calibri"/>
      <charset val="1"/>
      <family val="0"/>
      <b val="1"/>
      <color rgb="FFFFFFFF"/>
      <sz val="10"/>
    </font>
    <font>
      <name val="Calibri"/>
      <charset val="1"/>
      <family val="0"/>
      <color rgb="FF0000FF"/>
      <sz val="10"/>
    </font>
    <font>
      <name val="Calibri"/>
      <charset val="1"/>
      <family val="0"/>
      <b val="1"/>
      <i val="1"/>
      <sz val="9"/>
    </font>
    <font>
      <name val="Calibri"/>
      <charset val="1"/>
      <family val="0"/>
      <color rgb="FF008000"/>
      <sz val="10"/>
    </font>
    <font>
      <name val="Calibri"/>
      <charset val="1"/>
      <family val="0"/>
      <b val="1"/>
      <sz val="9"/>
    </font>
    <font>
      <name val="Calibri"/>
      <charset val="1"/>
      <family val="0"/>
      <b val="1"/>
      <sz val="11"/>
    </font>
    <font>
      <name val="Calibri"/>
      <charset val="1"/>
      <family val="0"/>
      <color rgb="FF000000"/>
      <sz val="10"/>
    </font>
    <font>
      <name val="Cambria"/>
      <charset val="1"/>
      <family val="0"/>
      <b val="1"/>
      <sz val="11"/>
    </font>
    <font>
      <name val="Calibri"/>
      <charset val="1"/>
      <family val="0"/>
      <i val="1"/>
      <color rgb="FF2E7D5B"/>
      <sz val="9"/>
    </font>
    <font>
      <name val="Calibri"/>
      <charset val="1"/>
      <family val="0"/>
      <color rgb="FF7A5DC7"/>
      <sz val="11"/>
    </font>
    <font>
      <name val="Calibri"/>
      <charset val="1"/>
      <family val="0"/>
      <i val="1"/>
      <color rgb="FF7A5DC7"/>
      <sz val="9"/>
    </font>
    <font>
      <name val="Calibri"/>
      <charset val="1"/>
      <family val="0"/>
      <b val="1"/>
      <color rgb="FF0F1B2D"/>
      <sz val="16"/>
    </font>
    <font>
      <name val="Calibri"/>
      <charset val="1"/>
      <family val="0"/>
      <color rgb="FF1F3A5F"/>
      <sz val="11"/>
    </font>
    <font>
      <name val="Calibri"/>
      <charset val="1"/>
      <family val="0"/>
      <b val="1"/>
      <color rgb="FFFFFFFF"/>
      <sz val="9"/>
    </font>
    <font>
      <name val="Calibri"/>
      <charset val="1"/>
      <family val="0"/>
      <b val="1"/>
      <color rgb="FFFFFFFF"/>
      <sz val="18"/>
    </font>
    <font>
      <name val="Cambria"/>
      <charset val="1"/>
      <family val="0"/>
      <b val="1"/>
      <color rgb="FFB8862B"/>
      <sz val="11"/>
    </font>
    <font>
      <name val="Calibri"/>
      <family val="2"/>
      <b val="1"/>
      <color rgb="FF000000"/>
      <sz val="18"/>
    </font>
    <font>
      <name val="Calibri"/>
      <family val="2"/>
      <color rgb="FF000000"/>
      <sz val="10"/>
    </font>
    <font>
      <name val="Calibri"/>
      <family val="2"/>
      <b val="1"/>
      <color rgb="FF000000"/>
      <sz val="10"/>
    </font>
    <font>
      <name val="Cambria"/>
      <charset val="1"/>
      <family val="0"/>
      <b val="1"/>
      <color rgb="FFA6432E"/>
      <sz val="11"/>
    </font>
    <font>
      <name val="Calibri"/>
      <charset val="1"/>
      <family val="0"/>
      <b val="1"/>
      <color rgb="FF0F1B2D"/>
      <sz val="11"/>
    </font>
  </fonts>
  <fills count="7">
    <fill>
      <patternFill/>
    </fill>
    <fill>
      <patternFill patternType="gray125"/>
    </fill>
    <fill>
      <patternFill patternType="solid">
        <fgColor rgb="FF0F1B2D"/>
        <bgColor rgb="FF000000"/>
      </patternFill>
    </fill>
    <fill>
      <patternFill patternType="solid">
        <fgColor rgb="FFFFF2AC"/>
        <bgColor rgb="FFF7E5E1"/>
      </patternFill>
    </fill>
    <fill>
      <patternFill patternType="solid">
        <fgColor rgb="FFF2F2F0"/>
        <bgColor rgb="FFFCF8ED"/>
      </patternFill>
    </fill>
    <fill>
      <patternFill patternType="solid">
        <fgColor rgb="FFB8862B"/>
        <bgColor rgb="FF878787"/>
      </patternFill>
    </fill>
    <fill>
      <patternFill patternType="solid">
        <fgColor rgb="FF1F3A5F"/>
        <bgColor rgb="FF33333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0" borderId="0" applyAlignment="1" pivotButton="0" quotePrefix="0" xfId="0">
      <alignment horizontal="general" vertical="bottom"/>
    </xf>
    <xf numFmtId="0" fontId="8" fillId="0" borderId="0" applyAlignment="1" pivotButton="0" quotePrefix="0" xfId="0">
      <alignment horizontal="general" vertical="bottom"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0" fillId="0" borderId="1" applyAlignment="1" pivotButton="0" quotePrefix="0" xfId="0">
      <alignment horizontal="general" vertical="center" wrapText="1"/>
    </xf>
    <xf numFmtId="165" fontId="0" fillId="0" borderId="1" applyAlignment="1" pivotButton="0" quotePrefix="0" xfId="0">
      <alignment horizontal="general" vertical="center" wrapText="1"/>
    </xf>
    <xf numFmtId="165" fontId="14" fillId="3" borderId="1" applyAlignment="1" pivotButton="0" quotePrefix="0" xfId="0">
      <alignment horizontal="general" vertical="center" wrapText="1"/>
    </xf>
    <xf numFmtId="0" fontId="0" fillId="4" borderId="1" applyAlignment="1" pivotButton="0" quotePrefix="0" xfId="0">
      <alignment horizontal="general" vertical="center" wrapText="1"/>
    </xf>
    <xf numFmtId="165" fontId="0" fillId="4" borderId="1" applyAlignment="1" pivotButton="0" quotePrefix="0" xfId="0">
      <alignment horizontal="general" vertical="center" wrapText="1"/>
    </xf>
    <xf numFmtId="165" fontId="14" fillId="4" borderId="1" applyAlignment="1" pivotButton="0" quotePrefix="0" xfId="0">
      <alignment horizontal="general" vertical="center" wrapText="1"/>
    </xf>
    <xf numFmtId="0" fontId="15" fillId="0" borderId="0" applyAlignment="1" pivotButton="0" quotePrefix="0" xfId="0">
      <alignment horizontal="general" vertical="bottom"/>
    </xf>
    <xf numFmtId="165"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1" applyAlignment="1" pivotButton="0" quotePrefix="0" xfId="0">
      <alignment horizontal="general" vertical="bottom"/>
    </xf>
    <xf numFmtId="166" fontId="14" fillId="0" borderId="1" applyAlignment="1" pivotButton="0" quotePrefix="0" xfId="0">
      <alignment horizontal="general" vertical="bottom"/>
    </xf>
    <xf numFmtId="167" fontId="14" fillId="0" borderId="1" applyAlignment="1" pivotButton="0" quotePrefix="0" xfId="0">
      <alignment horizontal="general" vertical="bottom"/>
    </xf>
    <xf numFmtId="0" fontId="14" fillId="4" borderId="1" applyAlignment="1" pivotButton="0" quotePrefix="0" xfId="0">
      <alignment horizontal="general" vertical="bottom"/>
    </xf>
    <xf numFmtId="166" fontId="14" fillId="4" borderId="1" applyAlignment="1" pivotButton="0" quotePrefix="0" xfId="0">
      <alignment horizontal="general" vertical="bottom"/>
    </xf>
    <xf numFmtId="167" fontId="14" fillId="4" borderId="1" applyAlignment="1" pivotButton="0" quotePrefix="0" xfId="0">
      <alignment horizontal="general" vertical="bottom"/>
    </xf>
    <xf numFmtId="0" fontId="0" fillId="0" borderId="1" applyAlignment="1" pivotButton="0" quotePrefix="0" xfId="0">
      <alignment horizontal="general" vertical="bottom"/>
    </xf>
    <xf numFmtId="0" fontId="18" fillId="0" borderId="1" applyAlignment="1" pivotButton="0" quotePrefix="0" xfId="0">
      <alignment horizontal="general" vertical="bottom"/>
    </xf>
    <xf numFmtId="167" fontId="18" fillId="5" borderId="1" applyAlignment="1" pivotButton="0" quotePrefix="0" xfId="0">
      <alignment horizontal="general" vertical="bottom"/>
    </xf>
    <xf numFmtId="0" fontId="6" fillId="0" borderId="0" applyAlignment="1" pivotButton="0" quotePrefix="0" xfId="0">
      <alignment horizontal="general" vertical="bottom"/>
    </xf>
    <xf numFmtId="0" fontId="13" fillId="2" borderId="0" applyAlignment="1" pivotButton="0" quotePrefix="0" xfId="0">
      <alignment horizontal="general" vertical="bottom"/>
    </xf>
    <xf numFmtId="0" fontId="16" fillId="0" borderId="1" applyAlignment="1" pivotButton="0" quotePrefix="0" xfId="0">
      <alignment horizontal="general" vertical="bottom"/>
    </xf>
    <xf numFmtId="0" fontId="19" fillId="0" borderId="1" applyAlignment="1" pivotButton="0" quotePrefix="0" xfId="0">
      <alignment horizontal="general" vertical="bottom"/>
    </xf>
    <xf numFmtId="167" fontId="16" fillId="0" borderId="1" applyAlignment="1" pivotButton="0" quotePrefix="0" xfId="0">
      <alignment horizontal="general" vertical="bottom"/>
    </xf>
    <xf numFmtId="167" fontId="19" fillId="0" borderId="1" applyAlignment="1" pivotButton="0" quotePrefix="0" xfId="0">
      <alignment horizontal="general" vertical="bottom"/>
    </xf>
    <xf numFmtId="165" fontId="19" fillId="0" borderId="1" applyAlignment="1" pivotButton="0" quotePrefix="0" xfId="0">
      <alignment horizontal="general" vertical="bottom"/>
    </xf>
    <xf numFmtId="167" fontId="7" fillId="0" borderId="1" applyAlignment="1" pivotButton="0" quotePrefix="0" xfId="0">
      <alignment horizontal="general" vertical="bottom"/>
    </xf>
    <xf numFmtId="0" fontId="19" fillId="0" borderId="1" applyAlignment="1" pivotButton="0" quotePrefix="0" xfId="0">
      <alignment horizontal="general" vertical="bottom"/>
    </xf>
    <xf numFmtId="0" fontId="16" fillId="4" borderId="1" applyAlignment="1" pivotButton="0" quotePrefix="0" xfId="0">
      <alignment horizontal="general" vertical="bottom"/>
    </xf>
    <xf numFmtId="0" fontId="19" fillId="4" borderId="1" applyAlignment="1" pivotButton="0" quotePrefix="0" xfId="0">
      <alignment horizontal="general" vertical="bottom"/>
    </xf>
    <xf numFmtId="167" fontId="16" fillId="4" borderId="1" applyAlignment="1" pivotButton="0" quotePrefix="0" xfId="0">
      <alignment horizontal="general" vertical="bottom"/>
    </xf>
    <xf numFmtId="167" fontId="19" fillId="4" borderId="1" applyAlignment="1" pivotButton="0" quotePrefix="0" xfId="0">
      <alignment horizontal="general" vertical="bottom"/>
    </xf>
    <xf numFmtId="165" fontId="19" fillId="4" borderId="1" applyAlignment="1" pivotButton="0" quotePrefix="0" xfId="0">
      <alignment horizontal="general" vertical="bottom"/>
    </xf>
    <xf numFmtId="167" fontId="7" fillId="4" borderId="1" applyAlignment="1" pivotButton="0" quotePrefix="0" xfId="0">
      <alignment horizontal="general" vertical="bottom"/>
    </xf>
    <xf numFmtId="0" fontId="0" fillId="5" borderId="1" applyAlignment="1" pivotButton="0" quotePrefix="0" xfId="0">
      <alignment horizontal="general" vertical="bottom"/>
    </xf>
    <xf numFmtId="0" fontId="18" fillId="5" borderId="1" applyAlignment="1" pivotButton="0" quotePrefix="0" xfId="0">
      <alignment horizontal="general" vertical="bottom"/>
    </xf>
    <xf numFmtId="167" fontId="20" fillId="5" borderId="1" applyAlignment="1" pivotButton="0" quotePrefix="0" xfId="0">
      <alignment horizontal="general" vertical="bottom"/>
    </xf>
    <xf numFmtId="167" fontId="18" fillId="0" borderId="1" applyAlignment="1" pivotButton="0" quotePrefix="0" xfId="0">
      <alignment horizontal="general" vertical="bottom"/>
    </xf>
    <xf numFmtId="168" fontId="19" fillId="0" borderId="1" applyAlignment="1" pivotButton="0" quotePrefix="0" xfId="0">
      <alignment horizontal="general" vertical="bottom"/>
    </xf>
    <xf numFmtId="167" fontId="18" fillId="4" borderId="1" applyAlignment="1" pivotButton="0" quotePrefix="0" xfId="0">
      <alignment horizontal="general" vertical="bottom"/>
    </xf>
    <xf numFmtId="168" fontId="19" fillId="4" borderId="1" applyAlignment="1" pivotButton="0" quotePrefix="0" xfId="0">
      <alignment horizontal="general" vertical="bottom"/>
    </xf>
    <xf numFmtId="0" fontId="20" fillId="5" borderId="1" applyAlignment="1" pivotButton="0" quotePrefix="0" xfId="0">
      <alignment horizontal="general" vertical="bottom"/>
    </xf>
    <xf numFmtId="165" fontId="20" fillId="5" borderId="1" applyAlignment="1" pivotButton="0" quotePrefix="0" xfId="0">
      <alignment horizontal="general" vertical="bottom"/>
    </xf>
    <xf numFmtId="168" fontId="16" fillId="0" borderId="1" applyAlignment="1" pivotButton="0" quotePrefix="0" xfId="0">
      <alignment horizontal="general" vertical="bottom"/>
    </xf>
    <xf numFmtId="0" fontId="21" fillId="0" borderId="1" applyAlignment="1" pivotButton="0" quotePrefix="0" xfId="0">
      <alignment horizontal="general" vertical="bottom"/>
    </xf>
    <xf numFmtId="168" fontId="16" fillId="4" borderId="1" applyAlignment="1" pivotButton="0" quotePrefix="0" xfId="0">
      <alignment horizontal="general" vertical="bottom"/>
    </xf>
    <xf numFmtId="0" fontId="21" fillId="4" borderId="1" applyAlignment="1" pivotButton="0" quotePrefix="0" xfId="0">
      <alignment horizontal="general" vertical="bottom"/>
    </xf>
    <xf numFmtId="167" fontId="22" fillId="0" borderId="1" applyAlignment="1" pivotButton="0" quotePrefix="0" xfId="0">
      <alignment horizontal="general" vertical="bottom"/>
    </xf>
    <xf numFmtId="168" fontId="0" fillId="0" borderId="1" applyAlignment="1" pivotButton="0" quotePrefix="0" xfId="0">
      <alignment horizontal="general" vertical="bottom"/>
    </xf>
    <xf numFmtId="0" fontId="23" fillId="0" borderId="1" applyAlignment="1" pivotButton="0" quotePrefix="0" xfId="0">
      <alignment horizontal="general" vertical="bottom"/>
    </xf>
    <xf numFmtId="167" fontId="22" fillId="4" borderId="1" applyAlignment="1" pivotButton="0" quotePrefix="0" xfId="0">
      <alignment horizontal="general" vertical="bottom"/>
    </xf>
    <xf numFmtId="168" fontId="0" fillId="4" borderId="1" applyAlignment="1" pivotButton="0" quotePrefix="0" xfId="0">
      <alignment horizontal="general" vertical="bottom"/>
    </xf>
    <xf numFmtId="0" fontId="23" fillId="4" borderId="1" applyAlignment="1" pivotButton="0" quotePrefix="0" xfId="0">
      <alignment horizontal="general" vertical="bottom"/>
    </xf>
    <xf numFmtId="167" fontId="20" fillId="0"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0" fontId="26" fillId="2" borderId="0" applyAlignment="1" pivotButton="0" quotePrefix="0" xfId="0">
      <alignment horizontal="general" vertical="bottom"/>
    </xf>
    <xf numFmtId="0" fontId="26" fillId="6" borderId="0" applyAlignment="1" pivotButton="0" quotePrefix="0" xfId="0">
      <alignment horizontal="general" vertical="bottom"/>
    </xf>
    <xf numFmtId="167" fontId="27" fillId="2" borderId="0" applyAlignment="1" pivotButton="0" quotePrefix="0" xfId="0">
      <alignment horizontal="general" vertical="bottom"/>
    </xf>
    <xf numFmtId="167" fontId="27" fillId="6" borderId="0" applyAlignment="1" pivotButton="0" quotePrefix="0" xfId="0">
      <alignment horizontal="general" vertical="bottom"/>
    </xf>
    <xf numFmtId="165" fontId="27" fillId="2" borderId="0" applyAlignment="1" pivotButton="0" quotePrefix="0" xfId="0">
      <alignment horizontal="general" vertical="bottom"/>
    </xf>
    <xf numFmtId="0" fontId="0" fillId="2" borderId="0" applyAlignment="1" pivotButton="0" quotePrefix="0" xfId="0">
      <alignment horizontal="general" vertical="bottom"/>
    </xf>
    <xf numFmtId="0" fontId="0" fillId="6" borderId="0" applyAlignment="1" pivotButton="0" quotePrefix="0" xfId="0">
      <alignment horizontal="general" vertical="bottom"/>
    </xf>
    <xf numFmtId="167" fontId="0" fillId="0" borderId="0" applyAlignment="1" pivotButton="0" quotePrefix="0" xfId="0">
      <alignment horizontal="general" vertical="bottom"/>
    </xf>
    <xf numFmtId="165" fontId="27" fillId="6" borderId="0" applyAlignment="1" pivotButton="0" quotePrefix="0" xfId="0">
      <alignment horizontal="general" vertical="bottom"/>
    </xf>
    <xf numFmtId="168" fontId="27" fillId="2" borderId="0" applyAlignment="1" pivotButton="0" quotePrefix="0" xfId="0">
      <alignment horizontal="general" vertical="bottom"/>
    </xf>
    <xf numFmtId="168" fontId="27" fillId="6" borderId="0" applyAlignment="1" pivotButton="0" quotePrefix="0" xfId="0">
      <alignment horizontal="general" vertical="bottom"/>
    </xf>
    <xf numFmtId="165" fontId="0" fillId="0" borderId="0" applyAlignment="1" pivotButton="0" quotePrefix="0" xfId="0">
      <alignment horizontal="general" vertical="bottom"/>
    </xf>
    <xf numFmtId="0" fontId="28" fillId="0" borderId="0" applyAlignment="1" pivotButton="0" quotePrefix="0" xfId="0">
      <alignment horizontal="general" vertical="bottom"/>
    </xf>
    <xf numFmtId="0" fontId="8" fillId="0" borderId="0" applyAlignment="1" pivotButton="0" quotePrefix="0" xfId="0">
      <alignment horizontal="general" vertical="bottom" wrapText="1"/>
    </xf>
    <xf numFmtId="165" fontId="14" fillId="3" borderId="1" applyAlignment="1" pivotButton="0" quotePrefix="0" xfId="0">
      <alignment horizontal="general" vertical="bottom"/>
    </xf>
    <xf numFmtId="167" fontId="28" fillId="0" borderId="0" applyAlignment="1" pivotButton="0" quotePrefix="0" xfId="0">
      <alignment horizontal="general" vertical="bottom"/>
    </xf>
    <xf numFmtId="165" fontId="20" fillId="0" borderId="0" applyAlignment="1" pivotButton="0" quotePrefix="0" xfId="0">
      <alignment horizontal="general" vertical="bottom"/>
    </xf>
    <xf numFmtId="0" fontId="18" fillId="0" borderId="0" applyAlignment="1" pivotButton="0" quotePrefix="0" xfId="0">
      <alignment horizontal="general" vertical="bottom"/>
    </xf>
    <xf numFmtId="168" fontId="32" fillId="0" borderId="0" applyAlignment="1" pivotButton="0" quotePrefix="0" xfId="0">
      <alignment horizontal="general" vertical="bottom"/>
    </xf>
    <xf numFmtId="165" fontId="16" fillId="0" borderId="1" applyAlignment="1" pivotButton="0" quotePrefix="0" xfId="0">
      <alignment horizontal="general" vertical="bottom"/>
    </xf>
    <xf numFmtId="165" fontId="16" fillId="4" borderId="1" applyAlignment="1" pivotButton="0" quotePrefix="0" xfId="0">
      <alignment horizontal="general" vertical="bottom"/>
    </xf>
    <xf numFmtId="169" fontId="19" fillId="0" borderId="1" applyAlignment="1" pivotButton="0" quotePrefix="0" xfId="0">
      <alignment horizontal="general" vertical="bottom"/>
    </xf>
    <xf numFmtId="169" fontId="19" fillId="4" borderId="1" applyAlignment="1" pivotButton="0" quotePrefix="0" xfId="0">
      <alignment horizontal="general" vertical="bottom"/>
    </xf>
    <xf numFmtId="167" fontId="14" fillId="3" borderId="1" applyAlignment="1" pivotButton="0" quotePrefix="0" xfId="0">
      <alignment horizontal="general" vertical="bottom"/>
    </xf>
    <xf numFmtId="0" fontId="9" fillId="0" borderId="0" applyAlignment="1" pivotButton="0" quotePrefix="0" xfId="0">
      <alignment horizontal="general" vertical="bottom"/>
    </xf>
    <xf numFmtId="0" fontId="6" fillId="0" borderId="0" applyAlignment="1" pivotButton="0" quotePrefix="0" xfId="0">
      <alignment horizontal="general" vertical="bottom"/>
    </xf>
    <xf numFmtId="0" fontId="13" fillId="2" borderId="1" applyAlignment="1" pivotButton="0" quotePrefix="0" xfId="0">
      <alignment horizontal="center" vertical="bottom" wrapText="1"/>
    </xf>
    <xf numFmtId="0" fontId="13" fillId="2" borderId="1" applyAlignment="1" pivotButton="0" quotePrefix="0" xfId="0">
      <alignment horizontal="general" vertical="bottom"/>
    </xf>
    <xf numFmtId="168" fontId="16" fillId="0" borderId="1" applyAlignment="1" pivotButton="0" quotePrefix="0" xfId="0">
      <alignment horizontal="general" vertical="bottom"/>
    </xf>
    <xf numFmtId="167" fontId="19" fillId="0" borderId="1" applyAlignment="1" pivotButton="0" quotePrefix="0" xfId="0">
      <alignment horizontal="general" vertical="bottom"/>
    </xf>
    <xf numFmtId="167" fontId="16" fillId="0" borderId="1" applyAlignment="1" pivotButton="0" quotePrefix="0" xfId="0">
      <alignment horizontal="general" vertical="bottom"/>
    </xf>
    <xf numFmtId="165" fontId="19" fillId="0" borderId="1" applyAlignment="1" pivotButton="0" quotePrefix="0" xfId="0">
      <alignment horizontal="general" vertical="bottom"/>
    </xf>
    <xf numFmtId="170" fontId="19" fillId="0" borderId="1" applyAlignment="1" pivotButton="0" quotePrefix="0" xfId="0">
      <alignment horizontal="general" vertical="bottom"/>
    </xf>
    <xf numFmtId="0" fontId="16" fillId="0" borderId="1" applyAlignment="1" pivotButton="0" quotePrefix="0" xfId="0">
      <alignment horizontal="general" vertical="bottom"/>
    </xf>
    <xf numFmtId="0" fontId="33"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0" borderId="0" applyAlignment="1" pivotButton="0" quotePrefix="0" xfId="0">
      <alignment horizontal="general" vertical="bottom"/>
    </xf>
    <xf numFmtId="0" fontId="8" fillId="0" borderId="0" applyAlignment="1" pivotButton="0" quotePrefix="0" xfId="0">
      <alignment horizontal="general" vertical="bottom"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0" fillId="0" borderId="1" applyAlignment="1" pivotButton="0" quotePrefix="0" xfId="0">
      <alignment horizontal="general" vertical="center" wrapText="1"/>
    </xf>
    <xf numFmtId="165" fontId="0" fillId="0" borderId="1" applyAlignment="1" pivotButton="0" quotePrefix="0" xfId="0">
      <alignment horizontal="general" vertical="center" wrapText="1"/>
    </xf>
    <xf numFmtId="165" fontId="14" fillId="3" borderId="1" applyAlignment="1" pivotButton="0" quotePrefix="0" xfId="0">
      <alignment horizontal="general" vertical="center" wrapText="1"/>
    </xf>
    <xf numFmtId="0" fontId="0" fillId="4" borderId="1" applyAlignment="1" pivotButton="0" quotePrefix="0" xfId="0">
      <alignment horizontal="general" vertical="center" wrapText="1"/>
    </xf>
    <xf numFmtId="165" fontId="0" fillId="4" borderId="1" applyAlignment="1" pivotButton="0" quotePrefix="0" xfId="0">
      <alignment horizontal="general" vertical="center" wrapText="1"/>
    </xf>
    <xf numFmtId="165" fontId="14" fillId="4" borderId="1" applyAlignment="1" pivotButton="0" quotePrefix="0" xfId="0">
      <alignment horizontal="general" vertical="center" wrapText="1"/>
    </xf>
    <xf numFmtId="0" fontId="15" fillId="0" borderId="0" applyAlignment="1" pivotButton="0" quotePrefix="0" xfId="0">
      <alignment horizontal="general" vertical="bottom"/>
    </xf>
    <xf numFmtId="165"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1" applyAlignment="1" pivotButton="0" quotePrefix="0" xfId="0">
      <alignment horizontal="general" vertical="bottom"/>
    </xf>
    <xf numFmtId="166" fontId="14" fillId="0" borderId="1" applyAlignment="1" pivotButton="0" quotePrefix="0" xfId="0">
      <alignment horizontal="general" vertical="bottom"/>
    </xf>
    <xf numFmtId="167" fontId="14" fillId="0" borderId="1" applyAlignment="1" pivotButton="0" quotePrefix="0" xfId="0">
      <alignment horizontal="general" vertical="bottom"/>
    </xf>
    <xf numFmtId="0" fontId="14" fillId="4" borderId="1" applyAlignment="1" pivotButton="0" quotePrefix="0" xfId="0">
      <alignment horizontal="general" vertical="bottom"/>
    </xf>
    <xf numFmtId="166" fontId="14" fillId="4" borderId="1" applyAlignment="1" pivotButton="0" quotePrefix="0" xfId="0">
      <alignment horizontal="general" vertical="bottom"/>
    </xf>
    <xf numFmtId="167" fontId="14" fillId="4" borderId="1" applyAlignment="1" pivotButton="0" quotePrefix="0" xfId="0">
      <alignment horizontal="general" vertical="bottom"/>
    </xf>
    <xf numFmtId="0" fontId="0" fillId="0" borderId="1" applyAlignment="1" pivotButton="0" quotePrefix="0" xfId="0">
      <alignment horizontal="general" vertical="bottom"/>
    </xf>
    <xf numFmtId="0" fontId="18" fillId="0" borderId="1" applyAlignment="1" pivotButton="0" quotePrefix="0" xfId="0">
      <alignment horizontal="general" vertical="bottom"/>
    </xf>
    <xf numFmtId="167" fontId="18" fillId="5" borderId="1" applyAlignment="1" pivotButton="0" quotePrefix="0" xfId="0">
      <alignment horizontal="general" vertical="bottom"/>
    </xf>
    <xf numFmtId="0" fontId="13" fillId="2" borderId="0" applyAlignment="1" pivotButton="0" quotePrefix="0" xfId="0">
      <alignment horizontal="general" vertical="bottom"/>
    </xf>
    <xf numFmtId="0" fontId="16" fillId="0" borderId="1" applyAlignment="1" pivotButton="0" quotePrefix="0" xfId="0">
      <alignment horizontal="general" vertical="bottom"/>
    </xf>
    <xf numFmtId="0" fontId="19" fillId="0" borderId="1" applyAlignment="1" pivotButton="0" quotePrefix="0" xfId="0">
      <alignment horizontal="general" vertical="bottom"/>
    </xf>
    <xf numFmtId="167" fontId="16" fillId="0" borderId="1" applyAlignment="1" pivotButton="0" quotePrefix="0" xfId="0">
      <alignment horizontal="general" vertical="bottom"/>
    </xf>
    <xf numFmtId="167" fontId="19" fillId="0" borderId="1" applyAlignment="1" pivotButton="0" quotePrefix="0" xfId="0">
      <alignment horizontal="general" vertical="bottom"/>
    </xf>
    <xf numFmtId="165" fontId="19" fillId="0" borderId="1" applyAlignment="1" pivotButton="0" quotePrefix="0" xfId="0">
      <alignment horizontal="general" vertical="bottom"/>
    </xf>
    <xf numFmtId="167" fontId="7" fillId="0" borderId="1" applyAlignment="1" pivotButton="0" quotePrefix="0" xfId="0">
      <alignment horizontal="general" vertical="bottom"/>
    </xf>
    <xf numFmtId="0" fontId="16" fillId="4" borderId="1" applyAlignment="1" pivotButton="0" quotePrefix="0" xfId="0">
      <alignment horizontal="general" vertical="bottom"/>
    </xf>
    <xf numFmtId="0" fontId="19" fillId="4" borderId="1" applyAlignment="1" pivotButton="0" quotePrefix="0" xfId="0">
      <alignment horizontal="general" vertical="bottom"/>
    </xf>
    <xf numFmtId="167" fontId="16" fillId="4" borderId="1" applyAlignment="1" pivotButton="0" quotePrefix="0" xfId="0">
      <alignment horizontal="general" vertical="bottom"/>
    </xf>
    <xf numFmtId="167" fontId="19" fillId="4" borderId="1" applyAlignment="1" pivotButton="0" quotePrefix="0" xfId="0">
      <alignment horizontal="general" vertical="bottom"/>
    </xf>
    <xf numFmtId="165" fontId="19" fillId="4" borderId="1" applyAlignment="1" pivotButton="0" quotePrefix="0" xfId="0">
      <alignment horizontal="general" vertical="bottom"/>
    </xf>
    <xf numFmtId="167" fontId="7" fillId="4" borderId="1" applyAlignment="1" pivotButton="0" quotePrefix="0" xfId="0">
      <alignment horizontal="general" vertical="bottom"/>
    </xf>
    <xf numFmtId="0" fontId="0" fillId="5" borderId="1" applyAlignment="1" pivotButton="0" quotePrefix="0" xfId="0">
      <alignment horizontal="general" vertical="bottom"/>
    </xf>
    <xf numFmtId="0" fontId="18" fillId="5" borderId="1" applyAlignment="1" pivotButton="0" quotePrefix="0" xfId="0">
      <alignment horizontal="general" vertical="bottom"/>
    </xf>
    <xf numFmtId="167" fontId="20" fillId="5" borderId="1" applyAlignment="1" pivotButton="0" quotePrefix="0" xfId="0">
      <alignment horizontal="general" vertical="bottom"/>
    </xf>
    <xf numFmtId="167" fontId="18" fillId="0" borderId="1" applyAlignment="1" pivotButton="0" quotePrefix="0" xfId="0">
      <alignment horizontal="general" vertical="bottom"/>
    </xf>
    <xf numFmtId="168" fontId="19" fillId="0" borderId="1" applyAlignment="1" pivotButton="0" quotePrefix="0" xfId="0">
      <alignment horizontal="general" vertical="bottom"/>
    </xf>
    <xf numFmtId="167" fontId="18" fillId="4" borderId="1" applyAlignment="1" pivotButton="0" quotePrefix="0" xfId="0">
      <alignment horizontal="general" vertical="bottom"/>
    </xf>
    <xf numFmtId="168" fontId="19" fillId="4" borderId="1" applyAlignment="1" pivotButton="0" quotePrefix="0" xfId="0">
      <alignment horizontal="general" vertical="bottom"/>
    </xf>
    <xf numFmtId="0" fontId="20" fillId="5" borderId="1" applyAlignment="1" pivotButton="0" quotePrefix="0" xfId="0">
      <alignment horizontal="general" vertical="bottom"/>
    </xf>
    <xf numFmtId="165" fontId="20" fillId="5" borderId="1" applyAlignment="1" pivotButton="0" quotePrefix="0" xfId="0">
      <alignment horizontal="general" vertical="bottom"/>
    </xf>
    <xf numFmtId="168" fontId="16" fillId="0" borderId="1" applyAlignment="1" pivotButton="0" quotePrefix="0" xfId="0">
      <alignment horizontal="general" vertical="bottom"/>
    </xf>
    <xf numFmtId="0" fontId="21" fillId="0" borderId="1" applyAlignment="1" pivotButton="0" quotePrefix="0" xfId="0">
      <alignment horizontal="general" vertical="bottom"/>
    </xf>
    <xf numFmtId="168" fontId="16" fillId="4" borderId="1" applyAlignment="1" pivotButton="0" quotePrefix="0" xfId="0">
      <alignment horizontal="general" vertical="bottom"/>
    </xf>
    <xf numFmtId="0" fontId="21" fillId="4" borderId="1" applyAlignment="1" pivotButton="0" quotePrefix="0" xfId="0">
      <alignment horizontal="general" vertical="bottom"/>
    </xf>
    <xf numFmtId="167" fontId="22" fillId="0" borderId="1" applyAlignment="1" pivotButton="0" quotePrefix="0" xfId="0">
      <alignment horizontal="general" vertical="bottom"/>
    </xf>
    <xf numFmtId="168" fontId="0" fillId="0" borderId="1" applyAlignment="1" pivotButton="0" quotePrefix="0" xfId="0">
      <alignment horizontal="general" vertical="bottom"/>
    </xf>
    <xf numFmtId="0" fontId="23" fillId="0" borderId="1" applyAlignment="1" pivotButton="0" quotePrefix="0" xfId="0">
      <alignment horizontal="general" vertical="bottom"/>
    </xf>
    <xf numFmtId="167" fontId="22" fillId="4" borderId="1" applyAlignment="1" pivotButton="0" quotePrefix="0" xfId="0">
      <alignment horizontal="general" vertical="bottom"/>
    </xf>
    <xf numFmtId="168" fontId="0" fillId="4" borderId="1" applyAlignment="1" pivotButton="0" quotePrefix="0" xfId="0">
      <alignment horizontal="general" vertical="bottom"/>
    </xf>
    <xf numFmtId="0" fontId="23" fillId="4" borderId="1" applyAlignment="1" pivotButton="0" quotePrefix="0" xfId="0">
      <alignment horizontal="general" vertical="bottom"/>
    </xf>
    <xf numFmtId="167" fontId="20" fillId="0"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0" fontId="26" fillId="2" borderId="0" applyAlignment="1" pivotButton="0" quotePrefix="0" xfId="0">
      <alignment horizontal="general" vertical="bottom"/>
    </xf>
    <xf numFmtId="0" fontId="26" fillId="6" borderId="0" applyAlignment="1" pivotButton="0" quotePrefix="0" xfId="0">
      <alignment horizontal="general" vertical="bottom"/>
    </xf>
    <xf numFmtId="167" fontId="27" fillId="2" borderId="0" applyAlignment="1" pivotButton="0" quotePrefix="0" xfId="0">
      <alignment horizontal="general" vertical="bottom"/>
    </xf>
    <xf numFmtId="167" fontId="27" fillId="6" borderId="0" applyAlignment="1" pivotButton="0" quotePrefix="0" xfId="0">
      <alignment horizontal="general" vertical="bottom"/>
    </xf>
    <xf numFmtId="165" fontId="27" fillId="2" borderId="0" applyAlignment="1" pivotButton="0" quotePrefix="0" xfId="0">
      <alignment horizontal="general" vertical="bottom"/>
    </xf>
    <xf numFmtId="0" fontId="0" fillId="2" borderId="0" applyAlignment="1" pivotButton="0" quotePrefix="0" xfId="0">
      <alignment horizontal="general" vertical="bottom"/>
    </xf>
    <xf numFmtId="0" fontId="0" fillId="6" borderId="0" applyAlignment="1" pivotButton="0" quotePrefix="0" xfId="0">
      <alignment horizontal="general" vertical="bottom"/>
    </xf>
    <xf numFmtId="167" fontId="0" fillId="0" borderId="0" applyAlignment="1" pivotButton="0" quotePrefix="0" xfId="0">
      <alignment horizontal="general" vertical="bottom"/>
    </xf>
    <xf numFmtId="165" fontId="27" fillId="6" borderId="0" applyAlignment="1" pivotButton="0" quotePrefix="0" xfId="0">
      <alignment horizontal="general" vertical="bottom"/>
    </xf>
    <xf numFmtId="168" fontId="27" fillId="2" borderId="0" applyAlignment="1" pivotButton="0" quotePrefix="0" xfId="0">
      <alignment horizontal="general" vertical="bottom"/>
    </xf>
    <xf numFmtId="168" fontId="27" fillId="6" borderId="0" applyAlignment="1" pivotButton="0" quotePrefix="0" xfId="0">
      <alignment horizontal="general" vertical="bottom"/>
    </xf>
    <xf numFmtId="165" fontId="0" fillId="0" borderId="0" applyAlignment="1" pivotButton="0" quotePrefix="0" xfId="0">
      <alignment horizontal="general" vertical="bottom"/>
    </xf>
    <xf numFmtId="0" fontId="28" fillId="0" borderId="0" applyAlignment="1" pivotButton="0" quotePrefix="0" xfId="0">
      <alignment horizontal="general" vertical="bottom"/>
    </xf>
    <xf numFmtId="165" fontId="14" fillId="3" borderId="1" applyAlignment="1" pivotButton="0" quotePrefix="0" xfId="0">
      <alignment horizontal="general" vertical="bottom"/>
    </xf>
    <xf numFmtId="167" fontId="28" fillId="0" borderId="0" applyAlignment="1" pivotButton="0" quotePrefix="0" xfId="0">
      <alignment horizontal="general" vertical="bottom"/>
    </xf>
    <xf numFmtId="165" fontId="20" fillId="0" borderId="0" applyAlignment="1" pivotButton="0" quotePrefix="0" xfId="0">
      <alignment horizontal="general" vertical="bottom"/>
    </xf>
    <xf numFmtId="0" fontId="18" fillId="0" borderId="0" applyAlignment="1" pivotButton="0" quotePrefix="0" xfId="0">
      <alignment horizontal="general" vertical="bottom"/>
    </xf>
    <xf numFmtId="168" fontId="32" fillId="0" borderId="0" applyAlignment="1" pivotButton="0" quotePrefix="0" xfId="0">
      <alignment horizontal="general" vertical="bottom"/>
    </xf>
    <xf numFmtId="165" fontId="16" fillId="0" borderId="1" applyAlignment="1" pivotButton="0" quotePrefix="0" xfId="0">
      <alignment horizontal="general" vertical="bottom"/>
    </xf>
    <xf numFmtId="165" fontId="16" fillId="4" borderId="1" applyAlignment="1" pivotButton="0" quotePrefix="0" xfId="0">
      <alignment horizontal="general" vertical="bottom"/>
    </xf>
    <xf numFmtId="169" fontId="19" fillId="0" borderId="1" applyAlignment="1" pivotButton="0" quotePrefix="0" xfId="0">
      <alignment horizontal="general" vertical="bottom"/>
    </xf>
    <xf numFmtId="169" fontId="19" fillId="4" borderId="1" applyAlignment="1" pivotButton="0" quotePrefix="0" xfId="0">
      <alignment horizontal="general" vertical="bottom"/>
    </xf>
    <xf numFmtId="167" fontId="14" fillId="3" borderId="1" applyAlignment="1" pivotButton="0" quotePrefix="0" xfId="0">
      <alignment horizontal="general" vertical="bottom"/>
    </xf>
    <xf numFmtId="0" fontId="13" fillId="2" borderId="1" applyAlignment="1" pivotButton="0" quotePrefix="0" xfId="0">
      <alignment horizontal="center" vertical="bottom" wrapText="1"/>
    </xf>
    <xf numFmtId="0" fontId="13" fillId="2" borderId="1" applyAlignment="1" pivotButton="0" quotePrefix="0" xfId="0">
      <alignment horizontal="general" vertical="bottom"/>
    </xf>
    <xf numFmtId="170" fontId="19" fillId="0" borderId="1" applyAlignment="1" pivotButton="0" quotePrefix="0" xfId="0">
      <alignment horizontal="general" vertical="bottom"/>
    </xf>
    <xf numFmtId="0" fontId="33" fillId="0" borderId="0" applyAlignment="1" pivotButton="0" quotePrefix="0" xfId="0">
      <alignment horizontal="general" vertical="top" wrapText="1"/>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0F1B2D"/>
          <bgColor rgb="FF000000"/>
        </patternFill>
      </fill>
    </dxf>
    <dxf>
      <fill>
        <patternFill patternType="solid">
          <fgColor rgb="FFF2F2F0"/>
          <bgColor rgb="FF000000"/>
        </patternFill>
      </fill>
    </dxf>
    <dxf>
      <fill>
        <patternFill patternType="solid">
          <fgColor rgb="FFF7E5E1"/>
          <bgColor rgb="FF000000"/>
        </patternFill>
      </fill>
    </dxf>
    <dxf>
      <fill>
        <patternFill patternType="solid">
          <bgColor rgb="FF000000"/>
        </patternFill>
      </fill>
    </dxf>
    <dxf>
      <fill>
        <patternFill patternType="solid">
          <fgColor rgb="FF008000"/>
          <bgColor rgb="FF000000"/>
        </patternFill>
      </fill>
    </dxf>
    <dxf>
      <fill>
        <patternFill patternType="solid">
          <fgColor rgb="FFFFFFFF"/>
          <bgColor rgb="FF000000"/>
        </patternFill>
      </fill>
    </dxf>
    <dxf>
      <fill>
        <patternFill patternType="solid">
          <fgColor rgb="FF000000"/>
          <bgColor rgb="FF000000"/>
        </patternFill>
      </fill>
    </dxf>
    <dxf>
      <fill>
        <patternFill>
          <bgColor rgb="FFF7E5E1"/>
        </patternFill>
      </fill>
    </dxf>
    <dxf>
      <font>
        <color rgb="FFA6432E"/>
      </font>
    </dxf>
    <dxf>
      <font>
        <color rgb="FF2E7D5B"/>
      </font>
    </dxf>
    <dxf>
      <fill>
        <patternFill>
          <bgColor rgb="FFFCF8E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862B"/>
      <rgbColor rgb="FF800080"/>
      <rgbColor rgb="FF008080"/>
      <rgbColor rgb="FFB3B3B3"/>
      <rgbColor rgb="FF878787"/>
      <rgbColor rgb="FF9999FF"/>
      <rgbColor rgb="FF7A5DC7"/>
      <rgbColor rgb="FFFCF8ED"/>
      <rgbColor rgb="FFF2F2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CCFFCC"/>
      <rgbColor rgb="FFFFF2AC"/>
      <rgbColor rgb="FF99CCFF"/>
      <rgbColor rgb="FFFF99CC"/>
      <rgbColor rgb="FFCC99FF"/>
      <rgbColor rgb="FFF7E5E1"/>
      <rgbColor rgb="FF4F81BD"/>
      <rgbColor rgb="FF33CCCC"/>
      <rgbColor rgb="FF99CC00"/>
      <rgbColor rgb="FFFFCC00"/>
      <rgbColor rgb="FFFF9900"/>
      <rgbColor rgb="FFFF6600"/>
      <rgbColor rgb="FF666666"/>
      <rgbColor rgb="FF9AA5B1"/>
      <rgbColor rgb="FF1F3A5F"/>
      <rgbColor rgb="FF2E7D5B"/>
      <rgbColor rgb="FF0F1B2D"/>
      <rgbColor rgb="FF333300"/>
      <rgbColor rgb="FFA6432E"/>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Monthly Bookings ARR vs. Commission Expense (Actual + Forecast)</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'Executive Dashboard'!U6</f>
              <strCache>
                <ptCount val="1"/>
                <pt idx="0">
                  <v>Bookings ARR</v>
                </pt>
              </strCache>
            </strRef>
          </tx>
          <spPr>
            <a:solidFill xmlns:a="http://schemas.openxmlformats.org/drawingml/2006/main">
              <a:srgbClr val="1f3a5f"/>
            </a:solidFill>
            <a:ln xmlns:a="http://schemas.openxmlformats.org/drawingml/2006/main" w="936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'Executive Dashboard'!$T$7:$T$15</f>
              <strCache>
                <ptCount val="9"/>
                <pt idx="0">
                  <v>2026-01</v>
                </pt>
                <pt idx="1">
                  <v>2026-02</v>
                </pt>
                <pt idx="2">
                  <v>2026-03</v>
                </pt>
                <pt idx="3">
                  <v>2026-04</v>
                </pt>
                <pt idx="4">
                  <v>2026-05</v>
                </pt>
                <pt idx="5">
                  <v>2026-06</v>
                </pt>
                <pt idx="6">
                  <v>2026-07</v>
                </pt>
                <pt idx="7">
                  <v>2026-08</v>
                </pt>
                <pt idx="8">
                  <v>2026-09</v>
                </pt>
              </strCache>
            </strRef>
          </cat>
          <val>
            <numRef>
              <f>'Executive Dashboard'!$U$7:$U$15</f>
              <numCache>
                <formatCode>\$#,##0;"($"#,##0\);\-</formatCode>
                <ptCount val="9"/>
                <pt idx="0">
                  <v>1341500</v>
                </pt>
                <pt idx="1">
                  <v>3145500</v>
                </pt>
                <pt idx="2">
                  <v>2735500</v>
                </pt>
                <pt idx="3">
                  <v>2099000</v>
                </pt>
                <pt idx="4">
                  <v>2559500</v>
                </pt>
                <pt idx="5">
                  <v>2193500</v>
                </pt>
                <pt idx="6">
                  <v>2532300</v>
                </pt>
                <pt idx="7">
                  <v>2585600</v>
                </pt>
                <pt idx="8">
                  <v>2638900</v>
                </pt>
              </numCache>
            </numRef>
          </val>
        </ser>
        <gapWidth val="150"/>
        <overlap val="0"/>
        <axId val="77135334"/>
        <axId val="96063758"/>
      </barChart>
      <lineChart>
        <grouping val="standard"/>
        <varyColors val="0"/>
        <ser>
          <idx val="1"/>
          <order val="1"/>
          <tx>
            <strRef>
              <f>'Executive Dashboard'!V6</f>
              <strCache>
                <ptCount val="1"/>
                <pt idx="0">
                  <v>Commission Expense</v>
                </pt>
              </strCache>
            </strRef>
          </tx>
          <spPr>
            <a:solidFill xmlns:a="http://schemas.openxmlformats.org/drawingml/2006/main">
              <a:srgbClr val="b8862b"/>
            </a:solidFill>
            <a:ln xmlns:a="http://schemas.openxmlformats.org/drawingml/2006/main" w="24840">
              <a:solidFill>
                <a:srgbClr val="b8862b"/>
              </a:solidFill>
              <a:prstDash val="solid"/>
              <a:round/>
            </a:ln>
          </spPr>
          <marker>
            <symbol val="circle"/>
            <size val="5"/>
            <spPr>
              <a:solidFill xmlns:a="http://schemas.openxmlformats.org/drawingml/2006/main">
                <a:srgbClr val="b8862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r"/>
            <showLegendKey val="0"/>
            <showVal val="0"/>
            <showCatName val="0"/>
            <showSerName val="0"/>
            <showPercent val="0"/>
            <showLeaderLines val="1"/>
          </dLbls>
          <cat>
            <strRef>
              <f>'Executive Dashboard'!$T$7:$T$15</f>
              <strCache>
                <ptCount val="9"/>
                <pt idx="0">
                  <v>2026-01</v>
                </pt>
                <pt idx="1">
                  <v>2026-02</v>
                </pt>
                <pt idx="2">
                  <v>2026-03</v>
                </pt>
                <pt idx="3">
                  <v>2026-04</v>
                </pt>
                <pt idx="4">
                  <v>2026-05</v>
                </pt>
                <pt idx="5">
                  <v>2026-06</v>
                </pt>
                <pt idx="6">
                  <v>2026-07</v>
                </pt>
                <pt idx="7">
                  <v>2026-08</v>
                </pt>
                <pt idx="8">
                  <v>2026-09</v>
                </pt>
              </strCache>
            </strRef>
          </cat>
          <val>
            <numRef>
              <f>'Executive Dashboard'!$V$7:$V$15</f>
              <numCache>
                <formatCode>\$#,##0;"($"#,##0\);\-</formatCode>
                <ptCount val="9"/>
                <pt idx="0">
                  <v>85003.0421699646</v>
                </pt>
                <pt idx="1">
                  <v>207904.907605058</v>
                </pt>
                <pt idx="2">
                  <v>172902.050224978</v>
                </pt>
                <pt idx="3">
                  <v>131582.100028587</v>
                </pt>
                <pt idx="4">
                  <v>184816.763584711</v>
                </pt>
                <pt idx="5">
                  <v>134726.136386702</v>
                </pt>
                <pt idx="6">
                  <v>164170.558023276</v>
                </pt>
                <pt idx="7">
                  <v>167626.02962721</v>
                </pt>
                <pt idx="8">
                  <v>171081.501231143</v>
                </pt>
              </numCache>
            </numRef>
          </val>
          <smooth val="1"/>
        </ser>
        <hiLowLines>
          <spPr>
            <a:ln xmlns:a="http://schemas.openxmlformats.org/drawingml/2006/main" w="0">
              <a:noFill/>
              <a:prstDash val="solid"/>
            </a:ln>
          </spPr>
        </hiLowLines>
        <marker val="1"/>
        <axId val="71776836"/>
        <axId val="12608692"/>
      </lineChart>
      <catAx>
        <axId val="7713533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96063758"/>
        <crosses val="autoZero"/>
        <auto val="1"/>
        <lblAlgn val="ctr"/>
        <lblOffset val="100"/>
        <noMultiLvlLbl val="0"/>
      </catAx>
      <valAx>
        <axId val="96063758"/>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Bookings ARR ($)</a:t>
                </a:r>
              </a:p>
            </rich>
          </tx>
          <overlay val="0"/>
          <spPr>
            <a:noFill xmlns:a="http://schemas.openxmlformats.org/drawingml/2006/main"/>
            <a:ln xmlns:a="http://schemas.openxmlformats.org/drawingml/2006/main" w="0">
              <a:noFill/>
              <a:prstDash val="solid"/>
            </a:ln>
          </spPr>
        </title>
        <numFmt formatCode="\$#,##0,\K"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77135334"/>
        <crosses val="autoZero"/>
        <crossBetween val="between"/>
      </valAx>
      <catAx>
        <axId val="71776836"/>
        <scaling>
          <orientation val="minMax"/>
        </scaling>
        <delete val="0"/>
        <axPos val="t"/>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12608692"/>
        <crosses val="autoZero"/>
        <auto val="1"/>
        <lblAlgn val="ctr"/>
        <lblOffset val="100"/>
        <noMultiLvlLbl val="0"/>
      </catAx>
      <valAx>
        <axId val="12608692"/>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Commission Expense ($)</a:t>
                </a:r>
              </a:p>
            </rich>
          </tx>
          <overlay val="0"/>
          <spPr>
            <a:noFill xmlns:a="http://schemas.openxmlformats.org/drawingml/2006/main"/>
            <a:ln xmlns:a="http://schemas.openxmlformats.org/drawingml/2006/main" w="0">
              <a:noFill/>
              <a:prstDash val="solid"/>
            </a:ln>
          </spPr>
        </title>
        <numFmt formatCode="\$#,##0,\K"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7177683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Q2 FY26 Quota Attainment by Rep</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'Executive Dashboard'!U18</f>
              <strCache>
                <ptCount val="1"/>
                <pt idx="0">
                  <v>Q2 Attainment</v>
                </pt>
              </strCache>
            </strRef>
          </tx>
          <spPr>
            <a:solidFill xmlns:a="http://schemas.openxmlformats.org/drawingml/2006/main">
              <a:srgbClr val="0f1b2d"/>
            </a:solidFill>
            <a:ln xmlns:a="http://schemas.openxmlformats.org/drawingml/2006/main" w="936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'Executive Dashboard'!$T$19:$T$33</f>
              <strCache>
                <ptCount val="15"/>
                <pt idx="0">
                  <v>Maria Chen</v>
                </pt>
                <pt idx="1">
                  <v>James Okafor</v>
                </pt>
                <pt idx="2">
                  <v>Priya Patel</v>
                </pt>
                <pt idx="3">
                  <v>David Nguyen</v>
                </pt>
                <pt idx="4">
                  <v>Sofia Rossi</v>
                </pt>
                <pt idx="5">
                  <v>Marcus Bennett</v>
                </pt>
                <pt idx="6">
                  <v>Elena Kowalski</v>
                </pt>
                <pt idx="7">
                  <v>Tyler Alvarez</v>
                </pt>
                <pt idx="8">
                  <v>Aisha Kim</v>
                </pt>
                <pt idx="9">
                  <v>Ryan Sullivan</v>
                </pt>
                <pt idx="10">
                  <v>Natalie Reyes</v>
                </pt>
                <pt idx="11">
                  <v>Omar Fischer</v>
                </pt>
                <pt idx="12">
                  <v>Grace Adeyemi</v>
                </pt>
                <pt idx="13">
                  <v>Kevin Novak</v>
                </pt>
                <pt idx="14">
                  <v>Lucia Larsen</v>
                </pt>
              </strCache>
            </strRef>
          </cat>
          <val>
            <numRef>
              <f>'Executive Dashboard'!$U$19:$U$33</f>
              <numCache>
                <formatCode>0.0%;\(0.0%\);\-</formatCode>
                <ptCount val="15"/>
                <pt idx="0">
                  <v>0.709375</v>
                </pt>
                <pt idx="1">
                  <v>1.06666666666667</v>
                </pt>
                <pt idx="2">
                  <v>0.868613138686131</v>
                </pt>
                <pt idx="3">
                  <v>0.167741935483871</v>
                </pt>
                <pt idx="4">
                  <v>1.02960526315789</v>
                </pt>
                <pt idx="5">
                  <v>1.25786163522013</v>
                </pt>
                <pt idx="6">
                  <v>0.7828125</v>
                </pt>
                <pt idx="7">
                  <v>1.14363636363636</v>
                </pt>
                <pt idx="8">
                  <v>0.881533101045296</v>
                </pt>
                <pt idx="9">
                  <v>1.12454212454212</v>
                </pt>
                <pt idx="10">
                  <v>0.994915254237288</v>
                </pt>
                <pt idx="11">
                  <v>1.77623456790123</v>
                </pt>
                <pt idx="12">
                  <v>0.597444089456869</v>
                </pt>
                <pt idx="13">
                  <v>0.889235569422777</v>
                </pt>
                <pt idx="14">
                  <v>1.00420875420875</v>
                </pt>
              </numCache>
            </numRef>
          </val>
        </ser>
        <gapWidth val="150"/>
        <overlap val="0"/>
        <axId val="57710230"/>
        <axId val="81816593"/>
      </barChart>
      <catAx>
        <axId val="57710230"/>
        <scaling>
          <orientation val="minMax"/>
        </scaling>
        <delete val="0"/>
        <axPos val="b"/>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Attainment %</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81816593"/>
        <crosses val="autoZero"/>
        <auto val="1"/>
        <lblAlgn val="ctr"/>
        <lblOffset val="100"/>
        <noMultiLvlLbl val="0"/>
      </catAx>
      <valAx>
        <axId val="81816593"/>
        <scaling>
          <orientation val="minMax"/>
        </scaling>
        <delete val="0"/>
        <axPos val="l"/>
        <majorGridlines>
          <spPr>
            <a:ln xmlns:a="http://schemas.openxmlformats.org/drawingml/2006/main" w="9360">
              <a:solidFill>
                <a:srgbClr val="878787"/>
              </a:solidFill>
              <a:prstDash val="solid"/>
              <a:round/>
            </a:ln>
          </spPr>
        </majorGridlines>
        <numFmt formatCode="0.0%;\(0.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5771023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H1 FY26 Bookings ARR Mix</a:t>
            </a:r>
          </a:p>
        </rich>
      </tx>
      <overlay val="0"/>
      <spPr>
        <a:noFill xmlns:a="http://schemas.openxmlformats.org/drawingml/2006/main"/>
        <a:ln xmlns:a="http://schemas.openxmlformats.org/drawingml/2006/main" w="0">
          <a:noFill/>
          <a:prstDash val="solid"/>
        </a:ln>
      </spPr>
    </title>
    <plotArea>
      <pieChart>
        <varyColors val="1"/>
        <ser>
          <idx val="0"/>
          <order val="0"/>
          <tx>
            <strRef>
              <f>'Executive Dashboard'!U35</f>
              <strCache>
                <ptCount val="1"/>
                <pt idx="0">
                  <v>ARR</v>
                </pt>
              </strCache>
            </strRef>
          </tx>
          <spPr>
            <a:solidFill xmlns:a="http://schemas.openxmlformats.org/drawingml/2006/main">
              <a:srgbClr val="4f81bd"/>
            </a:solidFill>
            <a:ln xmlns:a="http://schemas.openxmlformats.org/drawingml/2006/main" w="0">
              <a:noFill/>
              <a:prstDash val="solid"/>
            </a:ln>
          </spPr>
          <explosion val="0"/>
          <dPt>
            <idx val="0"/>
            <spPr>
              <a:solidFill xmlns:a="http://schemas.openxmlformats.org/drawingml/2006/main">
                <a:srgbClr val="0f1b2d"/>
              </a:solidFill>
              <a:ln xmlns:a="http://schemas.openxmlformats.org/drawingml/2006/main" w="0">
                <a:noFill/>
                <a:prstDash val="solid"/>
              </a:ln>
            </spPr>
          </dPt>
          <dPt>
            <idx val="1"/>
            <spPr>
              <a:solidFill xmlns:a="http://schemas.openxmlformats.org/drawingml/2006/main">
                <a:srgbClr val="b8862b"/>
              </a:solidFill>
              <a:ln xmlns:a="http://schemas.openxmlformats.org/drawingml/2006/main" w="0">
                <a:noFill/>
                <a:prstDash val="solid"/>
              </a:ln>
            </spPr>
          </dPt>
          <dPt>
            <idx val="2"/>
            <spPr>
              <a:solidFill xmlns:a="http://schemas.openxmlformats.org/drawingml/2006/main">
                <a:srgbClr val="1f3a5f"/>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bestFit"/>
            <showLegendKey val="0"/>
            <showVal val="0"/>
            <showCatName val="0"/>
            <showSerName val="0"/>
            <showPercent val="0"/>
            <showLeaderLines val="1"/>
          </dLbls>
          <cat>
            <strRef>
              <f>'Executive Dashboard'!$T$36:$T$38</f>
              <strCache>
                <ptCount val="3"/>
                <pt idx="0">
                  <v>New Business</v>
                </pt>
                <pt idx="1">
                  <v>Upsell</v>
                </pt>
                <pt idx="2">
                  <v>Renewal</v>
                </pt>
              </strCache>
            </strRef>
          </cat>
          <val>
            <numRef>
              <f>'Executive Dashboard'!$U$36:$U$38</f>
              <numCache>
                <formatCode>\$#,##0;"($"#,##0\);\-</formatCode>
                <ptCount val="3"/>
                <pt idx="0">
                  <v>8480000</v>
                </pt>
                <pt idx="1">
                  <v>1798500</v>
                </pt>
                <pt idx="2">
                  <v>3796000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Net Revenue Retention by Segment</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'Executive Dashboard'!W41</f>
              <strCache>
                <ptCount val="1"/>
                <pt idx="0">
                  <v>NRR</v>
                </pt>
              </strCache>
            </strRef>
          </tx>
          <spPr>
            <a:solidFill xmlns:a="http://schemas.openxmlformats.org/drawingml/2006/main">
              <a:srgbClr val="b8862b"/>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'Executive Dashboard'!$T$42:$T$44</f>
              <strCache>
                <ptCount val="3"/>
                <pt idx="0">
                  <v>SMB</v>
                </pt>
                <pt idx="1">
                  <v>Mid-Market</v>
                </pt>
                <pt idx="2">
                  <v>Enterprise</v>
                </pt>
              </strCache>
            </strRef>
          </cat>
          <val>
            <numRef>
              <f>'Executive Dashboard'!$W$42:$W$44</f>
              <numCache>
                <formatCode>0.0%;\(0.0%\);\-</formatCode>
                <ptCount val="3"/>
                <pt idx="0">
                  <v>1.24574540503744</v>
                </pt>
                <pt idx="1">
                  <v>0.992402315484805</v>
                </pt>
                <pt idx="2">
                  <v>0.965770953294946</v>
                </pt>
              </numCache>
            </numRef>
          </val>
        </ser>
        <gapWidth val="150"/>
        <overlap val="0"/>
        <axId val="52754602"/>
        <axId val="38951552"/>
      </barChart>
      <catAx>
        <axId val="52754602"/>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38951552"/>
        <crosses val="autoZero"/>
        <auto val="1"/>
        <lblAlgn val="ctr"/>
        <lblOffset val="100"/>
        <noMultiLvlLbl val="0"/>
      </catAx>
      <valAx>
        <axId val="38951552"/>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52754602"/>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Base Plan vs. Scenario — Total Commission Expense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spPr>
            <a:solidFill xmlns:a="http://schemas.openxmlformats.org/drawingml/2006/main">
              <a:srgbClr val="1f3a5f"/>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'Scenario Planner'!$B$50:$B$51</f>
              <strCache>
                <ptCount val="2"/>
                <pt idx="0">
                  <v>Base plan (actual rates, actual quota):</v>
                </pt>
                <pt idx="1">
                  <v>Scenario plan (rates/quota above):</v>
                </pt>
              </strCache>
            </strRef>
          </cat>
          <val>
            <numRef>
              <f>'Scenario Planner'!$D$50:$D$51</f>
              <numCache>
                <formatCode>\$#,##0;"($"#,##0\);\-</formatCode>
                <ptCount val="2"/>
                <pt idx="0">
                  <v>916935</v>
                </pt>
                <pt idx="1">
                  <v>916935</v>
                </pt>
              </numCache>
            </numRef>
          </val>
        </ser>
        <gapWidth val="150"/>
        <overlap val="0"/>
        <axId val="1458384"/>
        <axId val="96052716"/>
      </barChart>
      <catAx>
        <axId val="1458384"/>
        <scaling>
          <orientation val="minMax"/>
        </scaling>
        <delete val="0"/>
        <axPos val="b"/>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96052716"/>
        <crosses val="autoZero"/>
        <auto val="1"/>
        <lblAlgn val="ctr"/>
        <lblOffset val="100"/>
        <noMultiLvlLbl val="0"/>
      </catAx>
      <valAx>
        <axId val="96052716"/>
        <scaling>
          <orientation val="minMax"/>
        </scaling>
        <delete val="0"/>
        <axPos val="l"/>
        <majorGridlines>
          <spPr>
            <a:ln xmlns:a="http://schemas.openxmlformats.org/drawingml/2006/main" w="0">
              <a:solidFill>
                <a:srgbClr val="b3b3b3"/>
              </a:solidFill>
              <a:prstDash val="solid"/>
            </a:ln>
          </spPr>
        </majorGridlines>
        <numFmt formatCode="\$#,##0,\K"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145838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Budgeted vs. Actual/Forecast Bookings ARR by Month</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'Budget vs Actual'!C5</f>
              <strCache>
                <ptCount val="1"/>
                <pt idx="0">
                  <v>Budgeted Bookings ARR</v>
                </pt>
              </strCache>
            </strRef>
          </tx>
          <spPr>
            <a:solidFill xmlns:a="http://schemas.openxmlformats.org/drawingml/2006/main">
              <a:srgbClr val="9aa5b1"/>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'Budget vs Actual'!$B$6:$B$14</f>
              <strCache>
                <ptCount val="9"/>
                <pt idx="0">
                  <v>2026-01</v>
                </pt>
                <pt idx="1">
                  <v>2026-02</v>
                </pt>
                <pt idx="2">
                  <v>2026-03</v>
                </pt>
                <pt idx="3">
                  <v>2026-04</v>
                </pt>
                <pt idx="4">
                  <v>2026-05</v>
                </pt>
                <pt idx="5">
                  <v>2026-06</v>
                </pt>
                <pt idx="6">
                  <v>2026-07</v>
                </pt>
                <pt idx="7">
                  <v>2026-08</v>
                </pt>
                <pt idx="8">
                  <v>2026-09</v>
                </pt>
              </strCache>
            </strRef>
          </cat>
          <val>
            <numRef>
              <f>'Budget vs Actual'!$C$6:$C$14</f>
              <numCache>
                <formatCode>\$#,##0;"($"#,##0\);\-</formatCode>
                <ptCount val="9"/>
                <pt idx="0">
                  <v>1500000</v>
                </pt>
                <pt idx="1">
                  <v>2200000</v>
                </pt>
                <pt idx="2">
                  <v>2600000</v>
                </pt>
                <pt idx="3">
                  <v>2300000</v>
                </pt>
                <pt idx="4">
                  <v>2400000</v>
                </pt>
                <pt idx="5">
                  <v>2500000</v>
                </pt>
                <pt idx="6">
                  <v>2500000</v>
                </pt>
                <pt idx="7">
                  <v>2600000</v>
                </pt>
                <pt idx="8">
                  <v>2700000</v>
                </pt>
              </numCache>
            </numRef>
          </val>
        </ser>
        <ser>
          <idx val="1"/>
          <order val="1"/>
          <tx>
            <strRef>
              <f>'Budget vs Actual'!D5</f>
              <strCache>
                <ptCount val="1"/>
                <pt idx="0">
                  <v>Actual/Forecast Bookings ARR</v>
                </pt>
              </strCache>
            </strRef>
          </tx>
          <spPr>
            <a:solidFill xmlns:a="http://schemas.openxmlformats.org/drawingml/2006/main">
              <a:srgbClr val="1f3a5f"/>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'Budget vs Actual'!$B$6:$B$14</f>
              <strCache>
                <ptCount val="9"/>
                <pt idx="0">
                  <v>2026-01</v>
                </pt>
                <pt idx="1">
                  <v>2026-02</v>
                </pt>
                <pt idx="2">
                  <v>2026-03</v>
                </pt>
                <pt idx="3">
                  <v>2026-04</v>
                </pt>
                <pt idx="4">
                  <v>2026-05</v>
                </pt>
                <pt idx="5">
                  <v>2026-06</v>
                </pt>
                <pt idx="6">
                  <v>2026-07</v>
                </pt>
                <pt idx="7">
                  <v>2026-08</v>
                </pt>
                <pt idx="8">
                  <v>2026-09</v>
                </pt>
              </strCache>
            </strRef>
          </cat>
          <val>
            <numRef>
              <f>'Budget vs Actual'!$D$6:$D$14</f>
              <numCache>
                <formatCode>\$#,##0;"($"#,##0\);\-</formatCode>
                <ptCount val="9"/>
                <pt idx="0">
                  <v>1341500</v>
                </pt>
                <pt idx="1">
                  <v>3145500</v>
                </pt>
                <pt idx="2">
                  <v>2735500</v>
                </pt>
                <pt idx="3">
                  <v>2099000</v>
                </pt>
                <pt idx="4">
                  <v>2559500</v>
                </pt>
                <pt idx="5">
                  <v>2193500</v>
                </pt>
                <pt idx="6">
                  <v>2532300</v>
                </pt>
                <pt idx="7">
                  <v>2585600</v>
                </pt>
                <pt idx="8">
                  <v>2638900</v>
                </pt>
              </numCache>
            </numRef>
          </val>
        </ser>
        <gapWidth val="150"/>
        <overlap val="0"/>
        <axId val="10534078"/>
        <axId val="8581512"/>
      </barChart>
      <catAx>
        <axId val="10534078"/>
        <scaling>
          <orientation val="minMax"/>
        </scaling>
        <delete val="0"/>
        <axPos val="b"/>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8581512"/>
        <crosses val="autoZero"/>
        <auto val="1"/>
        <lblAlgn val="ctr"/>
        <lblOffset val="100"/>
        <noMultiLvlLbl val="0"/>
      </catAx>
      <valAx>
        <axId val="8581512"/>
        <scaling>
          <orientation val="minMax"/>
        </scaling>
        <delete val="0"/>
        <axPos val="l"/>
        <majorGridlines>
          <spPr>
            <a:ln xmlns:a="http://schemas.openxmlformats.org/drawingml/2006/main" w="0">
              <a:solidFill>
                <a:srgbClr val="b3b3b3"/>
              </a:solidFill>
              <a:prstDash val="solid"/>
            </a:ln>
          </spPr>
        </majorGridlines>
        <numFmt formatCode="\$#,##0,\K"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10534078"/>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_rels/drawing3.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editAs="oneCell">
    <from>
      <col>1</col>
      <colOff>0</colOff>
      <row>11</row>
      <rowOff>119160</rowOff>
    </from>
    <to>
      <col>10</col>
      <colOff>37800</colOff>
      <row>30</row>
      <rowOff>98280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29</row>
      <rowOff>119160</rowOff>
    </from>
    <to>
      <col>5</col>
      <colOff>887760</colOff>
      <row>62</row>
      <rowOff>311400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9</col>
      <colOff>0</colOff>
      <row>48</row>
      <rowOff>119160</rowOff>
    </from>
    <to>
      <col>16</col>
      <colOff>398160</colOff>
      <row>64</row>
      <rowOff>345960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15</col>
      <colOff>0</colOff>
      <row>48</row>
      <rowOff>119160</rowOff>
    </from>
    <to>
      <col>21</col>
      <colOff>259200</colOff>
      <row>64</row>
      <rowOff>345960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wsDr>
</file>

<file path=xl/drawings/drawing2.xml><?xml version="1.0" encoding="utf-8"?>
<wsDr xmlns="http://schemas.openxmlformats.org/drawingml/2006/spreadsheetDrawing">
  <twoCellAnchor editAs="oneCell">
    <from>
      <col>5</col>
      <colOff>0</colOff>
      <row>47</row>
      <rowOff>48240</rowOff>
    </from>
    <to>
      <col>9</col>
      <colOff>371880</colOff>
      <row>62</row>
      <rowOff>69840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1</col>
      <colOff>0</colOff>
      <row>16</row>
      <rowOff>48240</rowOff>
    </from>
    <to>
      <col>8</col>
      <colOff>24840</colOff>
      <row>35</row>
      <rowOff>27720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DealLevelOutliers" displayName="DealLevelOutliers" ref="B44:H314" headerRowCount="1" totalsRowCount="0" totalsRowShown="0">
  <autoFilter ref="B44:H314"/>
  <tableColumns count="7">
    <tableColumn id="1" name="Deal ID"/>
    <tableColumn id="2" name="Rep ID"/>
    <tableColumn id="3" name="Deal Type"/>
    <tableColumn id="4" name="ARR Amount"/>
    <tableColumn id="5" name="Rep's Avg ARR (this type)"/>
    <tableColumn id="6" name="Ratio to Average"/>
    <tableColumn id="7" name="Flag"/>
  </tableColumns>
</table>
</file>

<file path=xl/tables/table2.xml><?xml version="1.0" encoding="utf-8"?>
<table xmlns="http://schemas.openxmlformats.org/spreadsheetml/2006/main" id="2" name="RepQuarterExceptions" displayName="RepQuarterExceptions" ref="B9:I39" headerRowCount="1" totalsRowCount="0" totalsRowShown="0">
  <autoFilter ref="B9:I39"/>
  <tableColumns count="8">
    <tableColumn id="1" name="Rep ID"/>
    <tableColumn id="2" name="Rep Name"/>
    <tableColumn id="3" name="Segment"/>
    <tableColumn id="4" name="Quarter"/>
    <tableColumn id="5" name="Attainment %"/>
    <tableColumn id="6" name="Renewal ARR"/>
    <tableColumn id="7" name="Deal Count"/>
    <tableColumn id="8" name="Flag"/>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s>
</file>

<file path=xl/worksheets/_rels/sheet10.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filterMode="0">
    <outlinePr summaryBelow="1" summaryRight="1"/>
    <pageSetUpPr fitToPage="1"/>
  </sheetPr>
  <dimension ref="B2:C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106" min="1" max="1"/>
    <col width="30" customWidth="1" style="106" min="2" max="2"/>
    <col width="65" customWidth="1" style="106" min="3" max="3"/>
    <col width="3" customWidth="1" style="106" min="4" max="4"/>
  </cols>
  <sheetData>
    <row r="2" ht="24" customHeight="1" s="107">
      <c r="B2" s="108" t="inlineStr">
        <is>
          <t>MERIDIAN RISK TECHNOLOGIES</t>
        </is>
      </c>
    </row>
    <row r="3" ht="15.75" customHeight="1" s="107">
      <c r="B3" s="109" t="inlineStr">
        <is>
          <t>FY26 Sales Commission &amp; FP&amp;A Model</t>
        </is>
      </c>
    </row>
    <row r="4" ht="15" customHeight="1" s="107">
      <c r="B4" s="110" t="inlineStr">
        <is>
          <t>Financial Planning &amp; Analysis — Sales Compensation</t>
        </is>
      </c>
    </row>
    <row r="6" ht="15" customHeight="1" s="107">
      <c r="B6" s="111" t="inlineStr">
        <is>
          <t>Prepared by:</t>
        </is>
      </c>
      <c r="C6" s="112" t="inlineStr">
        <is>
          <t>FP&amp;A — Sales Compensation Analyst</t>
        </is>
      </c>
    </row>
    <row r="7" ht="15" customHeight="1" s="107">
      <c r="B7" s="111" t="inlineStr">
        <is>
          <t>Period covered:</t>
        </is>
      </c>
      <c r="C7" s="112" t="inlineStr">
        <is>
          <t>Q1–Q2 FY26 (Jan–Jun 2026), with Q3 FY26 forecast</t>
        </is>
      </c>
    </row>
    <row r="8" ht="15" customHeight="1" s="107">
      <c r="B8" s="111" t="inlineStr">
        <is>
          <t>Last updated:</t>
        </is>
      </c>
      <c r="C8" s="113">
        <f>TODAY()</f>
        <v/>
      </c>
    </row>
    <row r="9" ht="15" customHeight="1" s="107">
      <c r="B9" s="111" t="inlineStr">
        <is>
          <t>Status:</t>
        </is>
      </c>
      <c r="C9" s="112" t="inlineStr">
        <is>
          <t>Final — recalculated and tie-out complete</t>
        </is>
      </c>
    </row>
    <row r="11" ht="15" customHeight="1" s="107">
      <c r="B11" s="114" t="inlineStr">
        <is>
          <t>Purpose</t>
        </is>
      </c>
    </row>
    <row r="12" ht="15" customHeight="1" s="107">
      <c r="B12" s="115" t="inlineStr">
        <is>
          <t>This workbook is the source of truth for FY26 sales commission calculations, attainment reporting, and accrual/forecast support. It replaces the prior manual spreadsheet process, which required three days of rep-by-rep reconciliation each month-end and produced inconsistent results across segments due to hand-entered tier lookups.</t>
        </is>
      </c>
    </row>
    <row r="13" ht="15" customHeight="1" s="107"/>
    <row r="14" ht="15" customHeight="1" s="107"/>
    <row r="15" ht="15" customHeight="1" s="107"/>
    <row r="17" ht="15" customHeight="1" s="107">
      <c r="B17" s="114" t="inlineStr">
        <is>
          <t>How this workbook is organized</t>
        </is>
      </c>
    </row>
    <row r="18" ht="23.25" customHeight="1" s="107">
      <c r="B18" s="116" t="inlineStr">
        <is>
          <t>Commission Plan Rules</t>
        </is>
      </c>
      <c r="C18" s="117" t="inlineStr">
        <is>
          <t>Tiered accelerator structure and rates. Change rates here — every downstream tab recalculates.</t>
        </is>
      </c>
    </row>
    <row r="19" ht="15" customHeight="1" s="107">
      <c r="B19" s="116" t="inlineStr">
        <is>
          <t>Sales Roster &amp; Quotas</t>
        </is>
      </c>
      <c r="C19" s="117" t="inlineStr">
        <is>
          <t>Rep roster, segment, quota, and existing book of business (renewal base).</t>
        </is>
      </c>
    </row>
    <row r="20" ht="15" customHeight="1" s="107">
      <c r="B20" s="116" t="inlineStr">
        <is>
          <t>Bookings Detail</t>
        </is>
      </c>
      <c r="C20" s="117" t="inlineStr">
        <is>
          <t>Deal-level bookings (270 closed-won deals) with commission calculated line by line.</t>
        </is>
      </c>
    </row>
    <row r="21" ht="23.25" customHeight="1" s="107">
      <c r="B21" s="116" t="inlineStr">
        <is>
          <t>Rep-Quarter Summary</t>
        </is>
      </c>
      <c r="C21" s="117" t="inlineStr">
        <is>
          <t>Attainment and commission rolled up by rep and quarter — the management review view.</t>
        </is>
      </c>
    </row>
    <row r="22" ht="15" customHeight="1" s="107">
      <c r="B22" s="116" t="inlineStr">
        <is>
          <t>Monthly Accrual &amp; Forecast</t>
        </is>
      </c>
      <c r="C22" s="117" t="inlineStr">
        <is>
          <t>Monthly commission accrual for the books and a Q3 forecast for budgeting.</t>
        </is>
      </c>
    </row>
    <row r="23" ht="15" customHeight="1" s="107">
      <c r="B23" s="116" t="inlineStr">
        <is>
          <t>Executive Dashboard</t>
        </is>
      </c>
      <c r="C23" s="117" t="inlineStr">
        <is>
          <t>KPIs and trend charts for leadership reporting.</t>
        </is>
      </c>
    </row>
    <row r="26" ht="15" customHeight="1" s="107">
      <c r="B26" s="114" t="inlineStr">
        <is>
          <t>Methodology &amp; data notes</t>
        </is>
      </c>
    </row>
    <row r="27" ht="23.25" customHeight="1" s="107">
      <c r="B27" s="118" t="inlineStr">
        <is>
          <t>•</t>
        </is>
      </c>
      <c r="C27" s="117" t="inlineStr">
        <is>
          <t>Commission is calculated at the deal level so any single booking can be audited back to its rate and tier.</t>
        </is>
      </c>
    </row>
    <row r="28" ht="23.25" customHeight="1" s="107">
      <c r="B28" s="118" t="inlineStr">
        <is>
          <t>•</t>
        </is>
      </c>
      <c r="C28" s="117" t="inlineStr">
        <is>
          <t>New Business uses a marginal tiered accelerator (see Commission Plan Rules); Upsell and Renewal use flat rates.</t>
        </is>
      </c>
    </row>
    <row r="29" ht="23.25" customHeight="1" s="107">
      <c r="B29" s="118" t="inlineStr">
        <is>
          <t>•</t>
        </is>
      </c>
      <c r="C29" s="117" t="inlineStr">
        <is>
          <t>Net Revenue Retention (NRR) is approximated as renewed ARR divided by the book of business eligible to renew in the period.</t>
        </is>
      </c>
    </row>
    <row r="30" ht="34.5" customHeight="1" s="107">
      <c r="B30" s="118" t="inlineStr">
        <is>
          <t>•</t>
        </is>
      </c>
      <c r="C30" s="117" t="inlineStr">
        <is>
          <t>Source data was exported from the CRM and passed through a data-cleansing step (sign corrections, deduplication, and null handling) before loading — see the accompanying data-prep pipeline documentation.</t>
        </is>
      </c>
    </row>
    <row r="31" ht="23.25" customHeight="1" s="107">
      <c r="B31" s="118" t="inlineStr">
        <is>
          <t>•</t>
        </is>
      </c>
      <c r="C31" s="117" t="inlineStr">
        <is>
          <t>Color key: blue text = input/assumption, black = calculated formula, green = link from another tab.</t>
        </is>
      </c>
    </row>
  </sheetData>
  <mergeCells count="1">
    <mergeCell ref="B12:C15"/>
  </mergeCells>
  <printOptions horizontalCentered="0" verticalCentered="0" headings="0" gridLines="0" gridLinesSet="1"/>
  <pageMargins left="0.3" right="0.3" top="0.4" bottom="0.4"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B2:G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106" min="1" max="1"/>
    <col width="16" customWidth="1" style="106" min="2" max="2"/>
    <col width="8" customWidth="1" style="106" min="3" max="3"/>
    <col width="16" customWidth="1" style="106" min="4" max="4"/>
    <col width="14" customWidth="1" style="106" min="5" max="5"/>
    <col width="10" customWidth="1" style="106" min="6" max="6"/>
    <col width="46" customWidth="1" style="106" min="7" max="7"/>
  </cols>
  <sheetData>
    <row r="2" ht="17.25" customHeight="1" s="107">
      <c r="B2" s="119" t="inlineStr">
        <is>
          <t>FY26 Commission Plan — Rate Card</t>
        </is>
      </c>
    </row>
    <row r="3" ht="15" customHeight="1" s="107">
      <c r="B3" s="110" t="inlineStr">
        <is>
          <t>Effective January 1, 2026. Rate changes require VP Sales + FP&amp;A sign-off.</t>
        </is>
      </c>
    </row>
    <row r="5" ht="23.25" customHeight="1" s="107">
      <c r="B5" s="120" t="inlineStr">
        <is>
          <t>Applies To</t>
        </is>
      </c>
      <c r="C5" s="120" t="inlineStr">
        <is>
          <t>Tier</t>
        </is>
      </c>
      <c r="D5" s="120" t="inlineStr">
        <is>
          <t>Attainment Floor</t>
        </is>
      </c>
      <c r="E5" s="120" t="inlineStr">
        <is>
          <t>Attainment Ceiling</t>
        </is>
      </c>
      <c r="F5" s="120" t="inlineStr">
        <is>
          <t>Rate</t>
        </is>
      </c>
      <c r="G5" s="120" t="inlineStr">
        <is>
          <t>Plan Logic</t>
        </is>
      </c>
    </row>
    <row r="6" ht="15" customHeight="1" s="107">
      <c r="B6" s="121" t="inlineStr">
        <is>
          <t>New Business</t>
        </is>
      </c>
      <c r="C6" s="121" t="n">
        <v>1</v>
      </c>
      <c r="D6" s="122" t="n">
        <v>0</v>
      </c>
      <c r="E6" s="122" t="n">
        <v>1</v>
      </c>
      <c r="F6" s="123" t="n">
        <v>0.08</v>
      </c>
      <c r="G6" s="121" t="inlineStr">
        <is>
          <t>Base rate up to 100% of quarterly quota</t>
        </is>
      </c>
    </row>
    <row r="7" ht="15" customHeight="1" s="107">
      <c r="B7" s="124" t="inlineStr">
        <is>
          <t>New Business</t>
        </is>
      </c>
      <c r="C7" s="124" t="n">
        <v>2</v>
      </c>
      <c r="D7" s="125" t="n">
        <v>1</v>
      </c>
      <c r="E7" s="125" t="n">
        <v>1.25</v>
      </c>
      <c r="F7" s="126" t="n">
        <v>0.1</v>
      </c>
      <c r="G7" s="124" t="inlineStr">
        <is>
          <t>Accelerator: 100%-125% of quota</t>
        </is>
      </c>
    </row>
    <row r="8" ht="15" customHeight="1" s="107">
      <c r="B8" s="121" t="inlineStr">
        <is>
          <t>New Business</t>
        </is>
      </c>
      <c r="C8" s="121" t="n">
        <v>3</v>
      </c>
      <c r="D8" s="122" t="n">
        <v>1.25</v>
      </c>
      <c r="E8" s="121" t="inlineStr">
        <is>
          <t>Uncapped</t>
        </is>
      </c>
      <c r="F8" s="123" t="n">
        <v>0.12</v>
      </c>
      <c r="G8" s="121" t="inlineStr">
        <is>
          <t>Accelerator: above 125% of quota</t>
        </is>
      </c>
    </row>
    <row r="9" ht="15" customHeight="1" s="107">
      <c r="B9" s="124" t="inlineStr">
        <is>
          <t>Upsell</t>
        </is>
      </c>
      <c r="C9" s="124" t="inlineStr">
        <is>
          <t>—</t>
        </is>
      </c>
      <c r="D9" s="125" t="n">
        <v>0</v>
      </c>
      <c r="E9" s="124" t="inlineStr">
        <is>
          <t>Uncapped</t>
        </is>
      </c>
      <c r="F9" s="126" t="n">
        <v>0.06</v>
      </c>
      <c r="G9" s="124" t="inlineStr">
        <is>
          <t>Flat rate on expansion ARR</t>
        </is>
      </c>
    </row>
    <row r="10" ht="15" customHeight="1" s="107">
      <c r="B10" s="121" t="inlineStr">
        <is>
          <t>Renewal</t>
        </is>
      </c>
      <c r="C10" s="121" t="inlineStr">
        <is>
          <t>—</t>
        </is>
      </c>
      <c r="D10" s="122" t="n">
        <v>0</v>
      </c>
      <c r="E10" s="121" t="inlineStr">
        <is>
          <t>Uncapped</t>
        </is>
      </c>
      <c r="F10" s="123" t="n">
        <v>0.03</v>
      </c>
      <c r="G10" s="121" t="inlineStr">
        <is>
          <t>Retention SPIF on renewed ARR</t>
        </is>
      </c>
    </row>
    <row r="14" ht="15" customHeight="1" s="107">
      <c r="B14" s="127" t="inlineStr">
        <is>
          <t>Named rate references (used by formulas on Bookings Detail):</t>
        </is>
      </c>
    </row>
    <row r="15" ht="15" customHeight="1" s="107">
      <c r="B15" s="110" t="inlineStr">
        <is>
          <t>New Biz Tier 1 (0–100%)</t>
        </is>
      </c>
      <c r="C15" s="128">
        <f>'Commission Plan Rules'!$F$6</f>
        <v/>
      </c>
    </row>
    <row r="16" ht="15" customHeight="1" s="107">
      <c r="B16" s="110" t="inlineStr">
        <is>
          <t>New Biz Tier 2 (100–125%)</t>
        </is>
      </c>
      <c r="C16" s="128">
        <f>'Commission Plan Rules'!$F$7</f>
        <v/>
      </c>
    </row>
    <row r="17" ht="15" customHeight="1" s="107">
      <c r="B17" s="110" t="inlineStr">
        <is>
          <t>New Biz Tier 3 (125%+)</t>
        </is>
      </c>
      <c r="C17" s="128">
        <f>'Commission Plan Rules'!$F$8</f>
        <v/>
      </c>
    </row>
    <row r="18" ht="15" customHeight="1" s="107">
      <c r="B18" s="110" t="inlineStr">
        <is>
          <t>Upsell flat rate</t>
        </is>
      </c>
      <c r="C18" s="128">
        <f>'Commission Plan Rules'!$F$9</f>
        <v/>
      </c>
    </row>
    <row r="19" ht="15" customHeight="1" s="107">
      <c r="B19" s="110" t="inlineStr">
        <is>
          <t>Renewal flat rate</t>
        </is>
      </c>
      <c r="C19" s="128">
        <f>'Commission Plan Rules'!$F$10</f>
        <v/>
      </c>
    </row>
    <row r="22" ht="15" customHeight="1" s="107">
      <c r="B22" s="129" t="inlineStr">
        <is>
          <t>Legend</t>
        </is>
      </c>
    </row>
    <row r="23" ht="15" customHeight="1" s="107">
      <c r="B23" s="110" t="inlineStr">
        <is>
          <t>Yellow fill = key assumption (editable — plan changes flow through the whole model)</t>
        </is>
      </c>
    </row>
  </sheetData>
  <printOptions horizontalCentered="0" verticalCentered="0" headings="0" gridLines="0" gridLinesSet="1"/>
  <pageMargins left="0.3" right="0.3" top="0.4" bottom="0.4"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B2:H21"/>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106" min="1" max="1"/>
    <col width="9" customWidth="1" style="106" min="2" max="2"/>
    <col width="20" customWidth="1" style="106" min="3" max="3"/>
    <col width="13" customWidth="1" style="106" min="4" max="4"/>
    <col width="10" customWidth="1" style="106" min="5" max="5"/>
    <col width="12" customWidth="1" style="106" min="6" max="6"/>
    <col width="20" customWidth="1" style="106" min="7" max="7"/>
    <col width="24" customWidth="1" style="106" min="8" max="8"/>
  </cols>
  <sheetData>
    <row r="2" ht="17.25" customHeight="1" s="107">
      <c r="B2" s="119" t="inlineStr">
        <is>
          <t>FY26 Sales Roster &amp; Quarterly Quotas</t>
        </is>
      </c>
    </row>
    <row r="3" ht="15" customHeight="1" s="107">
      <c r="B3" s="110" t="inlineStr">
        <is>
          <t>Quota = new business ARR target per quarter. Book of business = ARR under management as of 1/1/2026 (renewal base).</t>
        </is>
      </c>
    </row>
    <row r="5" ht="23.25" customHeight="1" s="107">
      <c r="B5" s="120" t="inlineStr">
        <is>
          <t>Rep ID</t>
        </is>
      </c>
      <c r="C5" s="120" t="inlineStr">
        <is>
          <t>Rep Name</t>
        </is>
      </c>
      <c r="D5" s="120" t="inlineStr">
        <is>
          <t>Segment</t>
        </is>
      </c>
      <c r="E5" s="120" t="inlineStr">
        <is>
          <t>Region</t>
        </is>
      </c>
      <c r="F5" s="120" t="inlineStr">
        <is>
          <t>Hire Date</t>
        </is>
      </c>
      <c r="G5" s="120" t="inlineStr">
        <is>
          <t>Quarterly Quota (New ARR)</t>
        </is>
      </c>
      <c r="H5" s="120" t="inlineStr">
        <is>
          <t>Starting Book of Business (ARR)</t>
        </is>
      </c>
    </row>
    <row r="6" ht="15" customHeight="1" s="107">
      <c r="B6" s="130" t="inlineStr">
        <is>
          <t>R001</t>
        </is>
      </c>
      <c r="C6" s="130" t="inlineStr">
        <is>
          <t>Maria Chen</t>
        </is>
      </c>
      <c r="D6" s="130" t="inlineStr">
        <is>
          <t>SMB</t>
        </is>
      </c>
      <c r="E6" s="130" t="inlineStr">
        <is>
          <t>West</t>
        </is>
      </c>
      <c r="F6" s="131" t="inlineStr">
        <is>
          <t>2023-06-01</t>
        </is>
      </c>
      <c r="G6" s="132" t="n">
        <v>160000</v>
      </c>
      <c r="H6" s="132" t="n">
        <v>302000</v>
      </c>
    </row>
    <row r="7" ht="15" customHeight="1" s="107">
      <c r="B7" s="133" t="inlineStr">
        <is>
          <t>R002</t>
        </is>
      </c>
      <c r="C7" s="133" t="inlineStr">
        <is>
          <t>James Okafor</t>
        </is>
      </c>
      <c r="D7" s="133" t="inlineStr">
        <is>
          <t>SMB</t>
        </is>
      </c>
      <c r="E7" s="133" t="inlineStr">
        <is>
          <t>West</t>
        </is>
      </c>
      <c r="F7" s="134" t="inlineStr">
        <is>
          <t>2025-09-01</t>
        </is>
      </c>
      <c r="G7" s="135" t="n">
        <v>135000</v>
      </c>
      <c r="H7" s="135" t="n">
        <v>40000</v>
      </c>
    </row>
    <row r="8" ht="15" customHeight="1" s="107">
      <c r="B8" s="130" t="inlineStr">
        <is>
          <t>R003</t>
        </is>
      </c>
      <c r="C8" s="130" t="inlineStr">
        <is>
          <t>Priya Patel</t>
        </is>
      </c>
      <c r="D8" s="130" t="inlineStr">
        <is>
          <t>SMB</t>
        </is>
      </c>
      <c r="E8" s="130" t="inlineStr">
        <is>
          <t>East</t>
        </is>
      </c>
      <c r="F8" s="131" t="inlineStr">
        <is>
          <t>2023-07-01</t>
        </is>
      </c>
      <c r="G8" s="132" t="n">
        <v>137000</v>
      </c>
      <c r="H8" s="132" t="n">
        <v>311000</v>
      </c>
    </row>
    <row r="9" ht="15" customHeight="1" s="107">
      <c r="B9" s="133" t="inlineStr">
        <is>
          <t>R004</t>
        </is>
      </c>
      <c r="C9" s="133" t="inlineStr">
        <is>
          <t>David Nguyen</t>
        </is>
      </c>
      <c r="D9" s="133" t="inlineStr">
        <is>
          <t>SMB</t>
        </is>
      </c>
      <c r="E9" s="133" t="inlineStr">
        <is>
          <t>East</t>
        </is>
      </c>
      <c r="F9" s="134" t="inlineStr">
        <is>
          <t>2024-07-01</t>
        </is>
      </c>
      <c r="G9" s="135" t="n">
        <v>155000</v>
      </c>
      <c r="H9" s="135" t="n">
        <v>152000</v>
      </c>
    </row>
    <row r="10" ht="15" customHeight="1" s="107">
      <c r="B10" s="130" t="inlineStr">
        <is>
          <t>R005</t>
        </is>
      </c>
      <c r="C10" s="130" t="inlineStr">
        <is>
          <t>Sofia Rossi</t>
        </is>
      </c>
      <c r="D10" s="130" t="inlineStr">
        <is>
          <t>SMB</t>
        </is>
      </c>
      <c r="E10" s="130" t="inlineStr">
        <is>
          <t>West</t>
        </is>
      </c>
      <c r="F10" s="131" t="inlineStr">
        <is>
          <t>2022-11-01</t>
        </is>
      </c>
      <c r="G10" s="132" t="n">
        <v>152000</v>
      </c>
      <c r="H10" s="132" t="n">
        <v>320000</v>
      </c>
    </row>
    <row r="11" ht="15" customHeight="1" s="107">
      <c r="B11" s="133" t="inlineStr">
        <is>
          <t>R006</t>
        </is>
      </c>
      <c r="C11" s="133" t="inlineStr">
        <is>
          <t>Marcus Bennett</t>
        </is>
      </c>
      <c r="D11" s="133" t="inlineStr">
        <is>
          <t>SMB</t>
        </is>
      </c>
      <c r="E11" s="133" t="inlineStr">
        <is>
          <t>West</t>
        </is>
      </c>
      <c r="F11" s="134" t="inlineStr">
        <is>
          <t>2023-01-01</t>
        </is>
      </c>
      <c r="G11" s="135" t="n">
        <v>159000</v>
      </c>
      <c r="H11" s="135" t="n">
        <v>344000</v>
      </c>
    </row>
    <row r="12" ht="15" customHeight="1" s="107">
      <c r="B12" s="130" t="inlineStr">
        <is>
          <t>R007</t>
        </is>
      </c>
      <c r="C12" s="130" t="inlineStr">
        <is>
          <t>Elena Kowalski</t>
        </is>
      </c>
      <c r="D12" s="130" t="inlineStr">
        <is>
          <t>Mid-Market</t>
        </is>
      </c>
      <c r="E12" s="130" t="inlineStr">
        <is>
          <t>East</t>
        </is>
      </c>
      <c r="F12" s="131" t="inlineStr">
        <is>
          <t>2022-05-01</t>
        </is>
      </c>
      <c r="G12" s="132" t="n">
        <v>320000</v>
      </c>
      <c r="H12" s="132" t="n">
        <v>580000</v>
      </c>
    </row>
    <row r="13" ht="15" customHeight="1" s="107">
      <c r="B13" s="133" t="inlineStr">
        <is>
          <t>R008</t>
        </is>
      </c>
      <c r="C13" s="133" t="inlineStr">
        <is>
          <t>Tyler Alvarez</t>
        </is>
      </c>
      <c r="D13" s="133" t="inlineStr">
        <is>
          <t>Mid-Market</t>
        </is>
      </c>
      <c r="E13" s="133" t="inlineStr">
        <is>
          <t>West</t>
        </is>
      </c>
      <c r="F13" s="134" t="inlineStr">
        <is>
          <t>2024-12-01</t>
        </is>
      </c>
      <c r="G13" s="135" t="n">
        <v>275000</v>
      </c>
      <c r="H13" s="135" t="n">
        <v>297000</v>
      </c>
    </row>
    <row r="14" ht="15" customHeight="1" s="107">
      <c r="B14" s="130" t="inlineStr">
        <is>
          <t>R009</t>
        </is>
      </c>
      <c r="C14" s="130" t="inlineStr">
        <is>
          <t>Aisha Kim</t>
        </is>
      </c>
      <c r="D14" s="130" t="inlineStr">
        <is>
          <t>Mid-Market</t>
        </is>
      </c>
      <c r="E14" s="130" t="inlineStr">
        <is>
          <t>East</t>
        </is>
      </c>
      <c r="F14" s="131" t="inlineStr">
        <is>
          <t>2023-01-01</t>
        </is>
      </c>
      <c r="G14" s="132" t="n">
        <v>287000</v>
      </c>
      <c r="H14" s="132" t="n">
        <v>609000</v>
      </c>
    </row>
    <row r="15" ht="15" customHeight="1" s="107">
      <c r="B15" s="133" t="inlineStr">
        <is>
          <t>R010</t>
        </is>
      </c>
      <c r="C15" s="133" t="inlineStr">
        <is>
          <t>Ryan Sullivan</t>
        </is>
      </c>
      <c r="D15" s="133" t="inlineStr">
        <is>
          <t>Mid-Market</t>
        </is>
      </c>
      <c r="E15" s="133" t="inlineStr">
        <is>
          <t>Central</t>
        </is>
      </c>
      <c r="F15" s="134" t="inlineStr">
        <is>
          <t>2023-04-01</t>
        </is>
      </c>
      <c r="G15" s="135" t="n">
        <v>273000</v>
      </c>
      <c r="H15" s="135" t="n">
        <v>695000</v>
      </c>
    </row>
    <row r="16" ht="15" customHeight="1" s="107">
      <c r="B16" s="130" t="inlineStr">
        <is>
          <t>R011</t>
        </is>
      </c>
      <c r="C16" s="130" t="inlineStr">
        <is>
          <t>Natalie Reyes</t>
        </is>
      </c>
      <c r="D16" s="130" t="inlineStr">
        <is>
          <t>Mid-Market</t>
        </is>
      </c>
      <c r="E16" s="130" t="inlineStr">
        <is>
          <t>West</t>
        </is>
      </c>
      <c r="F16" s="131" t="inlineStr">
        <is>
          <t>2024-08-01</t>
        </is>
      </c>
      <c r="G16" s="132" t="n">
        <v>295000</v>
      </c>
      <c r="H16" s="132" t="n">
        <v>321000</v>
      </c>
    </row>
    <row r="17" ht="15" customHeight="1" s="107">
      <c r="B17" s="133" t="inlineStr">
        <is>
          <t>R012</t>
        </is>
      </c>
      <c r="C17" s="133" t="inlineStr">
        <is>
          <t>Omar Fischer</t>
        </is>
      </c>
      <c r="D17" s="133" t="inlineStr">
        <is>
          <t>Mid-Market</t>
        </is>
      </c>
      <c r="E17" s="133" t="inlineStr">
        <is>
          <t>East</t>
        </is>
      </c>
      <c r="F17" s="134" t="inlineStr">
        <is>
          <t>2024-11-01</t>
        </is>
      </c>
      <c r="G17" s="135" t="n">
        <v>324000</v>
      </c>
      <c r="H17" s="135" t="n">
        <v>262000</v>
      </c>
    </row>
    <row r="18" ht="15" customHeight="1" s="107">
      <c r="B18" s="130" t="inlineStr">
        <is>
          <t>R013</t>
        </is>
      </c>
      <c r="C18" s="130" t="inlineStr">
        <is>
          <t>Grace Adeyemi</t>
        </is>
      </c>
      <c r="D18" s="130" t="inlineStr">
        <is>
          <t>Enterprise</t>
        </is>
      </c>
      <c r="E18" s="130" t="inlineStr">
        <is>
          <t>Central</t>
        </is>
      </c>
      <c r="F18" s="131" t="inlineStr">
        <is>
          <t>2022-10-01</t>
        </is>
      </c>
      <c r="G18" s="132" t="n">
        <v>626000</v>
      </c>
      <c r="H18" s="132" t="n">
        <v>1133000</v>
      </c>
    </row>
    <row r="19" ht="15" customHeight="1" s="107">
      <c r="B19" s="133" t="inlineStr">
        <is>
          <t>R014</t>
        </is>
      </c>
      <c r="C19" s="133" t="inlineStr">
        <is>
          <t>Kevin Novak</t>
        </is>
      </c>
      <c r="D19" s="133" t="inlineStr">
        <is>
          <t>Enterprise</t>
        </is>
      </c>
      <c r="E19" s="133" t="inlineStr">
        <is>
          <t>West</t>
        </is>
      </c>
      <c r="F19" s="134" t="inlineStr">
        <is>
          <t>2024-06-01</t>
        </is>
      </c>
      <c r="G19" s="135" t="n">
        <v>641000</v>
      </c>
      <c r="H19" s="135" t="n">
        <v>817000</v>
      </c>
    </row>
    <row r="20" ht="15" customHeight="1" s="107">
      <c r="B20" s="130" t="inlineStr">
        <is>
          <t>R015</t>
        </is>
      </c>
      <c r="C20" s="130" t="inlineStr">
        <is>
          <t>Lucia Larsen</t>
        </is>
      </c>
      <c r="D20" s="130" t="inlineStr">
        <is>
          <t>Enterprise</t>
        </is>
      </c>
      <c r="E20" s="130" t="inlineStr">
        <is>
          <t>Central</t>
        </is>
      </c>
      <c r="F20" s="131" t="inlineStr">
        <is>
          <t>2023-01-01</t>
        </is>
      </c>
      <c r="G20" s="132" t="n">
        <v>594000</v>
      </c>
      <c r="H20" s="132" t="n">
        <v>1176000</v>
      </c>
    </row>
    <row r="21" ht="15" customHeight="1" s="107">
      <c r="B21" s="136" t="n"/>
      <c r="C21" s="137" t="inlineStr">
        <is>
          <t>Total / Company</t>
        </is>
      </c>
      <c r="D21" s="136" t="n"/>
      <c r="E21" s="136" t="n"/>
      <c r="F21" s="136" t="n"/>
      <c r="G21" s="138">
        <f>SUM(G6:G20)</f>
        <v/>
      </c>
      <c r="H21" s="138">
        <f>SUM(H6:H20)</f>
        <v/>
      </c>
    </row>
  </sheetData>
  <printOptions horizontalCentered="0" verticalCentered="0" headings="0" gridLines="0" gridLinesSet="1"/>
  <pageMargins left="0.3" right="0.3" top="0.4" bottom="0.4"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U275"/>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06" min="1" max="1"/>
    <col width="8" customWidth="1" style="106" min="2" max="2"/>
    <col width="16" customWidth="1" style="106" min="3" max="3"/>
    <col width="12" customWidth="1" style="106" min="4" max="4"/>
    <col width="11" customWidth="1" style="106" min="5" max="5"/>
    <col width="9" customWidth="1" style="106" min="6" max="6"/>
    <col width="8" customWidth="1" style="106" min="7" max="7"/>
    <col width="13" customWidth="1" style="106" min="8" max="8"/>
    <col width="22" customWidth="1" style="106" min="9" max="9"/>
    <col width="16" customWidth="1" style="106" min="10" max="10"/>
    <col width="13" customWidth="1" style="106" min="11" max="12"/>
    <col width="15" customWidth="1" style="106" min="13" max="13"/>
    <col width="11" customWidth="1" style="106" min="14" max="17"/>
    <col width="15" customWidth="1" style="106" min="18" max="18"/>
    <col width="14" customWidth="1" style="106" min="19" max="19"/>
    <col width="12" customWidth="1" style="106" min="20" max="20"/>
    <col width="14" customWidth="1" style="106" min="21" max="21"/>
  </cols>
  <sheetData>
    <row r="1" ht="17.25" customHeight="1" s="107">
      <c r="A1" s="119" t="inlineStr">
        <is>
          <t>FY26 Bookings Detail — Deal-Level Commission Calculation</t>
        </is>
      </c>
    </row>
    <row r="2" ht="15" customHeight="1" s="107">
      <c r="A2" s="110" t="inlineStr">
        <is>
          <t>Every closed-won deal, Jan–Jun 2026. Commission is computed per row so any figure can be traced back to its inputs. New Business commission uses the marginal tiered rate from Commission Plan Rules; Upsell and Renewal use flat rates.</t>
        </is>
      </c>
    </row>
    <row r="4" ht="23.25" customHeight="1" s="107">
      <c r="A4" s="120" t="inlineStr">
        <is>
          <t>Deal ID</t>
        </is>
      </c>
      <c r="B4" s="120" t="inlineStr">
        <is>
          <t>Rep ID</t>
        </is>
      </c>
      <c r="C4" s="120" t="inlineStr">
        <is>
          <t>Rep Name</t>
        </is>
      </c>
      <c r="D4" s="120" t="inlineStr">
        <is>
          <t>Segment</t>
        </is>
      </c>
      <c r="E4" s="120" t="inlineStr">
        <is>
          <t>Close Date</t>
        </is>
      </c>
      <c r="F4" s="120" t="inlineStr">
        <is>
          <t>Month</t>
        </is>
      </c>
      <c r="G4" s="120" t="inlineStr">
        <is>
          <t>Quarter</t>
        </is>
      </c>
      <c r="H4" s="120" t="inlineStr">
        <is>
          <t>Deal Type</t>
        </is>
      </c>
      <c r="I4" s="120" t="inlineStr">
        <is>
          <t>Customer</t>
        </is>
      </c>
      <c r="J4" s="120" t="inlineStr">
        <is>
          <t>Product Line</t>
        </is>
      </c>
      <c r="K4" s="120" t="inlineStr">
        <is>
          <t>ARR Amount</t>
        </is>
      </c>
      <c r="L4" s="120" t="inlineStr">
        <is>
          <t>Quota (Qtr)</t>
        </is>
      </c>
      <c r="M4" s="120" t="inlineStr">
        <is>
          <t>New Biz ARR (Qtr, this rep)</t>
        </is>
      </c>
      <c r="N4" s="120" t="inlineStr">
        <is>
          <t>Attainment %</t>
        </is>
      </c>
      <c r="O4" s="120" t="inlineStr">
        <is>
          <t>Tier 1 Amt</t>
        </is>
      </c>
      <c r="P4" s="120" t="inlineStr">
        <is>
          <t>Tier 2 Amt</t>
        </is>
      </c>
      <c r="Q4" s="120" t="inlineStr">
        <is>
          <t>Tier 3 Amt</t>
        </is>
      </c>
      <c r="R4" s="120" t="inlineStr">
        <is>
          <t>New Biz Commission (Qtr)</t>
        </is>
      </c>
      <c r="S4" s="120" t="inlineStr">
        <is>
          <t>Commission Amount</t>
        </is>
      </c>
      <c r="T4" s="139" t="inlineStr">
        <is>
          <t>Rank in Month</t>
        </is>
      </c>
      <c r="U4" s="139" t="inlineStr">
        <is>
          <t>Month|Rank Key</t>
        </is>
      </c>
    </row>
    <row r="5" ht="15" customHeight="1" s="107">
      <c r="A5" s="130" t="inlineStr">
        <is>
          <t>D00033</t>
        </is>
      </c>
      <c r="B5" s="130" t="inlineStr">
        <is>
          <t>R002</t>
        </is>
      </c>
      <c r="C5" s="140">
        <f>IFERROR(INDEX('Sales Roster &amp; Quotas'!$C$6:$C$20,MATCH($B5,'Sales Roster &amp; Quotas'!$B$6:$B$20,0)),"")</f>
        <v/>
      </c>
      <c r="D5" s="140">
        <f>IFERROR(INDEX('Sales Roster &amp; Quotas'!$D$6:$D$20,MATCH($B5,'Sales Roster &amp; Quotas'!$B$6:$B$20,0)),"")</f>
        <v/>
      </c>
      <c r="E5" s="131" t="n">
        <v>46024</v>
      </c>
      <c r="F5" s="141">
        <f>TEXT(E5,"yyyy-mm")</f>
        <v/>
      </c>
      <c r="G5" s="141">
        <f>IF(MONTH(E5)&lt;=3,"Q1","Q2")</f>
        <v/>
      </c>
      <c r="H5" s="130" t="inlineStr">
        <is>
          <t>Renewal</t>
        </is>
      </c>
      <c r="I5" s="130" t="inlineStr">
        <is>
          <t>Millbrook Coverage Partners</t>
        </is>
      </c>
      <c r="J5" s="130" t="inlineStr">
        <is>
          <t>Policy Admin Core</t>
        </is>
      </c>
      <c r="K5" s="132" t="n">
        <v>8500</v>
      </c>
      <c r="L5" s="142">
        <f>IFERROR(INDEX('Sales Roster &amp; Quotas'!$G$6:$G$20,MATCH($B5,'Sales Roster &amp; Quotas'!$B$6:$B$20,0)),0)</f>
        <v/>
      </c>
      <c r="M5" s="143">
        <f>SUMIFS($K$5:$K$274,$B$5:$B$274,$B5,$G$5:$G$274,$G5,$H$5:$H$274,"New Business")</f>
        <v/>
      </c>
      <c r="N5" s="144">
        <f>IFERROR(M5/L5,0)</f>
        <v/>
      </c>
      <c r="O5" s="143">
        <f>MIN(M5,L5)</f>
        <v/>
      </c>
      <c r="P5" s="143">
        <f>MAX(MIN(M5,L5*1.25)-L5,0)</f>
        <v/>
      </c>
      <c r="Q5" s="143">
        <f>MAX(M5-L5*1.25,0)</f>
        <v/>
      </c>
      <c r="R5" s="142">
        <f>O5*'Commission Plan Rules'!$F$6+P5*'Commission Plan Rules'!$F$7+Q5*'Commission Plan Rules'!$F$8</f>
        <v/>
      </c>
      <c r="S5" s="145">
        <f>IF(H5="New Business",IFERROR((K5/M5)*R5,0),IF(H5="Upsell",K5*'Commission Plan Rules'!$F$9,IF(H5="Renewal",K5*'Commission Plan Rules'!$F$10,0)))</f>
        <v/>
      </c>
      <c r="T5" s="141">
        <f>COUNTIFS($F$5:$F$274,F5,$K$5:$K$274,"&gt;"&amp;K5)+1</f>
        <v/>
      </c>
      <c r="U5" s="141">
        <f>F5&amp;"|"&amp;T5</f>
        <v/>
      </c>
    </row>
    <row r="6" ht="15" customHeight="1" s="107">
      <c r="A6" s="133" t="inlineStr">
        <is>
          <t>D00133</t>
        </is>
      </c>
      <c r="B6" s="133" t="inlineStr">
        <is>
          <t>R007</t>
        </is>
      </c>
      <c r="C6" s="146">
        <f>IFERROR(INDEX('Sales Roster &amp; Quotas'!$C$6:$C$20,MATCH($B6,'Sales Roster &amp; Quotas'!$B$6:$B$20,0)),"")</f>
        <v/>
      </c>
      <c r="D6" s="146">
        <f>IFERROR(INDEX('Sales Roster &amp; Quotas'!$D$6:$D$20,MATCH($B6,'Sales Roster &amp; Quotas'!$B$6:$B$20,0)),"")</f>
        <v/>
      </c>
      <c r="E6" s="134" t="n">
        <v>46025</v>
      </c>
      <c r="F6" s="147">
        <f>TEXT(E6,"yyyy-mm")</f>
        <v/>
      </c>
      <c r="G6" s="147">
        <f>IF(MONTH(E6)&lt;=3,"Q1","Q2")</f>
        <v/>
      </c>
      <c r="H6" s="133" t="inlineStr">
        <is>
          <t>Renewal</t>
        </is>
      </c>
      <c r="I6" s="133" t="inlineStr">
        <is>
          <t>Windham Insurance Brokers</t>
        </is>
      </c>
      <c r="J6" s="133" t="inlineStr">
        <is>
          <t>Policy Admin Core</t>
        </is>
      </c>
      <c r="K6" s="135" t="n">
        <v>140000</v>
      </c>
      <c r="L6" s="148">
        <f>IFERROR(INDEX('Sales Roster &amp; Quotas'!$G$6:$G$20,MATCH($B6,'Sales Roster &amp; Quotas'!$B$6:$B$20,0)),0)</f>
        <v/>
      </c>
      <c r="M6" s="149">
        <f>SUMIFS($K$5:$K$274,$B$5:$B$274,$B6,$G$5:$G$274,$G6,$H$5:$H$274,"New Business")</f>
        <v/>
      </c>
      <c r="N6" s="150">
        <f>IFERROR(M6/L6,0)</f>
        <v/>
      </c>
      <c r="O6" s="149">
        <f>MIN(M6,L6)</f>
        <v/>
      </c>
      <c r="P6" s="149">
        <f>MAX(MIN(M6,L6*1.25)-L6,0)</f>
        <v/>
      </c>
      <c r="Q6" s="149">
        <f>MAX(M6-L6*1.25,0)</f>
        <v/>
      </c>
      <c r="R6" s="148">
        <f>O6*'Commission Plan Rules'!$F$6+P6*'Commission Plan Rules'!$F$7+Q6*'Commission Plan Rules'!$F$8</f>
        <v/>
      </c>
      <c r="S6" s="151">
        <f>IF(H6="New Business",IFERROR((K6/M6)*R6,0),IF(H6="Upsell",K6*'Commission Plan Rules'!$F$9,IF(H6="Renewal",K6*'Commission Plan Rules'!$F$10,0)))</f>
        <v/>
      </c>
      <c r="T6" s="141">
        <f>COUNTIFS($F$5:$F$274,F6,$K$5:$K$274,"&gt;"&amp;K6)+1</f>
        <v/>
      </c>
      <c r="U6" s="141">
        <f>F6&amp;"|"&amp;T6</f>
        <v/>
      </c>
    </row>
    <row r="7" ht="15" customHeight="1" s="107">
      <c r="A7" s="130" t="inlineStr">
        <is>
          <t>D00219</t>
        </is>
      </c>
      <c r="B7" s="130" t="inlineStr">
        <is>
          <t>R012</t>
        </is>
      </c>
      <c r="C7" s="140">
        <f>IFERROR(INDEX('Sales Roster &amp; Quotas'!$C$6:$C$20,MATCH($B7,'Sales Roster &amp; Quotas'!$B$6:$B$20,0)),"")</f>
        <v/>
      </c>
      <c r="D7" s="140">
        <f>IFERROR(INDEX('Sales Roster &amp; Quotas'!$D$6:$D$20,MATCH($B7,'Sales Roster &amp; Quotas'!$B$6:$B$20,0)),"")</f>
        <v/>
      </c>
      <c r="E7" s="131" t="n">
        <v>46026</v>
      </c>
      <c r="F7" s="141">
        <f>TEXT(E7,"yyyy-mm")</f>
        <v/>
      </c>
      <c r="G7" s="141">
        <f>IF(MONTH(E7)&lt;=3,"Q1","Q2")</f>
        <v/>
      </c>
      <c r="H7" s="130" t="inlineStr">
        <is>
          <t>Upsell</t>
        </is>
      </c>
      <c r="I7" s="130" t="inlineStr">
        <is>
          <t>Redwood Insurance Solutions</t>
        </is>
      </c>
      <c r="J7" s="130" t="inlineStr">
        <is>
          <t>Claims Module</t>
        </is>
      </c>
      <c r="K7" s="132" t="n">
        <v>25000</v>
      </c>
      <c r="L7" s="142">
        <f>IFERROR(INDEX('Sales Roster &amp; Quotas'!$G$6:$G$20,MATCH($B7,'Sales Roster &amp; Quotas'!$B$6:$B$20,0)),0)</f>
        <v/>
      </c>
      <c r="M7" s="143">
        <f>SUMIFS($K$5:$K$274,$B$5:$B$274,$B7,$G$5:$G$274,$G7,$H$5:$H$274,"New Business")</f>
        <v/>
      </c>
      <c r="N7" s="144">
        <f>IFERROR(M7/L7,0)</f>
        <v/>
      </c>
      <c r="O7" s="143">
        <f>MIN(M7,L7)</f>
        <v/>
      </c>
      <c r="P7" s="143">
        <f>MAX(MIN(M7,L7*1.25)-L7,0)</f>
        <v/>
      </c>
      <c r="Q7" s="143">
        <f>MAX(M7-L7*1.25,0)</f>
        <v/>
      </c>
      <c r="R7" s="142">
        <f>O7*'Commission Plan Rules'!$F$6+P7*'Commission Plan Rules'!$F$7+Q7*'Commission Plan Rules'!$F$8</f>
        <v/>
      </c>
      <c r="S7" s="145">
        <f>IF(H7="New Business",IFERROR((K7/M7)*R7,0),IF(H7="Upsell",K7*'Commission Plan Rules'!$F$9,IF(H7="Renewal",K7*'Commission Plan Rules'!$F$10,0)))</f>
        <v/>
      </c>
      <c r="T7" s="141">
        <f>COUNTIFS($F$5:$F$274,F7,$K$5:$K$274,"&gt;"&amp;K7)+1</f>
        <v/>
      </c>
      <c r="U7" s="141">
        <f>F7&amp;"|"&amp;T7</f>
        <v/>
      </c>
    </row>
    <row r="8" ht="15" customHeight="1" s="107">
      <c r="A8" s="133" t="inlineStr">
        <is>
          <t>D00069</t>
        </is>
      </c>
      <c r="B8" s="133" t="inlineStr">
        <is>
          <t>R004</t>
        </is>
      </c>
      <c r="C8" s="146">
        <f>IFERROR(INDEX('Sales Roster &amp; Quotas'!$C$6:$C$20,MATCH($B8,'Sales Roster &amp; Quotas'!$B$6:$B$20,0)),"")</f>
        <v/>
      </c>
      <c r="D8" s="146">
        <f>IFERROR(INDEX('Sales Roster &amp; Quotas'!$D$6:$D$20,MATCH($B8,'Sales Roster &amp; Quotas'!$B$6:$B$20,0)),"")</f>
        <v/>
      </c>
      <c r="E8" s="134" t="n">
        <v>46027</v>
      </c>
      <c r="F8" s="147">
        <f>TEXT(E8,"yyyy-mm")</f>
        <v/>
      </c>
      <c r="G8" s="147">
        <f>IF(MONTH(E8)&lt;=3,"Q1","Q2")</f>
        <v/>
      </c>
      <c r="H8" s="133" t="inlineStr">
        <is>
          <t>Upsell</t>
        </is>
      </c>
      <c r="I8" s="133" t="inlineStr">
        <is>
          <t>Harborview Mutual Agency</t>
        </is>
      </c>
      <c r="J8" s="133" t="inlineStr">
        <is>
          <t>Policy Admin Core</t>
        </is>
      </c>
      <c r="K8" s="135" t="n">
        <v>12500</v>
      </c>
      <c r="L8" s="148">
        <f>IFERROR(INDEX('Sales Roster &amp; Quotas'!$G$6:$G$20,MATCH($B8,'Sales Roster &amp; Quotas'!$B$6:$B$20,0)),0)</f>
        <v/>
      </c>
      <c r="M8" s="149">
        <f>SUMIFS($K$5:$K$274,$B$5:$B$274,$B8,$G$5:$G$274,$G8,$H$5:$H$274,"New Business")</f>
        <v/>
      </c>
      <c r="N8" s="150">
        <f>IFERROR(M8/L8,0)</f>
        <v/>
      </c>
      <c r="O8" s="149">
        <f>MIN(M8,L8)</f>
        <v/>
      </c>
      <c r="P8" s="149">
        <f>MAX(MIN(M8,L8*1.25)-L8,0)</f>
        <v/>
      </c>
      <c r="Q8" s="149">
        <f>MAX(M8-L8*1.25,0)</f>
        <v/>
      </c>
      <c r="R8" s="148">
        <f>O8*'Commission Plan Rules'!$F$6+P8*'Commission Plan Rules'!$F$7+Q8*'Commission Plan Rules'!$F$8</f>
        <v/>
      </c>
      <c r="S8" s="151">
        <f>IF(H8="New Business",IFERROR((K8/M8)*R8,0),IF(H8="Upsell",K8*'Commission Plan Rules'!$F$9,IF(H8="Renewal",K8*'Commission Plan Rules'!$F$10,0)))</f>
        <v/>
      </c>
      <c r="T8" s="141">
        <f>COUNTIFS($F$5:$F$274,F8,$K$5:$K$274,"&gt;"&amp;K8)+1</f>
        <v/>
      </c>
      <c r="U8" s="141">
        <f>F8&amp;"|"&amp;T8</f>
        <v/>
      </c>
    </row>
    <row r="9" ht="15" customHeight="1" s="107">
      <c r="A9" s="130" t="inlineStr">
        <is>
          <t>D00188</t>
        </is>
      </c>
      <c r="B9" s="130" t="inlineStr">
        <is>
          <t>R010</t>
        </is>
      </c>
      <c r="C9" s="140">
        <f>IFERROR(INDEX('Sales Roster &amp; Quotas'!$C$6:$C$20,MATCH($B9,'Sales Roster &amp; Quotas'!$B$6:$B$20,0)),"")</f>
        <v/>
      </c>
      <c r="D9" s="140">
        <f>IFERROR(INDEX('Sales Roster &amp; Quotas'!$D$6:$D$20,MATCH($B9,'Sales Roster &amp; Quotas'!$B$6:$B$20,0)),"")</f>
        <v/>
      </c>
      <c r="E9" s="131" t="n">
        <v>46027</v>
      </c>
      <c r="F9" s="141">
        <f>TEXT(E9,"yyyy-mm")</f>
        <v/>
      </c>
      <c r="G9" s="141">
        <f>IF(MONTH(E9)&lt;=3,"Q1","Q2")</f>
        <v/>
      </c>
      <c r="H9" s="130" t="inlineStr">
        <is>
          <t>Renewal</t>
        </is>
      </c>
      <c r="I9" s="130" t="inlineStr">
        <is>
          <t>Clearwater Underwriters</t>
        </is>
      </c>
      <c r="J9" s="130" t="inlineStr">
        <is>
          <t>Policy Admin Core</t>
        </is>
      </c>
      <c r="K9" s="132" t="n">
        <v>9500</v>
      </c>
      <c r="L9" s="142">
        <f>IFERROR(INDEX('Sales Roster &amp; Quotas'!$G$6:$G$20,MATCH($B9,'Sales Roster &amp; Quotas'!$B$6:$B$20,0)),0)</f>
        <v/>
      </c>
      <c r="M9" s="143">
        <f>SUMIFS($K$5:$K$274,$B$5:$B$274,$B9,$G$5:$G$274,$G9,$H$5:$H$274,"New Business")</f>
        <v/>
      </c>
      <c r="N9" s="144">
        <f>IFERROR(M9/L9,0)</f>
        <v/>
      </c>
      <c r="O9" s="143">
        <f>MIN(M9,L9)</f>
        <v/>
      </c>
      <c r="P9" s="143">
        <f>MAX(MIN(M9,L9*1.25)-L9,0)</f>
        <v/>
      </c>
      <c r="Q9" s="143">
        <f>MAX(M9-L9*1.25,0)</f>
        <v/>
      </c>
      <c r="R9" s="142">
        <f>O9*'Commission Plan Rules'!$F$6+P9*'Commission Plan Rules'!$F$7+Q9*'Commission Plan Rules'!$F$8</f>
        <v/>
      </c>
      <c r="S9" s="145">
        <f>IF(H9="New Business",IFERROR((K9/M9)*R9,0),IF(H9="Upsell",K9*'Commission Plan Rules'!$F$9,IF(H9="Renewal",K9*'Commission Plan Rules'!$F$10,0)))</f>
        <v/>
      </c>
      <c r="T9" s="141">
        <f>COUNTIFS($F$5:$F$274,F9,$K$5:$K$274,"&gt;"&amp;K9)+1</f>
        <v/>
      </c>
      <c r="U9" s="141">
        <f>F9&amp;"|"&amp;T9</f>
        <v/>
      </c>
    </row>
    <row r="10" ht="15" customHeight="1" s="107">
      <c r="A10" s="133" t="inlineStr">
        <is>
          <t>D00004</t>
        </is>
      </c>
      <c r="B10" s="133" t="inlineStr">
        <is>
          <t>R001</t>
        </is>
      </c>
      <c r="C10" s="146">
        <f>IFERROR(INDEX('Sales Roster &amp; Quotas'!$C$6:$C$20,MATCH($B10,'Sales Roster &amp; Quotas'!$B$6:$B$20,0)),"")</f>
        <v/>
      </c>
      <c r="D10" s="146">
        <f>IFERROR(INDEX('Sales Roster &amp; Quotas'!$D$6:$D$20,MATCH($B10,'Sales Roster &amp; Quotas'!$B$6:$B$20,0)),"")</f>
        <v/>
      </c>
      <c r="E10" s="134" t="n">
        <v>46027</v>
      </c>
      <c r="F10" s="147">
        <f>TEXT(E10,"yyyy-mm")</f>
        <v/>
      </c>
      <c r="G10" s="147">
        <f>IF(MONTH(E10)&lt;=3,"Q1","Q2")</f>
        <v/>
      </c>
      <c r="H10" s="133" t="inlineStr">
        <is>
          <t>New Business</t>
        </is>
      </c>
      <c r="I10" s="133" t="inlineStr">
        <is>
          <t>Windham Insurance Brokers</t>
        </is>
      </c>
      <c r="J10" s="133" t="inlineStr">
        <is>
          <t>Claims Module</t>
        </is>
      </c>
      <c r="K10" s="135" t="n">
        <v>15500</v>
      </c>
      <c r="L10" s="148">
        <f>IFERROR(INDEX('Sales Roster &amp; Quotas'!$G$6:$G$20,MATCH($B10,'Sales Roster &amp; Quotas'!$B$6:$B$20,0)),0)</f>
        <v/>
      </c>
      <c r="M10" s="149">
        <f>SUMIFS($K$5:$K$274,$B$5:$B$274,$B10,$G$5:$G$274,$G10,$H$5:$H$274,"New Business")</f>
        <v/>
      </c>
      <c r="N10" s="150">
        <f>IFERROR(M10/L10,0)</f>
        <v/>
      </c>
      <c r="O10" s="149">
        <f>MIN(M10,L10)</f>
        <v/>
      </c>
      <c r="P10" s="149">
        <f>MAX(MIN(M10,L10*1.25)-L10,0)</f>
        <v/>
      </c>
      <c r="Q10" s="149">
        <f>MAX(M10-L10*1.25,0)</f>
        <v/>
      </c>
      <c r="R10" s="148">
        <f>O10*'Commission Plan Rules'!$F$6+P10*'Commission Plan Rules'!$F$7+Q10*'Commission Plan Rules'!$F$8</f>
        <v/>
      </c>
      <c r="S10" s="151">
        <f>IF(H10="New Business",IFERROR((K10/M10)*R10,0),IF(H10="Upsell",K10*'Commission Plan Rules'!$F$9,IF(H10="Renewal",K10*'Commission Plan Rules'!$F$10,0)))</f>
        <v/>
      </c>
      <c r="T10" s="141">
        <f>COUNTIFS($F$5:$F$274,F10,$K$5:$K$274,"&gt;"&amp;K10)+1</f>
        <v/>
      </c>
      <c r="U10" s="141">
        <f>F10&amp;"|"&amp;T10</f>
        <v/>
      </c>
    </row>
    <row r="11" ht="15" customHeight="1" s="107">
      <c r="A11" s="130" t="inlineStr">
        <is>
          <t>D00145</t>
        </is>
      </c>
      <c r="B11" s="130" t="inlineStr">
        <is>
          <t>R008</t>
        </is>
      </c>
      <c r="C11" s="140">
        <f>IFERROR(INDEX('Sales Roster &amp; Quotas'!$C$6:$C$20,MATCH($B11,'Sales Roster &amp; Quotas'!$B$6:$B$20,0)),"")</f>
        <v/>
      </c>
      <c r="D11" s="140">
        <f>IFERROR(INDEX('Sales Roster &amp; Quotas'!$D$6:$D$20,MATCH($B11,'Sales Roster &amp; Quotas'!$B$6:$B$20,0)),"")</f>
        <v/>
      </c>
      <c r="E11" s="131" t="n">
        <v>46027</v>
      </c>
      <c r="F11" s="141">
        <f>TEXT(E11,"yyyy-mm")</f>
        <v/>
      </c>
      <c r="G11" s="141">
        <f>IF(MONTH(E11)&lt;=3,"Q1","Q2")</f>
        <v/>
      </c>
      <c r="H11" s="130" t="inlineStr">
        <is>
          <t>Upsell</t>
        </is>
      </c>
      <c r="I11" s="130" t="inlineStr">
        <is>
          <t>Coastal Insurance Group</t>
        </is>
      </c>
      <c r="J11" s="130" t="inlineStr">
        <is>
          <t>Policy Admin Core</t>
        </is>
      </c>
      <c r="K11" s="132" t="n">
        <v>33500</v>
      </c>
      <c r="L11" s="142">
        <f>IFERROR(INDEX('Sales Roster &amp; Quotas'!$G$6:$G$20,MATCH($B11,'Sales Roster &amp; Quotas'!$B$6:$B$20,0)),0)</f>
        <v/>
      </c>
      <c r="M11" s="143">
        <f>SUMIFS($K$5:$K$274,$B$5:$B$274,$B11,$G$5:$G$274,$G11,$H$5:$H$274,"New Business")</f>
        <v/>
      </c>
      <c r="N11" s="144">
        <f>IFERROR(M11/L11,0)</f>
        <v/>
      </c>
      <c r="O11" s="143">
        <f>MIN(M11,L11)</f>
        <v/>
      </c>
      <c r="P11" s="143">
        <f>MAX(MIN(M11,L11*1.25)-L11,0)</f>
        <v/>
      </c>
      <c r="Q11" s="143">
        <f>MAX(M11-L11*1.25,0)</f>
        <v/>
      </c>
      <c r="R11" s="142">
        <f>O11*'Commission Plan Rules'!$F$6+P11*'Commission Plan Rules'!$F$7+Q11*'Commission Plan Rules'!$F$8</f>
        <v/>
      </c>
      <c r="S11" s="145">
        <f>IF(H11="New Business",IFERROR((K11/M11)*R11,0),IF(H11="Upsell",K11*'Commission Plan Rules'!$F$9,IF(H11="Renewal",K11*'Commission Plan Rules'!$F$10,0)))</f>
        <v/>
      </c>
      <c r="T11" s="141">
        <f>COUNTIFS($F$5:$F$274,F11,$K$5:$K$274,"&gt;"&amp;K11)+1</f>
        <v/>
      </c>
      <c r="U11" s="141">
        <f>F11&amp;"|"&amp;T11</f>
        <v/>
      </c>
    </row>
    <row r="12" ht="15" customHeight="1" s="107">
      <c r="A12" s="133" t="inlineStr">
        <is>
          <t>D00200</t>
        </is>
      </c>
      <c r="B12" s="133" t="inlineStr">
        <is>
          <t>R011</t>
        </is>
      </c>
      <c r="C12" s="146">
        <f>IFERROR(INDEX('Sales Roster &amp; Quotas'!$C$6:$C$20,MATCH($B12,'Sales Roster &amp; Quotas'!$B$6:$B$20,0)),"")</f>
        <v/>
      </c>
      <c r="D12" s="146">
        <f>IFERROR(INDEX('Sales Roster &amp; Quotas'!$D$6:$D$20,MATCH($B12,'Sales Roster &amp; Quotas'!$B$6:$B$20,0)),"")</f>
        <v/>
      </c>
      <c r="E12" s="134" t="n">
        <v>46027</v>
      </c>
      <c r="F12" s="147">
        <f>TEXT(E12,"yyyy-mm")</f>
        <v/>
      </c>
      <c r="G12" s="147">
        <f>IF(MONTH(E12)&lt;=3,"Q1","Q2")</f>
        <v/>
      </c>
      <c r="H12" s="133" t="inlineStr">
        <is>
          <t>Upsell</t>
        </is>
      </c>
      <c r="I12" s="133" t="inlineStr">
        <is>
          <t>Sterling Mutual Agency</t>
        </is>
      </c>
      <c r="J12" s="133" t="inlineStr">
        <is>
          <t>Analytics Add-On</t>
        </is>
      </c>
      <c r="K12" s="135" t="n">
        <v>12500</v>
      </c>
      <c r="L12" s="148">
        <f>IFERROR(INDEX('Sales Roster &amp; Quotas'!$G$6:$G$20,MATCH($B12,'Sales Roster &amp; Quotas'!$B$6:$B$20,0)),0)</f>
        <v/>
      </c>
      <c r="M12" s="149">
        <f>SUMIFS($K$5:$K$274,$B$5:$B$274,$B12,$G$5:$G$274,$G12,$H$5:$H$274,"New Business")</f>
        <v/>
      </c>
      <c r="N12" s="150">
        <f>IFERROR(M12/L12,0)</f>
        <v/>
      </c>
      <c r="O12" s="149">
        <f>MIN(M12,L12)</f>
        <v/>
      </c>
      <c r="P12" s="149">
        <f>MAX(MIN(M12,L12*1.25)-L12,0)</f>
        <v/>
      </c>
      <c r="Q12" s="149">
        <f>MAX(M12-L12*1.25,0)</f>
        <v/>
      </c>
      <c r="R12" s="148">
        <f>O12*'Commission Plan Rules'!$F$6+P12*'Commission Plan Rules'!$F$7+Q12*'Commission Plan Rules'!$F$8</f>
        <v/>
      </c>
      <c r="S12" s="151">
        <f>IF(H12="New Business",IFERROR((K12/M12)*R12,0),IF(H12="Upsell",K12*'Commission Plan Rules'!$F$9,IF(H12="Renewal",K12*'Commission Plan Rules'!$F$10,0)))</f>
        <v/>
      </c>
      <c r="T12" s="141">
        <f>COUNTIFS($F$5:$F$274,F12,$K$5:$K$274,"&gt;"&amp;K12)+1</f>
        <v/>
      </c>
      <c r="U12" s="141">
        <f>F12&amp;"|"&amp;T12</f>
        <v/>
      </c>
    </row>
    <row r="13" ht="15" customHeight="1" s="107">
      <c r="A13" s="130" t="inlineStr">
        <is>
          <t>D00186</t>
        </is>
      </c>
      <c r="B13" s="130" t="inlineStr">
        <is>
          <t>R010</t>
        </is>
      </c>
      <c r="C13" s="140">
        <f>IFERROR(INDEX('Sales Roster &amp; Quotas'!$C$6:$C$20,MATCH($B13,'Sales Roster &amp; Quotas'!$B$6:$B$20,0)),"")</f>
        <v/>
      </c>
      <c r="D13" s="140">
        <f>IFERROR(INDEX('Sales Roster &amp; Quotas'!$D$6:$D$20,MATCH($B13,'Sales Roster &amp; Quotas'!$B$6:$B$20,0)),"")</f>
        <v/>
      </c>
      <c r="E13" s="131" t="n">
        <v>46028</v>
      </c>
      <c r="F13" s="141">
        <f>TEXT(E13,"yyyy-mm")</f>
        <v/>
      </c>
      <c r="G13" s="141">
        <f>IF(MONTH(E13)&lt;=3,"Q1","Q2")</f>
        <v/>
      </c>
      <c r="H13" s="130" t="inlineStr">
        <is>
          <t>Renewal</t>
        </is>
      </c>
      <c r="I13" s="130" t="inlineStr">
        <is>
          <t>Hillcrest Insurance Solutions</t>
        </is>
      </c>
      <c r="J13" s="130" t="inlineStr">
        <is>
          <t>Policy Admin Core</t>
        </is>
      </c>
      <c r="K13" s="132" t="n">
        <v>2000</v>
      </c>
      <c r="L13" s="142">
        <f>IFERROR(INDEX('Sales Roster &amp; Quotas'!$G$6:$G$20,MATCH($B13,'Sales Roster &amp; Quotas'!$B$6:$B$20,0)),0)</f>
        <v/>
      </c>
      <c r="M13" s="143">
        <f>SUMIFS($K$5:$K$274,$B$5:$B$274,$B13,$G$5:$G$274,$G13,$H$5:$H$274,"New Business")</f>
        <v/>
      </c>
      <c r="N13" s="144">
        <f>IFERROR(M13/L13,0)</f>
        <v/>
      </c>
      <c r="O13" s="143">
        <f>MIN(M13,L13)</f>
        <v/>
      </c>
      <c r="P13" s="143">
        <f>MAX(MIN(M13,L13*1.25)-L13,0)</f>
        <v/>
      </c>
      <c r="Q13" s="143">
        <f>MAX(M13-L13*1.25,0)</f>
        <v/>
      </c>
      <c r="R13" s="142">
        <f>O13*'Commission Plan Rules'!$F$6+P13*'Commission Plan Rules'!$F$7+Q13*'Commission Plan Rules'!$F$8</f>
        <v/>
      </c>
      <c r="S13" s="145">
        <f>IF(H13="New Business",IFERROR((K13/M13)*R13,0),IF(H13="Upsell",K13*'Commission Plan Rules'!$F$9,IF(H13="Renewal",K13*'Commission Plan Rules'!$F$10,0)))</f>
        <v/>
      </c>
      <c r="T13" s="141">
        <f>COUNTIFS($F$5:$F$274,F13,$K$5:$K$274,"&gt;"&amp;K13)+1</f>
        <v/>
      </c>
      <c r="U13" s="141">
        <f>F13&amp;"|"&amp;T13</f>
        <v/>
      </c>
    </row>
    <row r="14" ht="15" customHeight="1" s="107">
      <c r="A14" s="133" t="inlineStr">
        <is>
          <t>D00030</t>
        </is>
      </c>
      <c r="B14" s="133" t="inlineStr">
        <is>
          <t>R002</t>
        </is>
      </c>
      <c r="C14" s="146">
        <f>IFERROR(INDEX('Sales Roster &amp; Quotas'!$C$6:$C$20,MATCH($B14,'Sales Roster &amp; Quotas'!$B$6:$B$20,0)),"")</f>
        <v/>
      </c>
      <c r="D14" s="146">
        <f>IFERROR(INDEX('Sales Roster &amp; Quotas'!$D$6:$D$20,MATCH($B14,'Sales Roster &amp; Quotas'!$B$6:$B$20,0)),"")</f>
        <v/>
      </c>
      <c r="E14" s="134" t="n">
        <v>46029</v>
      </c>
      <c r="F14" s="147">
        <f>TEXT(E14,"yyyy-mm")</f>
        <v/>
      </c>
      <c r="G14" s="147">
        <f>IF(MONTH(E14)&lt;=3,"Q1","Q2")</f>
        <v/>
      </c>
      <c r="H14" s="133" t="inlineStr">
        <is>
          <t>Upsell</t>
        </is>
      </c>
      <c r="I14" s="133" t="inlineStr">
        <is>
          <t>Riverbend Coverage Partners</t>
        </is>
      </c>
      <c r="J14" s="133" t="inlineStr">
        <is>
          <t>Client Portal</t>
        </is>
      </c>
      <c r="K14" s="135" t="n">
        <v>2500</v>
      </c>
      <c r="L14" s="148">
        <f>IFERROR(INDEX('Sales Roster &amp; Quotas'!$G$6:$G$20,MATCH($B14,'Sales Roster &amp; Quotas'!$B$6:$B$20,0)),0)</f>
        <v/>
      </c>
      <c r="M14" s="149">
        <f>SUMIFS($K$5:$K$274,$B$5:$B$274,$B14,$G$5:$G$274,$G14,$H$5:$H$274,"New Business")</f>
        <v/>
      </c>
      <c r="N14" s="150">
        <f>IFERROR(M14/L14,0)</f>
        <v/>
      </c>
      <c r="O14" s="149">
        <f>MIN(M14,L14)</f>
        <v/>
      </c>
      <c r="P14" s="149">
        <f>MAX(MIN(M14,L14*1.25)-L14,0)</f>
        <v/>
      </c>
      <c r="Q14" s="149">
        <f>MAX(M14-L14*1.25,0)</f>
        <v/>
      </c>
      <c r="R14" s="148">
        <f>O14*'Commission Plan Rules'!$F$6+P14*'Commission Plan Rules'!$F$7+Q14*'Commission Plan Rules'!$F$8</f>
        <v/>
      </c>
      <c r="S14" s="151">
        <f>IF(H14="New Business",IFERROR((K14/M14)*R14,0),IF(H14="Upsell",K14*'Commission Plan Rules'!$F$9,IF(H14="Renewal",K14*'Commission Plan Rules'!$F$10,0)))</f>
        <v/>
      </c>
      <c r="T14" s="141">
        <f>COUNTIFS($F$5:$F$274,F14,$K$5:$K$274,"&gt;"&amp;K14)+1</f>
        <v/>
      </c>
      <c r="U14" s="141">
        <f>F14&amp;"|"&amp;T14</f>
        <v/>
      </c>
    </row>
    <row r="15" ht="15" customHeight="1" s="107">
      <c r="A15" s="130" t="inlineStr">
        <is>
          <t>D00265</t>
        </is>
      </c>
      <c r="B15" s="130" t="inlineStr">
        <is>
          <t>R015</t>
        </is>
      </c>
      <c r="C15" s="140">
        <f>IFERROR(INDEX('Sales Roster &amp; Quotas'!$C$6:$C$20,MATCH($B15,'Sales Roster &amp; Quotas'!$B$6:$B$20,0)),"")</f>
        <v/>
      </c>
      <c r="D15" s="140">
        <f>IFERROR(INDEX('Sales Roster &amp; Quotas'!$D$6:$D$20,MATCH($B15,'Sales Roster &amp; Quotas'!$B$6:$B$20,0)),"")</f>
        <v/>
      </c>
      <c r="E15" s="131" t="n">
        <v>46029</v>
      </c>
      <c r="F15" s="141">
        <f>TEXT(E15,"yyyy-mm")</f>
        <v/>
      </c>
      <c r="G15" s="141">
        <f>IF(MONTH(E15)&lt;=3,"Q1","Q2")</f>
        <v/>
      </c>
      <c r="H15" s="130" t="inlineStr">
        <is>
          <t>Renewal</t>
        </is>
      </c>
      <c r="I15" s="130" t="inlineStr">
        <is>
          <t>Ironwood Risk Advisors</t>
        </is>
      </c>
      <c r="J15" s="130" t="inlineStr">
        <is>
          <t>Policy Admin Core</t>
        </is>
      </c>
      <c r="K15" s="132" t="n">
        <v>3000</v>
      </c>
      <c r="L15" s="142">
        <f>IFERROR(INDEX('Sales Roster &amp; Quotas'!$G$6:$G$20,MATCH($B15,'Sales Roster &amp; Quotas'!$B$6:$B$20,0)),0)</f>
        <v/>
      </c>
      <c r="M15" s="143">
        <f>SUMIFS($K$5:$K$274,$B$5:$B$274,$B15,$G$5:$G$274,$G15,$H$5:$H$274,"New Business")</f>
        <v/>
      </c>
      <c r="N15" s="144">
        <f>IFERROR(M15/L15,0)</f>
        <v/>
      </c>
      <c r="O15" s="143">
        <f>MIN(M15,L15)</f>
        <v/>
      </c>
      <c r="P15" s="143">
        <f>MAX(MIN(M15,L15*1.25)-L15,0)</f>
        <v/>
      </c>
      <c r="Q15" s="143">
        <f>MAX(M15-L15*1.25,0)</f>
        <v/>
      </c>
      <c r="R15" s="142">
        <f>O15*'Commission Plan Rules'!$F$6+P15*'Commission Plan Rules'!$F$7+Q15*'Commission Plan Rules'!$F$8</f>
        <v/>
      </c>
      <c r="S15" s="145">
        <f>IF(H15="New Business",IFERROR((K15/M15)*R15,0),IF(H15="Upsell",K15*'Commission Plan Rules'!$F$9,IF(H15="Renewal",K15*'Commission Plan Rules'!$F$10,0)))</f>
        <v/>
      </c>
      <c r="T15" s="141">
        <f>COUNTIFS($F$5:$F$274,F15,$K$5:$K$274,"&gt;"&amp;K15)+1</f>
        <v/>
      </c>
      <c r="U15" s="141">
        <f>F15&amp;"|"&amp;T15</f>
        <v/>
      </c>
    </row>
    <row r="16" ht="15" customHeight="1" s="107">
      <c r="A16" s="133" t="inlineStr">
        <is>
          <t>D00222</t>
        </is>
      </c>
      <c r="B16" s="133" t="inlineStr">
        <is>
          <t>R012</t>
        </is>
      </c>
      <c r="C16" s="146">
        <f>IFERROR(INDEX('Sales Roster &amp; Quotas'!$C$6:$C$20,MATCH($B16,'Sales Roster &amp; Quotas'!$B$6:$B$20,0)),"")</f>
        <v/>
      </c>
      <c r="D16" s="146">
        <f>IFERROR(INDEX('Sales Roster &amp; Quotas'!$D$6:$D$20,MATCH($B16,'Sales Roster &amp; Quotas'!$B$6:$B$20,0)),"")</f>
        <v/>
      </c>
      <c r="E16" s="134" t="n">
        <v>46029</v>
      </c>
      <c r="F16" s="147">
        <f>TEXT(E16,"yyyy-mm")</f>
        <v/>
      </c>
      <c r="G16" s="147">
        <f>IF(MONTH(E16)&lt;=3,"Q1","Q2")</f>
        <v/>
      </c>
      <c r="H16" s="133" t="inlineStr">
        <is>
          <t>Renewal</t>
        </is>
      </c>
      <c r="I16" s="133" t="inlineStr">
        <is>
          <t>Stonebridge Insurance Brokers</t>
        </is>
      </c>
      <c r="J16" s="133" t="inlineStr">
        <is>
          <t>Policy Admin Core</t>
        </is>
      </c>
      <c r="K16" s="135" t="n">
        <v>17500</v>
      </c>
      <c r="L16" s="148">
        <f>IFERROR(INDEX('Sales Roster &amp; Quotas'!$G$6:$G$20,MATCH($B16,'Sales Roster &amp; Quotas'!$B$6:$B$20,0)),0)</f>
        <v/>
      </c>
      <c r="M16" s="149">
        <f>SUMIFS($K$5:$K$274,$B$5:$B$274,$B16,$G$5:$G$274,$G16,$H$5:$H$274,"New Business")</f>
        <v/>
      </c>
      <c r="N16" s="150">
        <f>IFERROR(M16/L16,0)</f>
        <v/>
      </c>
      <c r="O16" s="149">
        <f>MIN(M16,L16)</f>
        <v/>
      </c>
      <c r="P16" s="149">
        <f>MAX(MIN(M16,L16*1.25)-L16,0)</f>
        <v/>
      </c>
      <c r="Q16" s="149">
        <f>MAX(M16-L16*1.25,0)</f>
        <v/>
      </c>
      <c r="R16" s="148">
        <f>O16*'Commission Plan Rules'!$F$6+P16*'Commission Plan Rules'!$F$7+Q16*'Commission Plan Rules'!$F$8</f>
        <v/>
      </c>
      <c r="S16" s="151">
        <f>IF(H16="New Business",IFERROR((K16/M16)*R16,0),IF(H16="Upsell",K16*'Commission Plan Rules'!$F$9,IF(H16="Renewal",K16*'Commission Plan Rules'!$F$10,0)))</f>
        <v/>
      </c>
      <c r="T16" s="141">
        <f>COUNTIFS($F$5:$F$274,F16,$K$5:$K$274,"&gt;"&amp;K16)+1</f>
        <v/>
      </c>
      <c r="U16" s="141">
        <f>F16&amp;"|"&amp;T16</f>
        <v/>
      </c>
    </row>
    <row r="17" ht="15" customHeight="1" s="107">
      <c r="A17" s="130" t="inlineStr">
        <is>
          <t>D00224</t>
        </is>
      </c>
      <c r="B17" s="130" t="inlineStr">
        <is>
          <t>R012</t>
        </is>
      </c>
      <c r="C17" s="140">
        <f>IFERROR(INDEX('Sales Roster &amp; Quotas'!$C$6:$C$20,MATCH($B17,'Sales Roster &amp; Quotas'!$B$6:$B$20,0)),"")</f>
        <v/>
      </c>
      <c r="D17" s="140">
        <f>IFERROR(INDEX('Sales Roster &amp; Quotas'!$D$6:$D$20,MATCH($B17,'Sales Roster &amp; Quotas'!$B$6:$B$20,0)),"")</f>
        <v/>
      </c>
      <c r="E17" s="131" t="n">
        <v>46030</v>
      </c>
      <c r="F17" s="141">
        <f>TEXT(E17,"yyyy-mm")</f>
        <v/>
      </c>
      <c r="G17" s="141">
        <f>IF(MONTH(E17)&lt;=3,"Q1","Q2")</f>
        <v/>
      </c>
      <c r="H17" s="130" t="inlineStr">
        <is>
          <t>Renewal</t>
        </is>
      </c>
      <c r="I17" s="130" t="inlineStr">
        <is>
          <t>Harborview Coverage Partners</t>
        </is>
      </c>
      <c r="J17" s="130" t="inlineStr">
        <is>
          <t>Policy Admin Core</t>
        </is>
      </c>
      <c r="K17" s="132" t="n">
        <v>5000</v>
      </c>
      <c r="L17" s="142">
        <f>IFERROR(INDEX('Sales Roster &amp; Quotas'!$G$6:$G$20,MATCH($B17,'Sales Roster &amp; Quotas'!$B$6:$B$20,0)),0)</f>
        <v/>
      </c>
      <c r="M17" s="143">
        <f>SUMIFS($K$5:$K$274,$B$5:$B$274,$B17,$G$5:$G$274,$G17,$H$5:$H$274,"New Business")</f>
        <v/>
      </c>
      <c r="N17" s="144">
        <f>IFERROR(M17/L17,0)</f>
        <v/>
      </c>
      <c r="O17" s="143">
        <f>MIN(M17,L17)</f>
        <v/>
      </c>
      <c r="P17" s="143">
        <f>MAX(MIN(M17,L17*1.25)-L17,0)</f>
        <v/>
      </c>
      <c r="Q17" s="143">
        <f>MAX(M17-L17*1.25,0)</f>
        <v/>
      </c>
      <c r="R17" s="142">
        <f>O17*'Commission Plan Rules'!$F$6+P17*'Commission Plan Rules'!$F$7+Q17*'Commission Plan Rules'!$F$8</f>
        <v/>
      </c>
      <c r="S17" s="145">
        <f>IF(H17="New Business",IFERROR((K17/M17)*R17,0),IF(H17="Upsell",K17*'Commission Plan Rules'!$F$9,IF(H17="Renewal",K17*'Commission Plan Rules'!$F$10,0)))</f>
        <v/>
      </c>
      <c r="T17" s="141">
        <f>COUNTIFS($F$5:$F$274,F17,$K$5:$K$274,"&gt;"&amp;K17)+1</f>
        <v/>
      </c>
      <c r="U17" s="141">
        <f>F17&amp;"|"&amp;T17</f>
        <v/>
      </c>
    </row>
    <row r="18" ht="15" customHeight="1" s="107">
      <c r="A18" s="133" t="inlineStr">
        <is>
          <t>D00183</t>
        </is>
      </c>
      <c r="B18" s="133" t="inlineStr">
        <is>
          <t>R010</t>
        </is>
      </c>
      <c r="C18" s="146">
        <f>IFERROR(INDEX('Sales Roster &amp; Quotas'!$C$6:$C$20,MATCH($B18,'Sales Roster &amp; Quotas'!$B$6:$B$20,0)),"")</f>
        <v/>
      </c>
      <c r="D18" s="146">
        <f>IFERROR(INDEX('Sales Roster &amp; Quotas'!$D$6:$D$20,MATCH($B18,'Sales Roster &amp; Quotas'!$B$6:$B$20,0)),"")</f>
        <v/>
      </c>
      <c r="E18" s="134" t="n">
        <v>46030</v>
      </c>
      <c r="F18" s="147">
        <f>TEXT(E18,"yyyy-mm")</f>
        <v/>
      </c>
      <c r="G18" s="147">
        <f>IF(MONTH(E18)&lt;=3,"Q1","Q2")</f>
        <v/>
      </c>
      <c r="H18" s="133" t="inlineStr">
        <is>
          <t>Upsell</t>
        </is>
      </c>
      <c r="I18" s="133" t="inlineStr">
        <is>
          <t>Summit Insurance Solutions</t>
        </is>
      </c>
      <c r="J18" s="133" t="inlineStr">
        <is>
          <t>Analytics Add-On</t>
        </is>
      </c>
      <c r="K18" s="135" t="n">
        <v>31000</v>
      </c>
      <c r="L18" s="148">
        <f>IFERROR(INDEX('Sales Roster &amp; Quotas'!$G$6:$G$20,MATCH($B18,'Sales Roster &amp; Quotas'!$B$6:$B$20,0)),0)</f>
        <v/>
      </c>
      <c r="M18" s="149">
        <f>SUMIFS($K$5:$K$274,$B$5:$B$274,$B18,$G$5:$G$274,$G18,$H$5:$H$274,"New Business")</f>
        <v/>
      </c>
      <c r="N18" s="150">
        <f>IFERROR(M18/L18,0)</f>
        <v/>
      </c>
      <c r="O18" s="149">
        <f>MIN(M18,L18)</f>
        <v/>
      </c>
      <c r="P18" s="149">
        <f>MAX(MIN(M18,L18*1.25)-L18,0)</f>
        <v/>
      </c>
      <c r="Q18" s="149">
        <f>MAX(M18-L18*1.25,0)</f>
        <v/>
      </c>
      <c r="R18" s="148">
        <f>O18*'Commission Plan Rules'!$F$6+P18*'Commission Plan Rules'!$F$7+Q18*'Commission Plan Rules'!$F$8</f>
        <v/>
      </c>
      <c r="S18" s="151">
        <f>IF(H18="New Business",IFERROR((K18/M18)*R18,0),IF(H18="Upsell",K18*'Commission Plan Rules'!$F$9,IF(H18="Renewal",K18*'Commission Plan Rules'!$F$10,0)))</f>
        <v/>
      </c>
      <c r="T18" s="141">
        <f>COUNTIFS($F$5:$F$274,F18,$K$5:$K$274,"&gt;"&amp;K18)+1</f>
        <v/>
      </c>
      <c r="U18" s="141">
        <f>F18&amp;"|"&amp;T18</f>
        <v/>
      </c>
    </row>
    <row r="19" ht="15" customHeight="1" s="107">
      <c r="A19" s="130" t="inlineStr">
        <is>
          <t>D00047</t>
        </is>
      </c>
      <c r="B19" s="130" t="inlineStr">
        <is>
          <t>R003</t>
        </is>
      </c>
      <c r="C19" s="140">
        <f>IFERROR(INDEX('Sales Roster &amp; Quotas'!$C$6:$C$20,MATCH($B19,'Sales Roster &amp; Quotas'!$B$6:$B$20,0)),"")</f>
        <v/>
      </c>
      <c r="D19" s="140">
        <f>IFERROR(INDEX('Sales Roster &amp; Quotas'!$D$6:$D$20,MATCH($B19,'Sales Roster &amp; Quotas'!$B$6:$B$20,0)),"")</f>
        <v/>
      </c>
      <c r="E19" s="131" t="n">
        <v>46030</v>
      </c>
      <c r="F19" s="141">
        <f>TEXT(E19,"yyyy-mm")</f>
        <v/>
      </c>
      <c r="G19" s="141">
        <f>IF(MONTH(E19)&lt;=3,"Q1","Q2")</f>
        <v/>
      </c>
      <c r="H19" s="130" t="inlineStr">
        <is>
          <t>Upsell</t>
        </is>
      </c>
      <c r="I19" s="130" t="inlineStr">
        <is>
          <t>Overlook Risk Advisors</t>
        </is>
      </c>
      <c r="J19" s="130" t="inlineStr">
        <is>
          <t>Policy Admin Core</t>
        </is>
      </c>
      <c r="K19" s="132" t="n">
        <v>25500</v>
      </c>
      <c r="L19" s="142">
        <f>IFERROR(INDEX('Sales Roster &amp; Quotas'!$G$6:$G$20,MATCH($B19,'Sales Roster &amp; Quotas'!$B$6:$B$20,0)),0)</f>
        <v/>
      </c>
      <c r="M19" s="143">
        <f>SUMIFS($K$5:$K$274,$B$5:$B$274,$B19,$G$5:$G$274,$G19,$H$5:$H$274,"New Business")</f>
        <v/>
      </c>
      <c r="N19" s="144">
        <f>IFERROR(M19/L19,0)</f>
        <v/>
      </c>
      <c r="O19" s="143">
        <f>MIN(M19,L19)</f>
        <v/>
      </c>
      <c r="P19" s="143">
        <f>MAX(MIN(M19,L19*1.25)-L19,0)</f>
        <v/>
      </c>
      <c r="Q19" s="143">
        <f>MAX(M19-L19*1.25,0)</f>
        <v/>
      </c>
      <c r="R19" s="142">
        <f>O19*'Commission Plan Rules'!$F$6+P19*'Commission Plan Rules'!$F$7+Q19*'Commission Plan Rules'!$F$8</f>
        <v/>
      </c>
      <c r="S19" s="145">
        <f>IF(H19="New Business",IFERROR((K19/M19)*R19,0),IF(H19="Upsell",K19*'Commission Plan Rules'!$F$9,IF(H19="Renewal",K19*'Commission Plan Rules'!$F$10,0)))</f>
        <v/>
      </c>
      <c r="T19" s="141">
        <f>COUNTIFS($F$5:$F$274,F19,$K$5:$K$274,"&gt;"&amp;K19)+1</f>
        <v/>
      </c>
      <c r="U19" s="141">
        <f>F19&amp;"|"&amp;T19</f>
        <v/>
      </c>
    </row>
    <row r="20" ht="15" customHeight="1" s="107">
      <c r="A20" s="133" t="inlineStr">
        <is>
          <t>D00128</t>
        </is>
      </c>
      <c r="B20" s="133" t="inlineStr">
        <is>
          <t>R007</t>
        </is>
      </c>
      <c r="C20" s="146">
        <f>IFERROR(INDEX('Sales Roster &amp; Quotas'!$C$6:$C$20,MATCH($B20,'Sales Roster &amp; Quotas'!$B$6:$B$20,0)),"")</f>
        <v/>
      </c>
      <c r="D20" s="146">
        <f>IFERROR(INDEX('Sales Roster &amp; Quotas'!$D$6:$D$20,MATCH($B20,'Sales Roster &amp; Quotas'!$B$6:$B$20,0)),"")</f>
        <v/>
      </c>
      <c r="E20" s="134" t="n">
        <v>46032</v>
      </c>
      <c r="F20" s="147">
        <f>TEXT(E20,"yyyy-mm")</f>
        <v/>
      </c>
      <c r="G20" s="147">
        <f>IF(MONTH(E20)&lt;=3,"Q1","Q2")</f>
        <v/>
      </c>
      <c r="H20" s="133" t="inlineStr">
        <is>
          <t>New Business</t>
        </is>
      </c>
      <c r="I20" s="133" t="inlineStr">
        <is>
          <t>Bridgeway Insurance Solutions</t>
        </is>
      </c>
      <c r="J20" s="133" t="inlineStr">
        <is>
          <t>Policy Admin Core</t>
        </is>
      </c>
      <c r="K20" s="135" t="n">
        <v>66000</v>
      </c>
      <c r="L20" s="148">
        <f>IFERROR(INDEX('Sales Roster &amp; Quotas'!$G$6:$G$20,MATCH($B20,'Sales Roster &amp; Quotas'!$B$6:$B$20,0)),0)</f>
        <v/>
      </c>
      <c r="M20" s="149">
        <f>SUMIFS($K$5:$K$274,$B$5:$B$274,$B20,$G$5:$G$274,$G20,$H$5:$H$274,"New Business")</f>
        <v/>
      </c>
      <c r="N20" s="150">
        <f>IFERROR(M20/L20,0)</f>
        <v/>
      </c>
      <c r="O20" s="149">
        <f>MIN(M20,L20)</f>
        <v/>
      </c>
      <c r="P20" s="149">
        <f>MAX(MIN(M20,L20*1.25)-L20,0)</f>
        <v/>
      </c>
      <c r="Q20" s="149">
        <f>MAX(M20-L20*1.25,0)</f>
        <v/>
      </c>
      <c r="R20" s="148">
        <f>O20*'Commission Plan Rules'!$F$6+P20*'Commission Plan Rules'!$F$7+Q20*'Commission Plan Rules'!$F$8</f>
        <v/>
      </c>
      <c r="S20" s="151">
        <f>IF(H20="New Business",IFERROR((K20/M20)*R20,0),IF(H20="Upsell",K20*'Commission Plan Rules'!$F$9,IF(H20="Renewal",K20*'Commission Plan Rules'!$F$10,0)))</f>
        <v/>
      </c>
      <c r="T20" s="141">
        <f>COUNTIFS($F$5:$F$274,F20,$K$5:$K$274,"&gt;"&amp;K20)+1</f>
        <v/>
      </c>
      <c r="U20" s="141">
        <f>F20&amp;"|"&amp;T20</f>
        <v/>
      </c>
    </row>
    <row r="21" ht="15" customHeight="1" s="107">
      <c r="A21" s="130" t="inlineStr">
        <is>
          <t>D00027</t>
        </is>
      </c>
      <c r="B21" s="130" t="inlineStr">
        <is>
          <t>R002</t>
        </is>
      </c>
      <c r="C21" s="140">
        <f>IFERROR(INDEX('Sales Roster &amp; Quotas'!$C$6:$C$20,MATCH($B21,'Sales Roster &amp; Quotas'!$B$6:$B$20,0)),"")</f>
        <v/>
      </c>
      <c r="D21" s="140">
        <f>IFERROR(INDEX('Sales Roster &amp; Quotas'!$D$6:$D$20,MATCH($B21,'Sales Roster &amp; Quotas'!$B$6:$B$20,0)),"")</f>
        <v/>
      </c>
      <c r="E21" s="131" t="n">
        <v>46034</v>
      </c>
      <c r="F21" s="141">
        <f>TEXT(E21,"yyyy-mm")</f>
        <v/>
      </c>
      <c r="G21" s="141">
        <f>IF(MONTH(E21)&lt;=3,"Q1","Q2")</f>
        <v/>
      </c>
      <c r="H21" s="130" t="inlineStr">
        <is>
          <t>New Business</t>
        </is>
      </c>
      <c r="I21" s="130" t="inlineStr">
        <is>
          <t>Meadowbrook Insurance Group</t>
        </is>
      </c>
      <c r="J21" s="130" t="inlineStr">
        <is>
          <t>Policy Admin Core</t>
        </is>
      </c>
      <c r="K21" s="132" t="n">
        <v>29500</v>
      </c>
      <c r="L21" s="142">
        <f>IFERROR(INDEX('Sales Roster &amp; Quotas'!$G$6:$G$20,MATCH($B21,'Sales Roster &amp; Quotas'!$B$6:$B$20,0)),0)</f>
        <v/>
      </c>
      <c r="M21" s="143">
        <f>SUMIFS($K$5:$K$274,$B$5:$B$274,$B21,$G$5:$G$274,$G21,$H$5:$H$274,"New Business")</f>
        <v/>
      </c>
      <c r="N21" s="144">
        <f>IFERROR(M21/L21,0)</f>
        <v/>
      </c>
      <c r="O21" s="143">
        <f>MIN(M21,L21)</f>
        <v/>
      </c>
      <c r="P21" s="143">
        <f>MAX(MIN(M21,L21*1.25)-L21,0)</f>
        <v/>
      </c>
      <c r="Q21" s="143">
        <f>MAX(M21-L21*1.25,0)</f>
        <v/>
      </c>
      <c r="R21" s="142">
        <f>O21*'Commission Plan Rules'!$F$6+P21*'Commission Plan Rules'!$F$7+Q21*'Commission Plan Rules'!$F$8</f>
        <v/>
      </c>
      <c r="S21" s="145">
        <f>IF(H21="New Business",IFERROR((K21/M21)*R21,0),IF(H21="Upsell",K21*'Commission Plan Rules'!$F$9,IF(H21="Renewal",K21*'Commission Plan Rules'!$F$10,0)))</f>
        <v/>
      </c>
      <c r="T21" s="141">
        <f>COUNTIFS($F$5:$F$274,F21,$K$5:$K$274,"&gt;"&amp;K21)+1</f>
        <v/>
      </c>
      <c r="U21" s="141">
        <f>F21&amp;"|"&amp;T21</f>
        <v/>
      </c>
    </row>
    <row r="22" ht="15" customHeight="1" s="107">
      <c r="A22" s="133" t="inlineStr">
        <is>
          <t>D00087</t>
        </is>
      </c>
      <c r="B22" s="133" t="inlineStr">
        <is>
          <t>R005</t>
        </is>
      </c>
      <c r="C22" s="146">
        <f>IFERROR(INDEX('Sales Roster &amp; Quotas'!$C$6:$C$20,MATCH($B22,'Sales Roster &amp; Quotas'!$B$6:$B$20,0)),"")</f>
        <v/>
      </c>
      <c r="D22" s="146">
        <f>IFERROR(INDEX('Sales Roster &amp; Quotas'!$D$6:$D$20,MATCH($B22,'Sales Roster &amp; Quotas'!$B$6:$B$20,0)),"")</f>
        <v/>
      </c>
      <c r="E22" s="134" t="n">
        <v>46035</v>
      </c>
      <c r="F22" s="147">
        <f>TEXT(E22,"yyyy-mm")</f>
        <v/>
      </c>
      <c r="G22" s="147">
        <f>IF(MONTH(E22)&lt;=3,"Q1","Q2")</f>
        <v/>
      </c>
      <c r="H22" s="133" t="inlineStr">
        <is>
          <t>Upsell</t>
        </is>
      </c>
      <c r="I22" s="133" t="inlineStr">
        <is>
          <t>Overlook Insurance Brokers</t>
        </is>
      </c>
      <c r="J22" s="133" t="inlineStr">
        <is>
          <t>Claims Module</t>
        </is>
      </c>
      <c r="K22" s="135" t="n">
        <v>16000</v>
      </c>
      <c r="L22" s="148">
        <f>IFERROR(INDEX('Sales Roster &amp; Quotas'!$G$6:$G$20,MATCH($B22,'Sales Roster &amp; Quotas'!$B$6:$B$20,0)),0)</f>
        <v/>
      </c>
      <c r="M22" s="149">
        <f>SUMIFS($K$5:$K$274,$B$5:$B$274,$B22,$G$5:$G$274,$G22,$H$5:$H$274,"New Business")</f>
        <v/>
      </c>
      <c r="N22" s="150">
        <f>IFERROR(M22/L22,0)</f>
        <v/>
      </c>
      <c r="O22" s="149">
        <f>MIN(M22,L22)</f>
        <v/>
      </c>
      <c r="P22" s="149">
        <f>MAX(MIN(M22,L22*1.25)-L22,0)</f>
        <v/>
      </c>
      <c r="Q22" s="149">
        <f>MAX(M22-L22*1.25,0)</f>
        <v/>
      </c>
      <c r="R22" s="148">
        <f>O22*'Commission Plan Rules'!$F$6+P22*'Commission Plan Rules'!$F$7+Q22*'Commission Plan Rules'!$F$8</f>
        <v/>
      </c>
      <c r="S22" s="151">
        <f>IF(H22="New Business",IFERROR((K22/M22)*R22,0),IF(H22="Upsell",K22*'Commission Plan Rules'!$F$9,IF(H22="Renewal",K22*'Commission Plan Rules'!$F$10,0)))</f>
        <v/>
      </c>
      <c r="T22" s="141">
        <f>COUNTIFS($F$5:$F$274,F22,$K$5:$K$274,"&gt;"&amp;K22)+1</f>
        <v/>
      </c>
      <c r="U22" s="141">
        <f>F22&amp;"|"&amp;T22</f>
        <v/>
      </c>
    </row>
    <row r="23" ht="15" customHeight="1" s="107">
      <c r="A23" s="130" t="inlineStr">
        <is>
          <t>D00071</t>
        </is>
      </c>
      <c r="B23" s="130" t="inlineStr">
        <is>
          <t>R004</t>
        </is>
      </c>
      <c r="C23" s="140">
        <f>IFERROR(INDEX('Sales Roster &amp; Quotas'!$C$6:$C$20,MATCH($B23,'Sales Roster &amp; Quotas'!$B$6:$B$20,0)),"")</f>
        <v/>
      </c>
      <c r="D23" s="140">
        <f>IFERROR(INDEX('Sales Roster &amp; Quotas'!$D$6:$D$20,MATCH($B23,'Sales Roster &amp; Quotas'!$B$6:$B$20,0)),"")</f>
        <v/>
      </c>
      <c r="E23" s="131" t="n">
        <v>46035</v>
      </c>
      <c r="F23" s="141">
        <f>TEXT(E23,"yyyy-mm")</f>
        <v/>
      </c>
      <c r="G23" s="141">
        <f>IF(MONTH(E23)&lt;=3,"Q1","Q2")</f>
        <v/>
      </c>
      <c r="H23" s="130" t="inlineStr">
        <is>
          <t>Upsell</t>
        </is>
      </c>
      <c r="I23" s="130" t="inlineStr">
        <is>
          <t>Cedarline Insurance Solutions</t>
        </is>
      </c>
      <c r="J23" s="130" t="inlineStr">
        <is>
          <t>Analytics Add-On</t>
        </is>
      </c>
      <c r="K23" s="132" t="n">
        <v>8500</v>
      </c>
      <c r="L23" s="142">
        <f>IFERROR(INDEX('Sales Roster &amp; Quotas'!$G$6:$G$20,MATCH($B23,'Sales Roster &amp; Quotas'!$B$6:$B$20,0)),0)</f>
        <v/>
      </c>
      <c r="M23" s="143">
        <f>SUMIFS($K$5:$K$274,$B$5:$B$274,$B23,$G$5:$G$274,$G23,$H$5:$H$274,"New Business")</f>
        <v/>
      </c>
      <c r="N23" s="144">
        <f>IFERROR(M23/L23,0)</f>
        <v/>
      </c>
      <c r="O23" s="143">
        <f>MIN(M23,L23)</f>
        <v/>
      </c>
      <c r="P23" s="143">
        <f>MAX(MIN(M23,L23*1.25)-L23,0)</f>
        <v/>
      </c>
      <c r="Q23" s="143">
        <f>MAX(M23-L23*1.25,0)</f>
        <v/>
      </c>
      <c r="R23" s="142">
        <f>O23*'Commission Plan Rules'!$F$6+P23*'Commission Plan Rules'!$F$7+Q23*'Commission Plan Rules'!$F$8</f>
        <v/>
      </c>
      <c r="S23" s="145">
        <f>IF(H23="New Business",IFERROR((K23/M23)*R23,0),IF(H23="Upsell",K23*'Commission Plan Rules'!$F$9,IF(H23="Renewal",K23*'Commission Plan Rules'!$F$10,0)))</f>
        <v/>
      </c>
      <c r="T23" s="141">
        <f>COUNTIFS($F$5:$F$274,F23,$K$5:$K$274,"&gt;"&amp;K23)+1</f>
        <v/>
      </c>
      <c r="U23" s="141">
        <f>F23&amp;"|"&amp;T23</f>
        <v/>
      </c>
    </row>
    <row r="24" ht="15" customHeight="1" s="107">
      <c r="A24" s="133" t="inlineStr">
        <is>
          <t>D00052</t>
        </is>
      </c>
      <c r="B24" s="133" t="inlineStr">
        <is>
          <t>R003</t>
        </is>
      </c>
      <c r="C24" s="146">
        <f>IFERROR(INDEX('Sales Roster &amp; Quotas'!$C$6:$C$20,MATCH($B24,'Sales Roster &amp; Quotas'!$B$6:$B$20,0)),"")</f>
        <v/>
      </c>
      <c r="D24" s="146">
        <f>IFERROR(INDEX('Sales Roster &amp; Quotas'!$D$6:$D$20,MATCH($B24,'Sales Roster &amp; Quotas'!$B$6:$B$20,0)),"")</f>
        <v/>
      </c>
      <c r="E24" s="134" t="n">
        <v>46035</v>
      </c>
      <c r="F24" s="147">
        <f>TEXT(E24,"yyyy-mm")</f>
        <v/>
      </c>
      <c r="G24" s="147">
        <f>IF(MONTH(E24)&lt;=3,"Q1","Q2")</f>
        <v/>
      </c>
      <c r="H24" s="133" t="inlineStr">
        <is>
          <t>Renewal</t>
        </is>
      </c>
      <c r="I24" s="133" t="inlineStr">
        <is>
          <t>Northgate Insurance Brokers</t>
        </is>
      </c>
      <c r="J24" s="133" t="inlineStr">
        <is>
          <t>Policy Admin Core</t>
        </is>
      </c>
      <c r="K24" s="135" t="n">
        <v>5000</v>
      </c>
      <c r="L24" s="148">
        <f>IFERROR(INDEX('Sales Roster &amp; Quotas'!$G$6:$G$20,MATCH($B24,'Sales Roster &amp; Quotas'!$B$6:$B$20,0)),0)</f>
        <v/>
      </c>
      <c r="M24" s="149">
        <f>SUMIFS($K$5:$K$274,$B$5:$B$274,$B24,$G$5:$G$274,$G24,$H$5:$H$274,"New Business")</f>
        <v/>
      </c>
      <c r="N24" s="150">
        <f>IFERROR(M24/L24,0)</f>
        <v/>
      </c>
      <c r="O24" s="149">
        <f>MIN(M24,L24)</f>
        <v/>
      </c>
      <c r="P24" s="149">
        <f>MAX(MIN(M24,L24*1.25)-L24,0)</f>
        <v/>
      </c>
      <c r="Q24" s="149">
        <f>MAX(M24-L24*1.25,0)</f>
        <v/>
      </c>
      <c r="R24" s="148">
        <f>O24*'Commission Plan Rules'!$F$6+P24*'Commission Plan Rules'!$F$7+Q24*'Commission Plan Rules'!$F$8</f>
        <v/>
      </c>
      <c r="S24" s="151">
        <f>IF(H24="New Business",IFERROR((K24/M24)*R24,0),IF(H24="Upsell",K24*'Commission Plan Rules'!$F$9,IF(H24="Renewal",K24*'Commission Plan Rules'!$F$10,0)))</f>
        <v/>
      </c>
      <c r="T24" s="141">
        <f>COUNTIFS($F$5:$F$274,F24,$K$5:$K$274,"&gt;"&amp;K24)+1</f>
        <v/>
      </c>
      <c r="U24" s="141">
        <f>F24&amp;"|"&amp;T24</f>
        <v/>
      </c>
    </row>
    <row r="25" ht="15" customHeight="1" s="107">
      <c r="A25" s="130" t="inlineStr">
        <is>
          <t>D00044</t>
        </is>
      </c>
      <c r="B25" s="130" t="inlineStr">
        <is>
          <t>R003</t>
        </is>
      </c>
      <c r="C25" s="140">
        <f>IFERROR(INDEX('Sales Roster &amp; Quotas'!$C$6:$C$20,MATCH($B25,'Sales Roster &amp; Quotas'!$B$6:$B$20,0)),"")</f>
        <v/>
      </c>
      <c r="D25" s="140">
        <f>IFERROR(INDEX('Sales Roster &amp; Quotas'!$D$6:$D$20,MATCH($B25,'Sales Roster &amp; Quotas'!$B$6:$B$20,0)),"")</f>
        <v/>
      </c>
      <c r="E25" s="131" t="n">
        <v>46035</v>
      </c>
      <c r="F25" s="141">
        <f>TEXT(E25,"yyyy-mm")</f>
        <v/>
      </c>
      <c r="G25" s="141">
        <f>IF(MONTH(E25)&lt;=3,"Q1","Q2")</f>
        <v/>
      </c>
      <c r="H25" s="130" t="inlineStr">
        <is>
          <t>New Business</t>
        </is>
      </c>
      <c r="I25" s="130" t="inlineStr">
        <is>
          <t>Prairie Insurance Brokers</t>
        </is>
      </c>
      <c r="J25" s="130" t="inlineStr">
        <is>
          <t>Policy Admin Core</t>
        </is>
      </c>
      <c r="K25" s="132" t="n">
        <v>7500</v>
      </c>
      <c r="L25" s="142">
        <f>IFERROR(INDEX('Sales Roster &amp; Quotas'!$G$6:$G$20,MATCH($B25,'Sales Roster &amp; Quotas'!$B$6:$B$20,0)),0)</f>
        <v/>
      </c>
      <c r="M25" s="143">
        <f>SUMIFS($K$5:$K$274,$B$5:$B$274,$B25,$G$5:$G$274,$G25,$H$5:$H$274,"New Business")</f>
        <v/>
      </c>
      <c r="N25" s="144">
        <f>IFERROR(M25/L25,0)</f>
        <v/>
      </c>
      <c r="O25" s="143">
        <f>MIN(M25,L25)</f>
        <v/>
      </c>
      <c r="P25" s="143">
        <f>MAX(MIN(M25,L25*1.25)-L25,0)</f>
        <v/>
      </c>
      <c r="Q25" s="143">
        <f>MAX(M25-L25*1.25,0)</f>
        <v/>
      </c>
      <c r="R25" s="142">
        <f>O25*'Commission Plan Rules'!$F$6+P25*'Commission Plan Rules'!$F$7+Q25*'Commission Plan Rules'!$F$8</f>
        <v/>
      </c>
      <c r="S25" s="145">
        <f>IF(H25="New Business",IFERROR((K25/M25)*R25,0),IF(H25="Upsell",K25*'Commission Plan Rules'!$F$9,IF(H25="Renewal",K25*'Commission Plan Rules'!$F$10,0)))</f>
        <v/>
      </c>
      <c r="T25" s="141">
        <f>COUNTIFS($F$5:$F$274,F25,$K$5:$K$274,"&gt;"&amp;K25)+1</f>
        <v/>
      </c>
      <c r="U25" s="141">
        <f>F25&amp;"|"&amp;T25</f>
        <v/>
      </c>
    </row>
    <row r="26" ht="15" customHeight="1" s="107">
      <c r="A26" s="133" t="inlineStr">
        <is>
          <t>D00074</t>
        </is>
      </c>
      <c r="B26" s="133" t="inlineStr">
        <is>
          <t>R004</t>
        </is>
      </c>
      <c r="C26" s="146">
        <f>IFERROR(INDEX('Sales Roster &amp; Quotas'!$C$6:$C$20,MATCH($B26,'Sales Roster &amp; Quotas'!$B$6:$B$20,0)),"")</f>
        <v/>
      </c>
      <c r="D26" s="146">
        <f>IFERROR(INDEX('Sales Roster &amp; Quotas'!$D$6:$D$20,MATCH($B26,'Sales Roster &amp; Quotas'!$B$6:$B$20,0)),"")</f>
        <v/>
      </c>
      <c r="E26" s="134" t="n">
        <v>46036</v>
      </c>
      <c r="F26" s="147">
        <f>TEXT(E26,"yyyy-mm")</f>
        <v/>
      </c>
      <c r="G26" s="147">
        <f>IF(MONTH(E26)&lt;=3,"Q1","Q2")</f>
        <v/>
      </c>
      <c r="H26" s="133" t="inlineStr">
        <is>
          <t>Renewal</t>
        </is>
      </c>
      <c r="I26" s="133" t="inlineStr">
        <is>
          <t>Granite Coverage Partners</t>
        </is>
      </c>
      <c r="J26" s="133" t="inlineStr">
        <is>
          <t>Client Portal</t>
        </is>
      </c>
      <c r="K26" s="135" t="n">
        <v>19000</v>
      </c>
      <c r="L26" s="148">
        <f>IFERROR(INDEX('Sales Roster &amp; Quotas'!$G$6:$G$20,MATCH($B26,'Sales Roster &amp; Quotas'!$B$6:$B$20,0)),0)</f>
        <v/>
      </c>
      <c r="M26" s="149">
        <f>SUMIFS($K$5:$K$274,$B$5:$B$274,$B26,$G$5:$G$274,$G26,$H$5:$H$274,"New Business")</f>
        <v/>
      </c>
      <c r="N26" s="150">
        <f>IFERROR(M26/L26,0)</f>
        <v/>
      </c>
      <c r="O26" s="149">
        <f>MIN(M26,L26)</f>
        <v/>
      </c>
      <c r="P26" s="149">
        <f>MAX(MIN(M26,L26*1.25)-L26,0)</f>
        <v/>
      </c>
      <c r="Q26" s="149">
        <f>MAX(M26-L26*1.25,0)</f>
        <v/>
      </c>
      <c r="R26" s="148">
        <f>O26*'Commission Plan Rules'!$F$6+P26*'Commission Plan Rules'!$F$7+Q26*'Commission Plan Rules'!$F$8</f>
        <v/>
      </c>
      <c r="S26" s="151">
        <f>IF(H26="New Business",IFERROR((K26/M26)*R26,0),IF(H26="Upsell",K26*'Commission Plan Rules'!$F$9,IF(H26="Renewal",K26*'Commission Plan Rules'!$F$10,0)))</f>
        <v/>
      </c>
      <c r="T26" s="141">
        <f>COUNTIFS($F$5:$F$274,F26,$K$5:$K$274,"&gt;"&amp;K26)+1</f>
        <v/>
      </c>
      <c r="U26" s="141">
        <f>F26&amp;"|"&amp;T26</f>
        <v/>
      </c>
    </row>
    <row r="27" ht="15" customHeight="1" s="107">
      <c r="A27" s="130" t="inlineStr">
        <is>
          <t>D00220</t>
        </is>
      </c>
      <c r="B27" s="130" t="inlineStr">
        <is>
          <t>R012</t>
        </is>
      </c>
      <c r="C27" s="140">
        <f>IFERROR(INDEX('Sales Roster &amp; Quotas'!$C$6:$C$20,MATCH($B27,'Sales Roster &amp; Quotas'!$B$6:$B$20,0)),"")</f>
        <v/>
      </c>
      <c r="D27" s="140">
        <f>IFERROR(INDEX('Sales Roster &amp; Quotas'!$D$6:$D$20,MATCH($B27,'Sales Roster &amp; Quotas'!$B$6:$B$20,0)),"")</f>
        <v/>
      </c>
      <c r="E27" s="131" t="n">
        <v>46036</v>
      </c>
      <c r="F27" s="141">
        <f>TEXT(E27,"yyyy-mm")</f>
        <v/>
      </c>
      <c r="G27" s="141">
        <f>IF(MONTH(E27)&lt;=3,"Q1","Q2")</f>
        <v/>
      </c>
      <c r="H27" s="130" t="inlineStr">
        <is>
          <t>Upsell</t>
        </is>
      </c>
      <c r="I27" s="130" t="inlineStr">
        <is>
          <t>Anchor Insurance Group</t>
        </is>
      </c>
      <c r="J27" s="130" t="inlineStr">
        <is>
          <t>Analytics Add-On</t>
        </is>
      </c>
      <c r="K27" s="132" t="n">
        <v>18000</v>
      </c>
      <c r="L27" s="142">
        <f>IFERROR(INDEX('Sales Roster &amp; Quotas'!$G$6:$G$20,MATCH($B27,'Sales Roster &amp; Quotas'!$B$6:$B$20,0)),0)</f>
        <v/>
      </c>
      <c r="M27" s="143">
        <f>SUMIFS($K$5:$K$274,$B$5:$B$274,$B27,$G$5:$G$274,$G27,$H$5:$H$274,"New Business")</f>
        <v/>
      </c>
      <c r="N27" s="144">
        <f>IFERROR(M27/L27,0)</f>
        <v/>
      </c>
      <c r="O27" s="143">
        <f>MIN(M27,L27)</f>
        <v/>
      </c>
      <c r="P27" s="143">
        <f>MAX(MIN(M27,L27*1.25)-L27,0)</f>
        <v/>
      </c>
      <c r="Q27" s="143">
        <f>MAX(M27-L27*1.25,0)</f>
        <v/>
      </c>
      <c r="R27" s="142">
        <f>O27*'Commission Plan Rules'!$F$6+P27*'Commission Plan Rules'!$F$7+Q27*'Commission Plan Rules'!$F$8</f>
        <v/>
      </c>
      <c r="S27" s="145">
        <f>IF(H27="New Business",IFERROR((K27/M27)*R27,0),IF(H27="Upsell",K27*'Commission Plan Rules'!$F$9,IF(H27="Renewal",K27*'Commission Plan Rules'!$F$10,0)))</f>
        <v/>
      </c>
      <c r="T27" s="141">
        <f>COUNTIFS($F$5:$F$274,F27,$K$5:$K$274,"&gt;"&amp;K27)+1</f>
        <v/>
      </c>
      <c r="U27" s="141">
        <f>F27&amp;"|"&amp;T27</f>
        <v/>
      </c>
    </row>
    <row r="28" ht="15" customHeight="1" s="107">
      <c r="A28" s="133" t="inlineStr">
        <is>
          <t>D00070</t>
        </is>
      </c>
      <c r="B28" s="133" t="inlineStr">
        <is>
          <t>R004</t>
        </is>
      </c>
      <c r="C28" s="146">
        <f>IFERROR(INDEX('Sales Roster &amp; Quotas'!$C$6:$C$20,MATCH($B28,'Sales Roster &amp; Quotas'!$B$6:$B$20,0)),"")</f>
        <v/>
      </c>
      <c r="D28" s="146">
        <f>IFERROR(INDEX('Sales Roster &amp; Quotas'!$D$6:$D$20,MATCH($B28,'Sales Roster &amp; Quotas'!$B$6:$B$20,0)),"")</f>
        <v/>
      </c>
      <c r="E28" s="134" t="n">
        <v>46036</v>
      </c>
      <c r="F28" s="147">
        <f>TEXT(E28,"yyyy-mm")</f>
        <v/>
      </c>
      <c r="G28" s="147">
        <f>IF(MONTH(E28)&lt;=3,"Q1","Q2")</f>
        <v/>
      </c>
      <c r="H28" s="133" t="inlineStr">
        <is>
          <t>Upsell</t>
        </is>
      </c>
      <c r="I28" s="133" t="inlineStr">
        <is>
          <t>Ironwood Underwriters</t>
        </is>
      </c>
      <c r="J28" s="133" t="inlineStr">
        <is>
          <t>Claims Module</t>
        </is>
      </c>
      <c r="K28" s="135" t="n">
        <v>16000</v>
      </c>
      <c r="L28" s="148">
        <f>IFERROR(INDEX('Sales Roster &amp; Quotas'!$G$6:$G$20,MATCH($B28,'Sales Roster &amp; Quotas'!$B$6:$B$20,0)),0)</f>
        <v/>
      </c>
      <c r="M28" s="149">
        <f>SUMIFS($K$5:$K$274,$B$5:$B$274,$B28,$G$5:$G$274,$G28,$H$5:$H$274,"New Business")</f>
        <v/>
      </c>
      <c r="N28" s="150">
        <f>IFERROR(M28/L28,0)</f>
        <v/>
      </c>
      <c r="O28" s="149">
        <f>MIN(M28,L28)</f>
        <v/>
      </c>
      <c r="P28" s="149">
        <f>MAX(MIN(M28,L28*1.25)-L28,0)</f>
        <v/>
      </c>
      <c r="Q28" s="149">
        <f>MAX(M28-L28*1.25,0)</f>
        <v/>
      </c>
      <c r="R28" s="148">
        <f>O28*'Commission Plan Rules'!$F$6+P28*'Commission Plan Rules'!$F$7+Q28*'Commission Plan Rules'!$F$8</f>
        <v/>
      </c>
      <c r="S28" s="151">
        <f>IF(H28="New Business",IFERROR((K28/M28)*R28,0),IF(H28="Upsell",K28*'Commission Plan Rules'!$F$9,IF(H28="Renewal",K28*'Commission Plan Rules'!$F$10,0)))</f>
        <v/>
      </c>
      <c r="T28" s="141">
        <f>COUNTIFS($F$5:$F$274,F28,$K$5:$K$274,"&gt;"&amp;K28)+1</f>
        <v/>
      </c>
      <c r="U28" s="141">
        <f>F28&amp;"|"&amp;T28</f>
        <v/>
      </c>
    </row>
    <row r="29" ht="15" customHeight="1" s="107">
      <c r="A29" s="130" t="inlineStr">
        <is>
          <t>D00205</t>
        </is>
      </c>
      <c r="B29" s="130" t="inlineStr">
        <is>
          <t>R011</t>
        </is>
      </c>
      <c r="C29" s="140">
        <f>IFERROR(INDEX('Sales Roster &amp; Quotas'!$C$6:$C$20,MATCH($B29,'Sales Roster &amp; Quotas'!$B$6:$B$20,0)),"")</f>
        <v/>
      </c>
      <c r="D29" s="140">
        <f>IFERROR(INDEX('Sales Roster &amp; Quotas'!$D$6:$D$20,MATCH($B29,'Sales Roster &amp; Quotas'!$B$6:$B$20,0)),"")</f>
        <v/>
      </c>
      <c r="E29" s="131" t="n">
        <v>46038</v>
      </c>
      <c r="F29" s="141">
        <f>TEXT(E29,"yyyy-mm")</f>
        <v/>
      </c>
      <c r="G29" s="141">
        <f>IF(MONTH(E29)&lt;=3,"Q1","Q2")</f>
        <v/>
      </c>
      <c r="H29" s="130" t="inlineStr">
        <is>
          <t>Renewal</t>
        </is>
      </c>
      <c r="I29" s="130" t="inlineStr">
        <is>
          <t>Fieldstone Insurance Brokers</t>
        </is>
      </c>
      <c r="J29" s="130" t="inlineStr">
        <is>
          <t>Policy Admin Core</t>
        </is>
      </c>
      <c r="K29" s="132" t="n">
        <v>28500</v>
      </c>
      <c r="L29" s="142">
        <f>IFERROR(INDEX('Sales Roster &amp; Quotas'!$G$6:$G$20,MATCH($B29,'Sales Roster &amp; Quotas'!$B$6:$B$20,0)),0)</f>
        <v/>
      </c>
      <c r="M29" s="143">
        <f>SUMIFS($K$5:$K$274,$B$5:$B$274,$B29,$G$5:$G$274,$G29,$H$5:$H$274,"New Business")</f>
        <v/>
      </c>
      <c r="N29" s="144">
        <f>IFERROR(M29/L29,0)</f>
        <v/>
      </c>
      <c r="O29" s="143">
        <f>MIN(M29,L29)</f>
        <v/>
      </c>
      <c r="P29" s="143">
        <f>MAX(MIN(M29,L29*1.25)-L29,0)</f>
        <v/>
      </c>
      <c r="Q29" s="143">
        <f>MAX(M29-L29*1.25,0)</f>
        <v/>
      </c>
      <c r="R29" s="142">
        <f>O29*'Commission Plan Rules'!$F$6+P29*'Commission Plan Rules'!$F$7+Q29*'Commission Plan Rules'!$F$8</f>
        <v/>
      </c>
      <c r="S29" s="145">
        <f>IF(H29="New Business",IFERROR((K29/M29)*R29,0),IF(H29="Upsell",K29*'Commission Plan Rules'!$F$9,IF(H29="Renewal",K29*'Commission Plan Rules'!$F$10,0)))</f>
        <v/>
      </c>
      <c r="T29" s="141">
        <f>COUNTIFS($F$5:$F$274,F29,$K$5:$K$274,"&gt;"&amp;K29)+1</f>
        <v/>
      </c>
      <c r="U29" s="141">
        <f>F29&amp;"|"&amp;T29</f>
        <v/>
      </c>
    </row>
    <row r="30" ht="15" customHeight="1" s="107">
      <c r="A30" s="133" t="inlineStr">
        <is>
          <t>D00216</t>
        </is>
      </c>
      <c r="B30" s="133" t="inlineStr">
        <is>
          <t>R012</t>
        </is>
      </c>
      <c r="C30" s="146">
        <f>IFERROR(INDEX('Sales Roster &amp; Quotas'!$C$6:$C$20,MATCH($B30,'Sales Roster &amp; Quotas'!$B$6:$B$20,0)),"")</f>
        <v/>
      </c>
      <c r="D30" s="146">
        <f>IFERROR(INDEX('Sales Roster &amp; Quotas'!$D$6:$D$20,MATCH($B30,'Sales Roster &amp; Quotas'!$B$6:$B$20,0)),"")</f>
        <v/>
      </c>
      <c r="E30" s="134" t="n">
        <v>46039</v>
      </c>
      <c r="F30" s="147">
        <f>TEXT(E30,"yyyy-mm")</f>
        <v/>
      </c>
      <c r="G30" s="147">
        <f>IF(MONTH(E30)&lt;=3,"Q1","Q2")</f>
        <v/>
      </c>
      <c r="H30" s="133" t="inlineStr">
        <is>
          <t>New Business</t>
        </is>
      </c>
      <c r="I30" s="133" t="inlineStr">
        <is>
          <t>Beacon Agency Partners</t>
        </is>
      </c>
      <c r="J30" s="133" t="inlineStr">
        <is>
          <t>Claims Module</t>
        </is>
      </c>
      <c r="K30" s="135" t="n">
        <v>121500</v>
      </c>
      <c r="L30" s="148">
        <f>IFERROR(INDEX('Sales Roster &amp; Quotas'!$G$6:$G$20,MATCH($B30,'Sales Roster &amp; Quotas'!$B$6:$B$20,0)),0)</f>
        <v/>
      </c>
      <c r="M30" s="149">
        <f>SUMIFS($K$5:$K$274,$B$5:$B$274,$B30,$G$5:$G$274,$G30,$H$5:$H$274,"New Business")</f>
        <v/>
      </c>
      <c r="N30" s="150">
        <f>IFERROR(M30/L30,0)</f>
        <v/>
      </c>
      <c r="O30" s="149">
        <f>MIN(M30,L30)</f>
        <v/>
      </c>
      <c r="P30" s="149">
        <f>MAX(MIN(M30,L30*1.25)-L30,0)</f>
        <v/>
      </c>
      <c r="Q30" s="149">
        <f>MAX(M30-L30*1.25,0)</f>
        <v/>
      </c>
      <c r="R30" s="148">
        <f>O30*'Commission Plan Rules'!$F$6+P30*'Commission Plan Rules'!$F$7+Q30*'Commission Plan Rules'!$F$8</f>
        <v/>
      </c>
      <c r="S30" s="151">
        <f>IF(H30="New Business",IFERROR((K30/M30)*R30,0),IF(H30="Upsell",K30*'Commission Plan Rules'!$F$9,IF(H30="Renewal",K30*'Commission Plan Rules'!$F$10,0)))</f>
        <v/>
      </c>
      <c r="T30" s="141">
        <f>COUNTIFS($F$5:$F$274,F30,$K$5:$K$274,"&gt;"&amp;K30)+1</f>
        <v/>
      </c>
      <c r="U30" s="141">
        <f>F30&amp;"|"&amp;T30</f>
        <v/>
      </c>
    </row>
    <row r="31" ht="15" customHeight="1" s="107">
      <c r="A31" s="130" t="inlineStr">
        <is>
          <t>D00248</t>
        </is>
      </c>
      <c r="B31" s="130" t="inlineStr">
        <is>
          <t>R014</t>
        </is>
      </c>
      <c r="C31" s="140">
        <f>IFERROR(INDEX('Sales Roster &amp; Quotas'!$C$6:$C$20,MATCH($B31,'Sales Roster &amp; Quotas'!$B$6:$B$20,0)),"")</f>
        <v/>
      </c>
      <c r="D31" s="140">
        <f>IFERROR(INDEX('Sales Roster &amp; Quotas'!$D$6:$D$20,MATCH($B31,'Sales Roster &amp; Quotas'!$B$6:$B$20,0)),"")</f>
        <v/>
      </c>
      <c r="E31" s="131" t="n">
        <v>46039</v>
      </c>
      <c r="F31" s="141">
        <f>TEXT(E31,"yyyy-mm")</f>
        <v/>
      </c>
      <c r="G31" s="141">
        <f>IF(MONTH(E31)&lt;=3,"Q1","Q2")</f>
        <v/>
      </c>
      <c r="H31" s="130" t="inlineStr">
        <is>
          <t>Upsell</t>
        </is>
      </c>
      <c r="I31" s="130" t="inlineStr">
        <is>
          <t>Vantage Risk Advisors</t>
        </is>
      </c>
      <c r="J31" s="130" t="inlineStr">
        <is>
          <t>Claims Module</t>
        </is>
      </c>
      <c r="K31" s="132" t="n">
        <v>51000</v>
      </c>
      <c r="L31" s="142">
        <f>IFERROR(INDEX('Sales Roster &amp; Quotas'!$G$6:$G$20,MATCH($B31,'Sales Roster &amp; Quotas'!$B$6:$B$20,0)),0)</f>
        <v/>
      </c>
      <c r="M31" s="143">
        <f>SUMIFS($K$5:$K$274,$B$5:$B$274,$B31,$G$5:$G$274,$G31,$H$5:$H$274,"New Business")</f>
        <v/>
      </c>
      <c r="N31" s="144">
        <f>IFERROR(M31/L31,0)</f>
        <v/>
      </c>
      <c r="O31" s="143">
        <f>MIN(M31,L31)</f>
        <v/>
      </c>
      <c r="P31" s="143">
        <f>MAX(MIN(M31,L31*1.25)-L31,0)</f>
        <v/>
      </c>
      <c r="Q31" s="143">
        <f>MAX(M31-L31*1.25,0)</f>
        <v/>
      </c>
      <c r="R31" s="142">
        <f>O31*'Commission Plan Rules'!$F$6+P31*'Commission Plan Rules'!$F$7+Q31*'Commission Plan Rules'!$F$8</f>
        <v/>
      </c>
      <c r="S31" s="145">
        <f>IF(H31="New Business",IFERROR((K31/M31)*R31,0),IF(H31="Upsell",K31*'Commission Plan Rules'!$F$9,IF(H31="Renewal",K31*'Commission Plan Rules'!$F$10,0)))</f>
        <v/>
      </c>
      <c r="T31" s="141">
        <f>COUNTIFS($F$5:$F$274,F31,$K$5:$K$274,"&gt;"&amp;K31)+1</f>
        <v/>
      </c>
      <c r="U31" s="141">
        <f>F31&amp;"|"&amp;T31</f>
        <v/>
      </c>
    </row>
    <row r="32" ht="15" customHeight="1" s="107">
      <c r="A32" s="133" t="inlineStr">
        <is>
          <t>D00168</t>
        </is>
      </c>
      <c r="B32" s="133" t="inlineStr">
        <is>
          <t>R009</t>
        </is>
      </c>
      <c r="C32" s="146">
        <f>IFERROR(INDEX('Sales Roster &amp; Quotas'!$C$6:$C$20,MATCH($B32,'Sales Roster &amp; Quotas'!$B$6:$B$20,0)),"")</f>
        <v/>
      </c>
      <c r="D32" s="146">
        <f>IFERROR(INDEX('Sales Roster &amp; Quotas'!$D$6:$D$20,MATCH($B32,'Sales Roster &amp; Quotas'!$B$6:$B$20,0)),"")</f>
        <v/>
      </c>
      <c r="E32" s="134" t="n">
        <v>46039</v>
      </c>
      <c r="F32" s="147">
        <f>TEXT(E32,"yyyy-mm")</f>
        <v/>
      </c>
      <c r="G32" s="147">
        <f>IF(MONTH(E32)&lt;=3,"Q1","Q2")</f>
        <v/>
      </c>
      <c r="H32" s="133" t="inlineStr">
        <is>
          <t>Renewal</t>
        </is>
      </c>
      <c r="I32" s="133" t="inlineStr">
        <is>
          <t>Prairie Insurance Group</t>
        </is>
      </c>
      <c r="J32" s="133" t="inlineStr">
        <is>
          <t>Client Portal</t>
        </is>
      </c>
      <c r="K32" s="135" t="n">
        <v>18500</v>
      </c>
      <c r="L32" s="148">
        <f>IFERROR(INDEX('Sales Roster &amp; Quotas'!$G$6:$G$20,MATCH($B32,'Sales Roster &amp; Quotas'!$B$6:$B$20,0)),0)</f>
        <v/>
      </c>
      <c r="M32" s="149">
        <f>SUMIFS($K$5:$K$274,$B$5:$B$274,$B32,$G$5:$G$274,$G32,$H$5:$H$274,"New Business")</f>
        <v/>
      </c>
      <c r="N32" s="150">
        <f>IFERROR(M32/L32,0)</f>
        <v/>
      </c>
      <c r="O32" s="149">
        <f>MIN(M32,L32)</f>
        <v/>
      </c>
      <c r="P32" s="149">
        <f>MAX(MIN(M32,L32*1.25)-L32,0)</f>
        <v/>
      </c>
      <c r="Q32" s="149">
        <f>MAX(M32-L32*1.25,0)</f>
        <v/>
      </c>
      <c r="R32" s="148">
        <f>O32*'Commission Plan Rules'!$F$6+P32*'Commission Plan Rules'!$F$7+Q32*'Commission Plan Rules'!$F$8</f>
        <v/>
      </c>
      <c r="S32" s="151">
        <f>IF(H32="New Business",IFERROR((K32/M32)*R32,0),IF(H32="Upsell",K32*'Commission Plan Rules'!$F$9,IF(H32="Renewal",K32*'Commission Plan Rules'!$F$10,0)))</f>
        <v/>
      </c>
      <c r="T32" s="141">
        <f>COUNTIFS($F$5:$F$274,F32,$K$5:$K$274,"&gt;"&amp;K32)+1</f>
        <v/>
      </c>
      <c r="U32" s="141">
        <f>F32&amp;"|"&amp;T32</f>
        <v/>
      </c>
    </row>
    <row r="33" ht="15" customHeight="1" s="107">
      <c r="A33" s="130" t="inlineStr">
        <is>
          <t>D00264</t>
        </is>
      </c>
      <c r="B33" s="130" t="inlineStr">
        <is>
          <t>R015</t>
        </is>
      </c>
      <c r="C33" s="140">
        <f>IFERROR(INDEX('Sales Roster &amp; Quotas'!$C$6:$C$20,MATCH($B33,'Sales Roster &amp; Quotas'!$B$6:$B$20,0)),"")</f>
        <v/>
      </c>
      <c r="D33" s="140">
        <f>IFERROR(INDEX('Sales Roster &amp; Quotas'!$D$6:$D$20,MATCH($B33,'Sales Roster &amp; Quotas'!$B$6:$B$20,0)),"")</f>
        <v/>
      </c>
      <c r="E33" s="131" t="n">
        <v>46039</v>
      </c>
      <c r="F33" s="141">
        <f>TEXT(E33,"yyyy-mm")</f>
        <v/>
      </c>
      <c r="G33" s="141">
        <f>IF(MONTH(E33)&lt;=3,"Q1","Q2")</f>
        <v/>
      </c>
      <c r="H33" s="130" t="inlineStr">
        <is>
          <t>Renewal</t>
        </is>
      </c>
      <c r="I33" s="130" t="inlineStr">
        <is>
          <t>Beacon Agency Partners</t>
        </is>
      </c>
      <c r="J33" s="130" t="inlineStr">
        <is>
          <t>Client Portal</t>
        </is>
      </c>
      <c r="K33" s="132" t="n">
        <v>30500</v>
      </c>
      <c r="L33" s="142">
        <f>IFERROR(INDEX('Sales Roster &amp; Quotas'!$G$6:$G$20,MATCH($B33,'Sales Roster &amp; Quotas'!$B$6:$B$20,0)),0)</f>
        <v/>
      </c>
      <c r="M33" s="143">
        <f>SUMIFS($K$5:$K$274,$B$5:$B$274,$B33,$G$5:$G$274,$G33,$H$5:$H$274,"New Business")</f>
        <v/>
      </c>
      <c r="N33" s="144">
        <f>IFERROR(M33/L33,0)</f>
        <v/>
      </c>
      <c r="O33" s="143">
        <f>MIN(M33,L33)</f>
        <v/>
      </c>
      <c r="P33" s="143">
        <f>MAX(MIN(M33,L33*1.25)-L33,0)</f>
        <v/>
      </c>
      <c r="Q33" s="143">
        <f>MAX(M33-L33*1.25,0)</f>
        <v/>
      </c>
      <c r="R33" s="142">
        <f>O33*'Commission Plan Rules'!$F$6+P33*'Commission Plan Rules'!$F$7+Q33*'Commission Plan Rules'!$F$8</f>
        <v/>
      </c>
      <c r="S33" s="145">
        <f>IF(H33="New Business",IFERROR((K33/M33)*R33,0),IF(H33="Upsell",K33*'Commission Plan Rules'!$F$9,IF(H33="Renewal",K33*'Commission Plan Rules'!$F$10,0)))</f>
        <v/>
      </c>
      <c r="T33" s="141">
        <f>COUNTIFS($F$5:$F$274,F33,$K$5:$K$274,"&gt;"&amp;K33)+1</f>
        <v/>
      </c>
      <c r="U33" s="141">
        <f>F33&amp;"|"&amp;T33</f>
        <v/>
      </c>
    </row>
    <row r="34" ht="15" customHeight="1" s="107">
      <c r="A34" s="133" t="inlineStr">
        <is>
          <t>D00132</t>
        </is>
      </c>
      <c r="B34" s="133" t="inlineStr">
        <is>
          <t>R007</t>
        </is>
      </c>
      <c r="C34" s="146">
        <f>IFERROR(INDEX('Sales Roster &amp; Quotas'!$C$6:$C$20,MATCH($B34,'Sales Roster &amp; Quotas'!$B$6:$B$20,0)),"")</f>
        <v/>
      </c>
      <c r="D34" s="146">
        <f>IFERROR(INDEX('Sales Roster &amp; Quotas'!$D$6:$D$20,MATCH($B34,'Sales Roster &amp; Quotas'!$B$6:$B$20,0)),"")</f>
        <v/>
      </c>
      <c r="E34" s="134" t="n">
        <v>46039</v>
      </c>
      <c r="F34" s="147">
        <f>TEXT(E34,"yyyy-mm")</f>
        <v/>
      </c>
      <c r="G34" s="147">
        <f>IF(MONTH(E34)&lt;=3,"Q1","Q2")</f>
        <v/>
      </c>
      <c r="H34" s="133" t="inlineStr">
        <is>
          <t>Upsell</t>
        </is>
      </c>
      <c r="I34" s="133" t="inlineStr">
        <is>
          <t>Harborview Underwriters</t>
        </is>
      </c>
      <c r="J34" s="133" t="inlineStr">
        <is>
          <t>Policy Admin Core</t>
        </is>
      </c>
      <c r="K34" s="135" t="n">
        <v>51500</v>
      </c>
      <c r="L34" s="148">
        <f>IFERROR(INDEX('Sales Roster &amp; Quotas'!$G$6:$G$20,MATCH($B34,'Sales Roster &amp; Quotas'!$B$6:$B$20,0)),0)</f>
        <v/>
      </c>
      <c r="M34" s="149">
        <f>SUMIFS($K$5:$K$274,$B$5:$B$274,$B34,$G$5:$G$274,$G34,$H$5:$H$274,"New Business")</f>
        <v/>
      </c>
      <c r="N34" s="150">
        <f>IFERROR(M34/L34,0)</f>
        <v/>
      </c>
      <c r="O34" s="149">
        <f>MIN(M34,L34)</f>
        <v/>
      </c>
      <c r="P34" s="149">
        <f>MAX(MIN(M34,L34*1.25)-L34,0)</f>
        <v/>
      </c>
      <c r="Q34" s="149">
        <f>MAX(M34-L34*1.25,0)</f>
        <v/>
      </c>
      <c r="R34" s="148">
        <f>O34*'Commission Plan Rules'!$F$6+P34*'Commission Plan Rules'!$F$7+Q34*'Commission Plan Rules'!$F$8</f>
        <v/>
      </c>
      <c r="S34" s="151">
        <f>IF(H34="New Business",IFERROR((K34/M34)*R34,0),IF(H34="Upsell",K34*'Commission Plan Rules'!$F$9,IF(H34="Renewal",K34*'Commission Plan Rules'!$F$10,0)))</f>
        <v/>
      </c>
      <c r="T34" s="141">
        <f>COUNTIFS($F$5:$F$274,F34,$K$5:$K$274,"&gt;"&amp;K34)+1</f>
        <v/>
      </c>
      <c r="U34" s="141">
        <f>F34&amp;"|"&amp;T34</f>
        <v/>
      </c>
    </row>
    <row r="35" ht="15" customHeight="1" s="107">
      <c r="A35" s="130" t="inlineStr">
        <is>
          <t>D00199</t>
        </is>
      </c>
      <c r="B35" s="130" t="inlineStr">
        <is>
          <t>R011</t>
        </is>
      </c>
      <c r="C35" s="140">
        <f>IFERROR(INDEX('Sales Roster &amp; Quotas'!$C$6:$C$20,MATCH($B35,'Sales Roster &amp; Quotas'!$B$6:$B$20,0)),"")</f>
        <v/>
      </c>
      <c r="D35" s="140">
        <f>IFERROR(INDEX('Sales Roster &amp; Quotas'!$D$6:$D$20,MATCH($B35,'Sales Roster &amp; Quotas'!$B$6:$B$20,0)),"")</f>
        <v/>
      </c>
      <c r="E35" s="131" t="n">
        <v>46041</v>
      </c>
      <c r="F35" s="141">
        <f>TEXT(E35,"yyyy-mm")</f>
        <v/>
      </c>
      <c r="G35" s="141">
        <f>IF(MONTH(E35)&lt;=3,"Q1","Q2")</f>
        <v/>
      </c>
      <c r="H35" s="130" t="inlineStr">
        <is>
          <t>Upsell</t>
        </is>
      </c>
      <c r="I35" s="130" t="inlineStr">
        <is>
          <t>Vantage Risk Advisors</t>
        </is>
      </c>
      <c r="J35" s="130" t="inlineStr">
        <is>
          <t>Claims Module</t>
        </is>
      </c>
      <c r="K35" s="132" t="n">
        <v>19500</v>
      </c>
      <c r="L35" s="142">
        <f>IFERROR(INDEX('Sales Roster &amp; Quotas'!$G$6:$G$20,MATCH($B35,'Sales Roster &amp; Quotas'!$B$6:$B$20,0)),0)</f>
        <v/>
      </c>
      <c r="M35" s="143">
        <f>SUMIFS($K$5:$K$274,$B$5:$B$274,$B35,$G$5:$G$274,$G35,$H$5:$H$274,"New Business")</f>
        <v/>
      </c>
      <c r="N35" s="144">
        <f>IFERROR(M35/L35,0)</f>
        <v/>
      </c>
      <c r="O35" s="143">
        <f>MIN(M35,L35)</f>
        <v/>
      </c>
      <c r="P35" s="143">
        <f>MAX(MIN(M35,L35*1.25)-L35,0)</f>
        <v/>
      </c>
      <c r="Q35" s="143">
        <f>MAX(M35-L35*1.25,0)</f>
        <v/>
      </c>
      <c r="R35" s="142">
        <f>O35*'Commission Plan Rules'!$F$6+P35*'Commission Plan Rules'!$F$7+Q35*'Commission Plan Rules'!$F$8</f>
        <v/>
      </c>
      <c r="S35" s="145">
        <f>IF(H35="New Business",IFERROR((K35/M35)*R35,0),IF(H35="Upsell",K35*'Commission Plan Rules'!$F$9,IF(H35="Renewal",K35*'Commission Plan Rules'!$F$10,0)))</f>
        <v/>
      </c>
      <c r="T35" s="141">
        <f>COUNTIFS($F$5:$F$274,F35,$K$5:$K$274,"&gt;"&amp;K35)+1</f>
        <v/>
      </c>
      <c r="U35" s="141">
        <f>F35&amp;"|"&amp;T35</f>
        <v/>
      </c>
    </row>
    <row r="36" ht="15" customHeight="1" s="107">
      <c r="A36" s="133" t="inlineStr">
        <is>
          <t>D00206</t>
        </is>
      </c>
      <c r="B36" s="133" t="inlineStr">
        <is>
          <t>R011</t>
        </is>
      </c>
      <c r="C36" s="146">
        <f>IFERROR(INDEX('Sales Roster &amp; Quotas'!$C$6:$C$20,MATCH($B36,'Sales Roster &amp; Quotas'!$B$6:$B$20,0)),"")</f>
        <v/>
      </c>
      <c r="D36" s="146">
        <f>IFERROR(INDEX('Sales Roster &amp; Quotas'!$D$6:$D$20,MATCH($B36,'Sales Roster &amp; Quotas'!$B$6:$B$20,0)),"")</f>
        <v/>
      </c>
      <c r="E36" s="134" t="n">
        <v>46042</v>
      </c>
      <c r="F36" s="147">
        <f>TEXT(E36,"yyyy-mm")</f>
        <v/>
      </c>
      <c r="G36" s="147">
        <f>IF(MONTH(E36)&lt;=3,"Q1","Q2")</f>
        <v/>
      </c>
      <c r="H36" s="133" t="inlineStr">
        <is>
          <t>Renewal</t>
        </is>
      </c>
      <c r="I36" s="133" t="inlineStr">
        <is>
          <t>Stonebridge Underwriters</t>
        </is>
      </c>
      <c r="J36" s="133" t="inlineStr">
        <is>
          <t>Client Portal</t>
        </is>
      </c>
      <c r="K36" s="135" t="n">
        <v>16500</v>
      </c>
      <c r="L36" s="148">
        <f>IFERROR(INDEX('Sales Roster &amp; Quotas'!$G$6:$G$20,MATCH($B36,'Sales Roster &amp; Quotas'!$B$6:$B$20,0)),0)</f>
        <v/>
      </c>
      <c r="M36" s="149">
        <f>SUMIFS($K$5:$K$274,$B$5:$B$274,$B36,$G$5:$G$274,$G36,$H$5:$H$274,"New Business")</f>
        <v/>
      </c>
      <c r="N36" s="150">
        <f>IFERROR(M36/L36,0)</f>
        <v/>
      </c>
      <c r="O36" s="149">
        <f>MIN(M36,L36)</f>
        <v/>
      </c>
      <c r="P36" s="149">
        <f>MAX(MIN(M36,L36*1.25)-L36,0)</f>
        <v/>
      </c>
      <c r="Q36" s="149">
        <f>MAX(M36-L36*1.25,0)</f>
        <v/>
      </c>
      <c r="R36" s="148">
        <f>O36*'Commission Plan Rules'!$F$6+P36*'Commission Plan Rules'!$F$7+Q36*'Commission Plan Rules'!$F$8</f>
        <v/>
      </c>
      <c r="S36" s="151">
        <f>IF(H36="New Business",IFERROR((K36/M36)*R36,0),IF(H36="Upsell",K36*'Commission Plan Rules'!$F$9,IF(H36="Renewal",K36*'Commission Plan Rules'!$F$10,0)))</f>
        <v/>
      </c>
      <c r="T36" s="141">
        <f>COUNTIFS($F$5:$F$274,F36,$K$5:$K$274,"&gt;"&amp;K36)+1</f>
        <v/>
      </c>
      <c r="U36" s="141">
        <f>F36&amp;"|"&amp;T36</f>
        <v/>
      </c>
    </row>
    <row r="37" ht="15" customHeight="1" s="107">
      <c r="A37" s="130" t="inlineStr">
        <is>
          <t>D00043</t>
        </is>
      </c>
      <c r="B37" s="130" t="inlineStr">
        <is>
          <t>R003</t>
        </is>
      </c>
      <c r="C37" s="140">
        <f>IFERROR(INDEX('Sales Roster &amp; Quotas'!$C$6:$C$20,MATCH($B37,'Sales Roster &amp; Quotas'!$B$6:$B$20,0)),"")</f>
        <v/>
      </c>
      <c r="D37" s="140">
        <f>IFERROR(INDEX('Sales Roster &amp; Quotas'!$D$6:$D$20,MATCH($B37,'Sales Roster &amp; Quotas'!$B$6:$B$20,0)),"")</f>
        <v/>
      </c>
      <c r="E37" s="131" t="n">
        <v>46043</v>
      </c>
      <c r="F37" s="141">
        <f>TEXT(E37,"yyyy-mm")</f>
        <v/>
      </c>
      <c r="G37" s="141">
        <f>IF(MONTH(E37)&lt;=3,"Q1","Q2")</f>
        <v/>
      </c>
      <c r="H37" s="130" t="inlineStr">
        <is>
          <t>New Business</t>
        </is>
      </c>
      <c r="I37" s="130" t="inlineStr">
        <is>
          <t>Summit Agency Partners</t>
        </is>
      </c>
      <c r="J37" s="130" t="inlineStr">
        <is>
          <t>Policy Admin Core</t>
        </is>
      </c>
      <c r="K37" s="132" t="n">
        <v>78000</v>
      </c>
      <c r="L37" s="142">
        <f>IFERROR(INDEX('Sales Roster &amp; Quotas'!$G$6:$G$20,MATCH($B37,'Sales Roster &amp; Quotas'!$B$6:$B$20,0)),0)</f>
        <v/>
      </c>
      <c r="M37" s="143">
        <f>SUMIFS($K$5:$K$274,$B$5:$B$274,$B37,$G$5:$G$274,$G37,$H$5:$H$274,"New Business")</f>
        <v/>
      </c>
      <c r="N37" s="144">
        <f>IFERROR(M37/L37,0)</f>
        <v/>
      </c>
      <c r="O37" s="143">
        <f>MIN(M37,L37)</f>
        <v/>
      </c>
      <c r="P37" s="143">
        <f>MAX(MIN(M37,L37*1.25)-L37,0)</f>
        <v/>
      </c>
      <c r="Q37" s="143">
        <f>MAX(M37-L37*1.25,0)</f>
        <v/>
      </c>
      <c r="R37" s="142">
        <f>O37*'Commission Plan Rules'!$F$6+P37*'Commission Plan Rules'!$F$7+Q37*'Commission Plan Rules'!$F$8</f>
        <v/>
      </c>
      <c r="S37" s="145">
        <f>IF(H37="New Business",IFERROR((K37/M37)*R37,0),IF(H37="Upsell",K37*'Commission Plan Rules'!$F$9,IF(H37="Renewal",K37*'Commission Plan Rules'!$F$10,0)))</f>
        <v/>
      </c>
      <c r="T37" s="141">
        <f>COUNTIFS($F$5:$F$274,F37,$K$5:$K$274,"&gt;"&amp;K37)+1</f>
        <v/>
      </c>
      <c r="U37" s="141">
        <f>F37&amp;"|"&amp;T37</f>
        <v/>
      </c>
    </row>
    <row r="38" ht="15" customHeight="1" s="107">
      <c r="A38" s="133" t="inlineStr">
        <is>
          <t>D00009</t>
        </is>
      </c>
      <c r="B38" s="133" t="inlineStr">
        <is>
          <t>R001</t>
        </is>
      </c>
      <c r="C38" s="146">
        <f>IFERROR(INDEX('Sales Roster &amp; Quotas'!$C$6:$C$20,MATCH($B38,'Sales Roster &amp; Quotas'!$B$6:$B$20,0)),"")</f>
        <v/>
      </c>
      <c r="D38" s="146">
        <f>IFERROR(INDEX('Sales Roster &amp; Quotas'!$D$6:$D$20,MATCH($B38,'Sales Roster &amp; Quotas'!$B$6:$B$20,0)),"")</f>
        <v/>
      </c>
      <c r="E38" s="134" t="n">
        <v>46044</v>
      </c>
      <c r="F38" s="147">
        <f>TEXT(E38,"yyyy-mm")</f>
        <v/>
      </c>
      <c r="G38" s="147">
        <f>IF(MONTH(E38)&lt;=3,"Q1","Q2")</f>
        <v/>
      </c>
      <c r="H38" s="133" t="inlineStr">
        <is>
          <t>Renewal</t>
        </is>
      </c>
      <c r="I38" s="133" t="inlineStr">
        <is>
          <t>Riverbend Underwriters</t>
        </is>
      </c>
      <c r="J38" s="133" t="inlineStr">
        <is>
          <t>Policy Admin Core</t>
        </is>
      </c>
      <c r="K38" s="135" t="n">
        <v>4500</v>
      </c>
      <c r="L38" s="148">
        <f>IFERROR(INDEX('Sales Roster &amp; Quotas'!$G$6:$G$20,MATCH($B38,'Sales Roster &amp; Quotas'!$B$6:$B$20,0)),0)</f>
        <v/>
      </c>
      <c r="M38" s="149">
        <f>SUMIFS($K$5:$K$274,$B$5:$B$274,$B38,$G$5:$G$274,$G38,$H$5:$H$274,"New Business")</f>
        <v/>
      </c>
      <c r="N38" s="150">
        <f>IFERROR(M38/L38,0)</f>
        <v/>
      </c>
      <c r="O38" s="149">
        <f>MIN(M38,L38)</f>
        <v/>
      </c>
      <c r="P38" s="149">
        <f>MAX(MIN(M38,L38*1.25)-L38,0)</f>
        <v/>
      </c>
      <c r="Q38" s="149">
        <f>MAX(M38-L38*1.25,0)</f>
        <v/>
      </c>
      <c r="R38" s="148">
        <f>O38*'Commission Plan Rules'!$F$6+P38*'Commission Plan Rules'!$F$7+Q38*'Commission Plan Rules'!$F$8</f>
        <v/>
      </c>
      <c r="S38" s="151">
        <f>IF(H38="New Business",IFERROR((K38/M38)*R38,0),IF(H38="Upsell",K38*'Commission Plan Rules'!$F$9,IF(H38="Renewal",K38*'Commission Plan Rules'!$F$10,0)))</f>
        <v/>
      </c>
      <c r="T38" s="141">
        <f>COUNTIFS($F$5:$F$274,F38,$K$5:$K$274,"&gt;"&amp;K38)+1</f>
        <v/>
      </c>
      <c r="U38" s="141">
        <f>F38&amp;"|"&amp;T38</f>
        <v/>
      </c>
    </row>
    <row r="39" ht="15" customHeight="1" s="107">
      <c r="A39" s="130" t="inlineStr">
        <is>
          <t>D00104</t>
        </is>
      </c>
      <c r="B39" s="130" t="inlineStr">
        <is>
          <t>R006</t>
        </is>
      </c>
      <c r="C39" s="140">
        <f>IFERROR(INDEX('Sales Roster &amp; Quotas'!$C$6:$C$20,MATCH($B39,'Sales Roster &amp; Quotas'!$B$6:$B$20,0)),"")</f>
        <v/>
      </c>
      <c r="D39" s="140">
        <f>IFERROR(INDEX('Sales Roster &amp; Quotas'!$D$6:$D$20,MATCH($B39,'Sales Roster &amp; Quotas'!$B$6:$B$20,0)),"")</f>
        <v/>
      </c>
      <c r="E39" s="131" t="n">
        <v>46044</v>
      </c>
      <c r="F39" s="141">
        <f>TEXT(E39,"yyyy-mm")</f>
        <v/>
      </c>
      <c r="G39" s="141">
        <f>IF(MONTH(E39)&lt;=3,"Q1","Q2")</f>
        <v/>
      </c>
      <c r="H39" s="130" t="inlineStr">
        <is>
          <t>New Business</t>
        </is>
      </c>
      <c r="I39" s="130" t="inlineStr">
        <is>
          <t>Windham Insurance Solutions</t>
        </is>
      </c>
      <c r="J39" s="130" t="inlineStr">
        <is>
          <t>Analytics Add-On</t>
        </is>
      </c>
      <c r="K39" s="132" t="n">
        <v>4500</v>
      </c>
      <c r="L39" s="142">
        <f>IFERROR(INDEX('Sales Roster &amp; Quotas'!$G$6:$G$20,MATCH($B39,'Sales Roster &amp; Quotas'!$B$6:$B$20,0)),0)</f>
        <v/>
      </c>
      <c r="M39" s="143">
        <f>SUMIFS($K$5:$K$274,$B$5:$B$274,$B39,$G$5:$G$274,$G39,$H$5:$H$274,"New Business")</f>
        <v/>
      </c>
      <c r="N39" s="144">
        <f>IFERROR(M39/L39,0)</f>
        <v/>
      </c>
      <c r="O39" s="143">
        <f>MIN(M39,L39)</f>
        <v/>
      </c>
      <c r="P39" s="143">
        <f>MAX(MIN(M39,L39*1.25)-L39,0)</f>
        <v/>
      </c>
      <c r="Q39" s="143">
        <f>MAX(M39-L39*1.25,0)</f>
        <v/>
      </c>
      <c r="R39" s="142">
        <f>O39*'Commission Plan Rules'!$F$6+P39*'Commission Plan Rules'!$F$7+Q39*'Commission Plan Rules'!$F$8</f>
        <v/>
      </c>
      <c r="S39" s="145">
        <f>IF(H39="New Business",IFERROR((K39/M39)*R39,0),IF(H39="Upsell",K39*'Commission Plan Rules'!$F$9,IF(H39="Renewal",K39*'Commission Plan Rules'!$F$10,0)))</f>
        <v/>
      </c>
      <c r="T39" s="141">
        <f>COUNTIFS($F$5:$F$274,F39,$K$5:$K$274,"&gt;"&amp;K39)+1</f>
        <v/>
      </c>
      <c r="U39" s="141">
        <f>F39&amp;"|"&amp;T39</f>
        <v/>
      </c>
    </row>
    <row r="40" ht="15" customHeight="1" s="107">
      <c r="A40" s="133" t="inlineStr">
        <is>
          <t>D00165</t>
        </is>
      </c>
      <c r="B40" s="133" t="inlineStr">
        <is>
          <t>R009</t>
        </is>
      </c>
      <c r="C40" s="146">
        <f>IFERROR(INDEX('Sales Roster &amp; Quotas'!$C$6:$C$20,MATCH($B40,'Sales Roster &amp; Quotas'!$B$6:$B$20,0)),"")</f>
        <v/>
      </c>
      <c r="D40" s="146">
        <f>IFERROR(INDEX('Sales Roster &amp; Quotas'!$D$6:$D$20,MATCH($B40,'Sales Roster &amp; Quotas'!$B$6:$B$20,0)),"")</f>
        <v/>
      </c>
      <c r="E40" s="134" t="n">
        <v>46044</v>
      </c>
      <c r="F40" s="147">
        <f>TEXT(E40,"yyyy-mm")</f>
        <v/>
      </c>
      <c r="G40" s="147">
        <f>IF(MONTH(E40)&lt;=3,"Q1","Q2")</f>
        <v/>
      </c>
      <c r="H40" s="133" t="inlineStr">
        <is>
          <t>Upsell</t>
        </is>
      </c>
      <c r="I40" s="133" t="inlineStr">
        <is>
          <t>Windham Coverage Partners</t>
        </is>
      </c>
      <c r="J40" s="133" t="inlineStr">
        <is>
          <t>Claims Module</t>
        </is>
      </c>
      <c r="K40" s="135" t="n">
        <v>58500</v>
      </c>
      <c r="L40" s="148">
        <f>IFERROR(INDEX('Sales Roster &amp; Quotas'!$G$6:$G$20,MATCH($B40,'Sales Roster &amp; Quotas'!$B$6:$B$20,0)),0)</f>
        <v/>
      </c>
      <c r="M40" s="149">
        <f>SUMIFS($K$5:$K$274,$B$5:$B$274,$B40,$G$5:$G$274,$G40,$H$5:$H$274,"New Business")</f>
        <v/>
      </c>
      <c r="N40" s="150">
        <f>IFERROR(M40/L40,0)</f>
        <v/>
      </c>
      <c r="O40" s="149">
        <f>MIN(M40,L40)</f>
        <v/>
      </c>
      <c r="P40" s="149">
        <f>MAX(MIN(M40,L40*1.25)-L40,0)</f>
        <v/>
      </c>
      <c r="Q40" s="149">
        <f>MAX(M40-L40*1.25,0)</f>
        <v/>
      </c>
      <c r="R40" s="148">
        <f>O40*'Commission Plan Rules'!$F$6+P40*'Commission Plan Rules'!$F$7+Q40*'Commission Plan Rules'!$F$8</f>
        <v/>
      </c>
      <c r="S40" s="151">
        <f>IF(H40="New Business",IFERROR((K40/M40)*R40,0),IF(H40="Upsell",K40*'Commission Plan Rules'!$F$9,IF(H40="Renewal",K40*'Commission Plan Rules'!$F$10,0)))</f>
        <v/>
      </c>
      <c r="T40" s="141">
        <f>COUNTIFS($F$5:$F$274,F40,$K$5:$K$274,"&gt;"&amp;K40)+1</f>
        <v/>
      </c>
      <c r="U40" s="141">
        <f>F40&amp;"|"&amp;T40</f>
        <v/>
      </c>
    </row>
    <row r="41" ht="15" customHeight="1" s="107">
      <c r="A41" s="130" t="inlineStr">
        <is>
          <t>D00086</t>
        </is>
      </c>
      <c r="B41" s="130" t="inlineStr">
        <is>
          <t>R005</t>
        </is>
      </c>
      <c r="C41" s="140">
        <f>IFERROR(INDEX('Sales Roster &amp; Quotas'!$C$6:$C$20,MATCH($B41,'Sales Roster &amp; Quotas'!$B$6:$B$20,0)),"")</f>
        <v/>
      </c>
      <c r="D41" s="140">
        <f>IFERROR(INDEX('Sales Roster &amp; Quotas'!$D$6:$D$20,MATCH($B41,'Sales Roster &amp; Quotas'!$B$6:$B$20,0)),"")</f>
        <v/>
      </c>
      <c r="E41" s="131" t="n">
        <v>46045</v>
      </c>
      <c r="F41" s="141">
        <f>TEXT(E41,"yyyy-mm")</f>
        <v/>
      </c>
      <c r="G41" s="141">
        <f>IF(MONTH(E41)&lt;=3,"Q1","Q2")</f>
        <v/>
      </c>
      <c r="H41" s="130" t="inlineStr">
        <is>
          <t>New Business</t>
        </is>
      </c>
      <c r="I41" s="130" t="inlineStr">
        <is>
          <t>Highmark Risk Advisors</t>
        </is>
      </c>
      <c r="J41" s="130" t="inlineStr">
        <is>
          <t>Policy Admin Core</t>
        </is>
      </c>
      <c r="K41" s="132" t="n">
        <v>32500</v>
      </c>
      <c r="L41" s="142">
        <f>IFERROR(INDEX('Sales Roster &amp; Quotas'!$G$6:$G$20,MATCH($B41,'Sales Roster &amp; Quotas'!$B$6:$B$20,0)),0)</f>
        <v/>
      </c>
      <c r="M41" s="143">
        <f>SUMIFS($K$5:$K$274,$B$5:$B$274,$B41,$G$5:$G$274,$G41,$H$5:$H$274,"New Business")</f>
        <v/>
      </c>
      <c r="N41" s="144">
        <f>IFERROR(M41/L41,0)</f>
        <v/>
      </c>
      <c r="O41" s="143">
        <f>MIN(M41,L41)</f>
        <v/>
      </c>
      <c r="P41" s="143">
        <f>MAX(MIN(M41,L41*1.25)-L41,0)</f>
        <v/>
      </c>
      <c r="Q41" s="143">
        <f>MAX(M41-L41*1.25,0)</f>
        <v/>
      </c>
      <c r="R41" s="142">
        <f>O41*'Commission Plan Rules'!$F$6+P41*'Commission Plan Rules'!$F$7+Q41*'Commission Plan Rules'!$F$8</f>
        <v/>
      </c>
      <c r="S41" s="145">
        <f>IF(H41="New Business",IFERROR((K41/M41)*R41,0),IF(H41="Upsell",K41*'Commission Plan Rules'!$F$9,IF(H41="Renewal",K41*'Commission Plan Rules'!$F$10,0)))</f>
        <v/>
      </c>
      <c r="T41" s="141">
        <f>COUNTIFS($F$5:$F$274,F41,$K$5:$K$274,"&gt;"&amp;K41)+1</f>
        <v/>
      </c>
      <c r="U41" s="141">
        <f>F41&amp;"|"&amp;T41</f>
        <v/>
      </c>
    </row>
    <row r="42" ht="15" customHeight="1" s="107">
      <c r="A42" s="133" t="inlineStr">
        <is>
          <t>D00107</t>
        </is>
      </c>
      <c r="B42" s="133" t="inlineStr">
        <is>
          <t>R006</t>
        </is>
      </c>
      <c r="C42" s="146">
        <f>IFERROR(INDEX('Sales Roster &amp; Quotas'!$C$6:$C$20,MATCH($B42,'Sales Roster &amp; Quotas'!$B$6:$B$20,0)),"")</f>
        <v/>
      </c>
      <c r="D42" s="146">
        <f>IFERROR(INDEX('Sales Roster &amp; Quotas'!$D$6:$D$20,MATCH($B42,'Sales Roster &amp; Quotas'!$B$6:$B$20,0)),"")</f>
        <v/>
      </c>
      <c r="E42" s="134" t="n">
        <v>46046</v>
      </c>
      <c r="F42" s="147">
        <f>TEXT(E42,"yyyy-mm")</f>
        <v/>
      </c>
      <c r="G42" s="147">
        <f>IF(MONTH(E42)&lt;=3,"Q1","Q2")</f>
        <v/>
      </c>
      <c r="H42" s="133" t="inlineStr">
        <is>
          <t>Upsell</t>
        </is>
      </c>
      <c r="I42" s="133" t="inlineStr">
        <is>
          <t>Prairie Risk Advisors</t>
        </is>
      </c>
      <c r="J42" s="133" t="inlineStr">
        <is>
          <t>Claims Module</t>
        </is>
      </c>
      <c r="K42" s="135" t="n">
        <v>21000</v>
      </c>
      <c r="L42" s="148">
        <f>IFERROR(INDEX('Sales Roster &amp; Quotas'!$G$6:$G$20,MATCH($B42,'Sales Roster &amp; Quotas'!$B$6:$B$20,0)),0)</f>
        <v/>
      </c>
      <c r="M42" s="149">
        <f>SUMIFS($K$5:$K$274,$B$5:$B$274,$B42,$G$5:$G$274,$G42,$H$5:$H$274,"New Business")</f>
        <v/>
      </c>
      <c r="N42" s="150">
        <f>IFERROR(M42/L42,0)</f>
        <v/>
      </c>
      <c r="O42" s="149">
        <f>MIN(M42,L42)</f>
        <v/>
      </c>
      <c r="P42" s="149">
        <f>MAX(MIN(M42,L42*1.25)-L42,0)</f>
        <v/>
      </c>
      <c r="Q42" s="149">
        <f>MAX(M42-L42*1.25,0)</f>
        <v/>
      </c>
      <c r="R42" s="148">
        <f>O42*'Commission Plan Rules'!$F$6+P42*'Commission Plan Rules'!$F$7+Q42*'Commission Plan Rules'!$F$8</f>
        <v/>
      </c>
      <c r="S42" s="151">
        <f>IF(H42="New Business",IFERROR((K42/M42)*R42,0),IF(H42="Upsell",K42*'Commission Plan Rules'!$F$9,IF(H42="Renewal",K42*'Commission Plan Rules'!$F$10,0)))</f>
        <v/>
      </c>
      <c r="T42" s="141">
        <f>COUNTIFS($F$5:$F$274,F42,$K$5:$K$274,"&gt;"&amp;K42)+1</f>
        <v/>
      </c>
      <c r="U42" s="141">
        <f>F42&amp;"|"&amp;T42</f>
        <v/>
      </c>
    </row>
    <row r="43" ht="15" customHeight="1" s="107">
      <c r="A43" s="130" t="inlineStr">
        <is>
          <t>D00102</t>
        </is>
      </c>
      <c r="B43" s="130" t="inlineStr">
        <is>
          <t>R006</t>
        </is>
      </c>
      <c r="C43" s="140">
        <f>IFERROR(INDEX('Sales Roster &amp; Quotas'!$C$6:$C$20,MATCH($B43,'Sales Roster &amp; Quotas'!$B$6:$B$20,0)),"")</f>
        <v/>
      </c>
      <c r="D43" s="140">
        <f>IFERROR(INDEX('Sales Roster &amp; Quotas'!$D$6:$D$20,MATCH($B43,'Sales Roster &amp; Quotas'!$B$6:$B$20,0)),"")</f>
        <v/>
      </c>
      <c r="E43" s="131" t="n">
        <v>46047</v>
      </c>
      <c r="F43" s="141">
        <f>TEXT(E43,"yyyy-mm")</f>
        <v/>
      </c>
      <c r="G43" s="141">
        <f>IF(MONTH(E43)&lt;=3,"Q1","Q2")</f>
        <v/>
      </c>
      <c r="H43" s="130" t="inlineStr">
        <is>
          <t>New Business</t>
        </is>
      </c>
      <c r="I43" s="130" t="inlineStr">
        <is>
          <t>Cobalt Insurance Brokers</t>
        </is>
      </c>
      <c r="J43" s="130" t="inlineStr">
        <is>
          <t>Claims Module</t>
        </is>
      </c>
      <c r="K43" s="132" t="n">
        <v>44000</v>
      </c>
      <c r="L43" s="142">
        <f>IFERROR(INDEX('Sales Roster &amp; Quotas'!$G$6:$G$20,MATCH($B43,'Sales Roster &amp; Quotas'!$B$6:$B$20,0)),0)</f>
        <v/>
      </c>
      <c r="M43" s="143">
        <f>SUMIFS($K$5:$K$274,$B$5:$B$274,$B43,$G$5:$G$274,$G43,$H$5:$H$274,"New Business")</f>
        <v/>
      </c>
      <c r="N43" s="144">
        <f>IFERROR(M43/L43,0)</f>
        <v/>
      </c>
      <c r="O43" s="143">
        <f>MIN(M43,L43)</f>
        <v/>
      </c>
      <c r="P43" s="143">
        <f>MAX(MIN(M43,L43*1.25)-L43,0)</f>
        <v/>
      </c>
      <c r="Q43" s="143">
        <f>MAX(M43-L43*1.25,0)</f>
        <v/>
      </c>
      <c r="R43" s="142">
        <f>O43*'Commission Plan Rules'!$F$6+P43*'Commission Plan Rules'!$F$7+Q43*'Commission Plan Rules'!$F$8</f>
        <v/>
      </c>
      <c r="S43" s="145">
        <f>IF(H43="New Business",IFERROR((K43/M43)*R43,0),IF(H43="Upsell",K43*'Commission Plan Rules'!$F$9,IF(H43="Renewal",K43*'Commission Plan Rules'!$F$10,0)))</f>
        <v/>
      </c>
      <c r="T43" s="141">
        <f>COUNTIFS($F$5:$F$274,F43,$K$5:$K$274,"&gt;"&amp;K43)+1</f>
        <v/>
      </c>
      <c r="U43" s="141">
        <f>F43&amp;"|"&amp;T43</f>
        <v/>
      </c>
    </row>
    <row r="44" ht="15" customHeight="1" s="107">
      <c r="A44" s="133" t="inlineStr">
        <is>
          <t>D00003</t>
        </is>
      </c>
      <c r="B44" s="133" t="inlineStr">
        <is>
          <t>R001</t>
        </is>
      </c>
      <c r="C44" s="146">
        <f>IFERROR(INDEX('Sales Roster &amp; Quotas'!$C$6:$C$20,MATCH($B44,'Sales Roster &amp; Quotas'!$B$6:$B$20,0)),"")</f>
        <v/>
      </c>
      <c r="D44" s="146">
        <f>IFERROR(INDEX('Sales Roster &amp; Quotas'!$D$6:$D$20,MATCH($B44,'Sales Roster &amp; Quotas'!$B$6:$B$20,0)),"")</f>
        <v/>
      </c>
      <c r="E44" s="134" t="n">
        <v>46047</v>
      </c>
      <c r="F44" s="147">
        <f>TEXT(E44,"yyyy-mm")</f>
        <v/>
      </c>
      <c r="G44" s="147">
        <f>IF(MONTH(E44)&lt;=3,"Q1","Q2")</f>
        <v/>
      </c>
      <c r="H44" s="133" t="inlineStr">
        <is>
          <t>New Business</t>
        </is>
      </c>
      <c r="I44" s="133" t="inlineStr">
        <is>
          <t>Pinnacle Insurance Solutions</t>
        </is>
      </c>
      <c r="J44" s="133" t="inlineStr">
        <is>
          <t>Claims Module</t>
        </is>
      </c>
      <c r="K44" s="135" t="n">
        <v>27000</v>
      </c>
      <c r="L44" s="148">
        <f>IFERROR(INDEX('Sales Roster &amp; Quotas'!$G$6:$G$20,MATCH($B44,'Sales Roster &amp; Quotas'!$B$6:$B$20,0)),0)</f>
        <v/>
      </c>
      <c r="M44" s="149">
        <f>SUMIFS($K$5:$K$274,$B$5:$B$274,$B44,$G$5:$G$274,$G44,$H$5:$H$274,"New Business")</f>
        <v/>
      </c>
      <c r="N44" s="150">
        <f>IFERROR(M44/L44,0)</f>
        <v/>
      </c>
      <c r="O44" s="149">
        <f>MIN(M44,L44)</f>
        <v/>
      </c>
      <c r="P44" s="149">
        <f>MAX(MIN(M44,L44*1.25)-L44,0)</f>
        <v/>
      </c>
      <c r="Q44" s="149">
        <f>MAX(M44-L44*1.25,0)</f>
        <v/>
      </c>
      <c r="R44" s="148">
        <f>O44*'Commission Plan Rules'!$F$6+P44*'Commission Plan Rules'!$F$7+Q44*'Commission Plan Rules'!$F$8</f>
        <v/>
      </c>
      <c r="S44" s="151">
        <f>IF(H44="New Business",IFERROR((K44/M44)*R44,0),IF(H44="Upsell",K44*'Commission Plan Rules'!$F$9,IF(H44="Renewal",K44*'Commission Plan Rules'!$F$10,0)))</f>
        <v/>
      </c>
      <c r="T44" s="141">
        <f>COUNTIFS($F$5:$F$274,F44,$K$5:$K$274,"&gt;"&amp;K44)+1</f>
        <v/>
      </c>
      <c r="U44" s="141">
        <f>F44&amp;"|"&amp;T44</f>
        <v/>
      </c>
    </row>
    <row r="45" ht="15" customHeight="1" s="107">
      <c r="A45" s="130" t="inlineStr">
        <is>
          <t>D00142</t>
        </is>
      </c>
      <c r="B45" s="130" t="inlineStr">
        <is>
          <t>R008</t>
        </is>
      </c>
      <c r="C45" s="140">
        <f>IFERROR(INDEX('Sales Roster &amp; Quotas'!$C$6:$C$20,MATCH($B45,'Sales Roster &amp; Quotas'!$B$6:$B$20,0)),"")</f>
        <v/>
      </c>
      <c r="D45" s="140">
        <f>IFERROR(INDEX('Sales Roster &amp; Quotas'!$D$6:$D$20,MATCH($B45,'Sales Roster &amp; Quotas'!$B$6:$B$20,0)),"")</f>
        <v/>
      </c>
      <c r="E45" s="131" t="n">
        <v>46048</v>
      </c>
      <c r="F45" s="141">
        <f>TEXT(E45,"yyyy-mm")</f>
        <v/>
      </c>
      <c r="G45" s="141">
        <f>IF(MONTH(E45)&lt;=3,"Q1","Q2")</f>
        <v/>
      </c>
      <c r="H45" s="130" t="inlineStr">
        <is>
          <t>New Business</t>
        </is>
      </c>
      <c r="I45" s="130" t="inlineStr">
        <is>
          <t>Northgate Coverage Partners</t>
        </is>
      </c>
      <c r="J45" s="130" t="inlineStr">
        <is>
          <t>Policy Admin Core</t>
        </is>
      </c>
      <c r="K45" s="132" t="n">
        <v>146000</v>
      </c>
      <c r="L45" s="142">
        <f>IFERROR(INDEX('Sales Roster &amp; Quotas'!$G$6:$G$20,MATCH($B45,'Sales Roster &amp; Quotas'!$B$6:$B$20,0)),0)</f>
        <v/>
      </c>
      <c r="M45" s="143">
        <f>SUMIFS($K$5:$K$274,$B$5:$B$274,$B45,$G$5:$G$274,$G45,$H$5:$H$274,"New Business")</f>
        <v/>
      </c>
      <c r="N45" s="144">
        <f>IFERROR(M45/L45,0)</f>
        <v/>
      </c>
      <c r="O45" s="143">
        <f>MIN(M45,L45)</f>
        <v/>
      </c>
      <c r="P45" s="143">
        <f>MAX(MIN(M45,L45*1.25)-L45,0)</f>
        <v/>
      </c>
      <c r="Q45" s="143">
        <f>MAX(M45-L45*1.25,0)</f>
        <v/>
      </c>
      <c r="R45" s="142">
        <f>O45*'Commission Plan Rules'!$F$6+P45*'Commission Plan Rules'!$F$7+Q45*'Commission Plan Rules'!$F$8</f>
        <v/>
      </c>
      <c r="S45" s="145">
        <f>IF(H45="New Business",IFERROR((K45/M45)*R45,0),IF(H45="Upsell",K45*'Commission Plan Rules'!$F$9,IF(H45="Renewal",K45*'Commission Plan Rules'!$F$10,0)))</f>
        <v/>
      </c>
      <c r="T45" s="141">
        <f>COUNTIFS($F$5:$F$274,F45,$K$5:$K$274,"&gt;"&amp;K45)+1</f>
        <v/>
      </c>
      <c r="U45" s="141">
        <f>F45&amp;"|"&amp;T45</f>
        <v/>
      </c>
    </row>
    <row r="46" ht="15" customHeight="1" s="107">
      <c r="A46" s="133" t="inlineStr">
        <is>
          <t>D00085</t>
        </is>
      </c>
      <c r="B46" s="133" t="inlineStr">
        <is>
          <t>R005</t>
        </is>
      </c>
      <c r="C46" s="146">
        <f>IFERROR(INDEX('Sales Roster &amp; Quotas'!$C$6:$C$20,MATCH($B46,'Sales Roster &amp; Quotas'!$B$6:$B$20,0)),"")</f>
        <v/>
      </c>
      <c r="D46" s="146">
        <f>IFERROR(INDEX('Sales Roster &amp; Quotas'!$D$6:$D$20,MATCH($B46,'Sales Roster &amp; Quotas'!$B$6:$B$20,0)),"")</f>
        <v/>
      </c>
      <c r="E46" s="134" t="n">
        <v>46049</v>
      </c>
      <c r="F46" s="147">
        <f>TEXT(E46,"yyyy-mm")</f>
        <v/>
      </c>
      <c r="G46" s="147">
        <f>IF(MONTH(E46)&lt;=3,"Q1","Q2")</f>
        <v/>
      </c>
      <c r="H46" s="133" t="inlineStr">
        <is>
          <t>New Business</t>
        </is>
      </c>
      <c r="I46" s="133" t="inlineStr">
        <is>
          <t>Pinnacle Insurance Group</t>
        </is>
      </c>
      <c r="J46" s="133" t="inlineStr">
        <is>
          <t>Policy Admin Core</t>
        </is>
      </c>
      <c r="K46" s="135" t="n">
        <v>15000</v>
      </c>
      <c r="L46" s="148">
        <f>IFERROR(INDEX('Sales Roster &amp; Quotas'!$G$6:$G$20,MATCH($B46,'Sales Roster &amp; Quotas'!$B$6:$B$20,0)),0)</f>
        <v/>
      </c>
      <c r="M46" s="149">
        <f>SUMIFS($K$5:$K$274,$B$5:$B$274,$B46,$G$5:$G$274,$G46,$H$5:$H$274,"New Business")</f>
        <v/>
      </c>
      <c r="N46" s="150">
        <f>IFERROR(M46/L46,0)</f>
        <v/>
      </c>
      <c r="O46" s="149">
        <f>MIN(M46,L46)</f>
        <v/>
      </c>
      <c r="P46" s="149">
        <f>MAX(MIN(M46,L46*1.25)-L46,0)</f>
        <v/>
      </c>
      <c r="Q46" s="149">
        <f>MAX(M46-L46*1.25,0)</f>
        <v/>
      </c>
      <c r="R46" s="148">
        <f>O46*'Commission Plan Rules'!$F$6+P46*'Commission Plan Rules'!$F$7+Q46*'Commission Plan Rules'!$F$8</f>
        <v/>
      </c>
      <c r="S46" s="151">
        <f>IF(H46="New Business",IFERROR((K46/M46)*R46,0),IF(H46="Upsell",K46*'Commission Plan Rules'!$F$9,IF(H46="Renewal",K46*'Commission Plan Rules'!$F$10,0)))</f>
        <v/>
      </c>
      <c r="T46" s="141">
        <f>COUNTIFS($F$5:$F$274,F46,$K$5:$K$274,"&gt;"&amp;K46)+1</f>
        <v/>
      </c>
      <c r="U46" s="141">
        <f>F46&amp;"|"&amp;T46</f>
        <v/>
      </c>
    </row>
    <row r="47" ht="15" customHeight="1" s="107">
      <c r="A47" s="130" t="inlineStr">
        <is>
          <t>D00148</t>
        </is>
      </c>
      <c r="B47" s="130" t="inlineStr">
        <is>
          <t>R008</t>
        </is>
      </c>
      <c r="C47" s="140">
        <f>IFERROR(INDEX('Sales Roster &amp; Quotas'!$C$6:$C$20,MATCH($B47,'Sales Roster &amp; Quotas'!$B$6:$B$20,0)),"")</f>
        <v/>
      </c>
      <c r="D47" s="140">
        <f>IFERROR(INDEX('Sales Roster &amp; Quotas'!$D$6:$D$20,MATCH($B47,'Sales Roster &amp; Quotas'!$B$6:$B$20,0)),"")</f>
        <v/>
      </c>
      <c r="E47" s="131" t="n">
        <v>46050</v>
      </c>
      <c r="F47" s="141">
        <f>TEXT(E47,"yyyy-mm")</f>
        <v/>
      </c>
      <c r="G47" s="141">
        <f>IF(MONTH(E47)&lt;=3,"Q1","Q2")</f>
        <v/>
      </c>
      <c r="H47" s="130" t="inlineStr">
        <is>
          <t>Renewal</t>
        </is>
      </c>
      <c r="I47" s="130" t="inlineStr">
        <is>
          <t>Brookhaven Agency Partners</t>
        </is>
      </c>
      <c r="J47" s="130" t="inlineStr">
        <is>
          <t>Policy Admin Core</t>
        </is>
      </c>
      <c r="K47" s="132" t="n">
        <v>1500</v>
      </c>
      <c r="L47" s="142">
        <f>IFERROR(INDEX('Sales Roster &amp; Quotas'!$G$6:$G$20,MATCH($B47,'Sales Roster &amp; Quotas'!$B$6:$B$20,0)),0)</f>
        <v/>
      </c>
      <c r="M47" s="143">
        <f>SUMIFS($K$5:$K$274,$B$5:$B$274,$B47,$G$5:$G$274,$G47,$H$5:$H$274,"New Business")</f>
        <v/>
      </c>
      <c r="N47" s="144">
        <f>IFERROR(M47/L47,0)</f>
        <v/>
      </c>
      <c r="O47" s="143">
        <f>MIN(M47,L47)</f>
        <v/>
      </c>
      <c r="P47" s="143">
        <f>MAX(MIN(M47,L47*1.25)-L47,0)</f>
        <v/>
      </c>
      <c r="Q47" s="143">
        <f>MAX(M47-L47*1.25,0)</f>
        <v/>
      </c>
      <c r="R47" s="142">
        <f>O47*'Commission Plan Rules'!$F$6+P47*'Commission Plan Rules'!$F$7+Q47*'Commission Plan Rules'!$F$8</f>
        <v/>
      </c>
      <c r="S47" s="145">
        <f>IF(H47="New Business",IFERROR((K47/M47)*R47,0),IF(H47="Upsell",K47*'Commission Plan Rules'!$F$9,IF(H47="Renewal",K47*'Commission Plan Rules'!$F$10,0)))</f>
        <v/>
      </c>
      <c r="T47" s="141">
        <f>COUNTIFS($F$5:$F$274,F47,$K$5:$K$274,"&gt;"&amp;K47)+1</f>
        <v/>
      </c>
      <c r="U47" s="141">
        <f>F47&amp;"|"&amp;T47</f>
        <v/>
      </c>
    </row>
    <row r="48" ht="15" customHeight="1" s="107">
      <c r="A48" s="133" t="inlineStr">
        <is>
          <t>D00002</t>
        </is>
      </c>
      <c r="B48" s="133" t="inlineStr">
        <is>
          <t>R001</t>
        </is>
      </c>
      <c r="C48" s="146">
        <f>IFERROR(INDEX('Sales Roster &amp; Quotas'!$C$6:$C$20,MATCH($B48,'Sales Roster &amp; Quotas'!$B$6:$B$20,0)),"")</f>
        <v/>
      </c>
      <c r="D48" s="146">
        <f>IFERROR(INDEX('Sales Roster &amp; Quotas'!$D$6:$D$20,MATCH($B48,'Sales Roster &amp; Quotas'!$B$6:$B$20,0)),"")</f>
        <v/>
      </c>
      <c r="E48" s="134" t="n">
        <v>46050</v>
      </c>
      <c r="F48" s="147">
        <f>TEXT(E48,"yyyy-mm")</f>
        <v/>
      </c>
      <c r="G48" s="147">
        <f>IF(MONTH(E48)&lt;=3,"Q1","Q2")</f>
        <v/>
      </c>
      <c r="H48" s="133" t="inlineStr">
        <is>
          <t>New Business</t>
        </is>
      </c>
      <c r="I48" s="133" t="inlineStr">
        <is>
          <t>Brookhaven Insurance Group</t>
        </is>
      </c>
      <c r="J48" s="133" t="inlineStr">
        <is>
          <t>Policy Admin Core</t>
        </is>
      </c>
      <c r="K48" s="135" t="n">
        <v>42500</v>
      </c>
      <c r="L48" s="148">
        <f>IFERROR(INDEX('Sales Roster &amp; Quotas'!$G$6:$G$20,MATCH($B48,'Sales Roster &amp; Quotas'!$B$6:$B$20,0)),0)</f>
        <v/>
      </c>
      <c r="M48" s="149">
        <f>SUMIFS($K$5:$K$274,$B$5:$B$274,$B48,$G$5:$G$274,$G48,$H$5:$H$274,"New Business")</f>
        <v/>
      </c>
      <c r="N48" s="150">
        <f>IFERROR(M48/L48,0)</f>
        <v/>
      </c>
      <c r="O48" s="149">
        <f>MIN(M48,L48)</f>
        <v/>
      </c>
      <c r="P48" s="149">
        <f>MAX(MIN(M48,L48*1.25)-L48,0)</f>
        <v/>
      </c>
      <c r="Q48" s="149">
        <f>MAX(M48-L48*1.25,0)</f>
        <v/>
      </c>
      <c r="R48" s="148">
        <f>O48*'Commission Plan Rules'!$F$6+P48*'Commission Plan Rules'!$F$7+Q48*'Commission Plan Rules'!$F$8</f>
        <v/>
      </c>
      <c r="S48" s="151">
        <f>IF(H48="New Business",IFERROR((K48/M48)*R48,0),IF(H48="Upsell",K48*'Commission Plan Rules'!$F$9,IF(H48="Renewal",K48*'Commission Plan Rules'!$F$10,0)))</f>
        <v/>
      </c>
      <c r="T48" s="141">
        <f>COUNTIFS($F$5:$F$274,F48,$K$5:$K$274,"&gt;"&amp;K48)+1</f>
        <v/>
      </c>
      <c r="U48" s="141">
        <f>F48&amp;"|"&amp;T48</f>
        <v/>
      </c>
    </row>
    <row r="49" ht="15" customHeight="1" s="107">
      <c r="A49" s="130" t="inlineStr">
        <is>
          <t>D00006</t>
        </is>
      </c>
      <c r="B49" s="130" t="inlineStr">
        <is>
          <t>R001</t>
        </is>
      </c>
      <c r="C49" s="140">
        <f>IFERROR(INDEX('Sales Roster &amp; Quotas'!$C$6:$C$20,MATCH($B49,'Sales Roster &amp; Quotas'!$B$6:$B$20,0)),"")</f>
        <v/>
      </c>
      <c r="D49" s="140">
        <f>IFERROR(INDEX('Sales Roster &amp; Quotas'!$D$6:$D$20,MATCH($B49,'Sales Roster &amp; Quotas'!$B$6:$B$20,0)),"")</f>
        <v/>
      </c>
      <c r="E49" s="131" t="n">
        <v>46055</v>
      </c>
      <c r="F49" s="141">
        <f>TEXT(E49,"yyyy-mm")</f>
        <v/>
      </c>
      <c r="G49" s="141">
        <f>IF(MONTH(E49)&lt;=3,"Q1","Q2")</f>
        <v/>
      </c>
      <c r="H49" s="130" t="inlineStr">
        <is>
          <t>Upsell</t>
        </is>
      </c>
      <c r="I49" s="130" t="inlineStr">
        <is>
          <t>Ashford Mutual Agency</t>
        </is>
      </c>
      <c r="J49" s="130" t="inlineStr">
        <is>
          <t>Claims Module</t>
        </is>
      </c>
      <c r="K49" s="132" t="n">
        <v>11500</v>
      </c>
      <c r="L49" s="142">
        <f>IFERROR(INDEX('Sales Roster &amp; Quotas'!$G$6:$G$20,MATCH($B49,'Sales Roster &amp; Quotas'!$B$6:$B$20,0)),0)</f>
        <v/>
      </c>
      <c r="M49" s="143">
        <f>SUMIFS($K$5:$K$274,$B$5:$B$274,$B49,$G$5:$G$274,$G49,$H$5:$H$274,"New Business")</f>
        <v/>
      </c>
      <c r="N49" s="144">
        <f>IFERROR(M49/L49,0)</f>
        <v/>
      </c>
      <c r="O49" s="143">
        <f>MIN(M49,L49)</f>
        <v/>
      </c>
      <c r="P49" s="143">
        <f>MAX(MIN(M49,L49*1.25)-L49,0)</f>
        <v/>
      </c>
      <c r="Q49" s="143">
        <f>MAX(M49-L49*1.25,0)</f>
        <v/>
      </c>
      <c r="R49" s="142">
        <f>O49*'Commission Plan Rules'!$F$6+P49*'Commission Plan Rules'!$F$7+Q49*'Commission Plan Rules'!$F$8</f>
        <v/>
      </c>
      <c r="S49" s="145">
        <f>IF(H49="New Business",IFERROR((K49/M49)*R49,0),IF(H49="Upsell",K49*'Commission Plan Rules'!$F$9,IF(H49="Renewal",K49*'Commission Plan Rules'!$F$10,0)))</f>
        <v/>
      </c>
      <c r="T49" s="141">
        <f>COUNTIFS($F$5:$F$274,F49,$K$5:$K$274,"&gt;"&amp;K49)+1</f>
        <v/>
      </c>
      <c r="U49" s="141">
        <f>F49&amp;"|"&amp;T49</f>
        <v/>
      </c>
    </row>
    <row r="50" ht="15" customHeight="1" s="107">
      <c r="A50" s="133" t="inlineStr">
        <is>
          <t>D00232</t>
        </is>
      </c>
      <c r="B50" s="133" t="inlineStr">
        <is>
          <t>R013</t>
        </is>
      </c>
      <c r="C50" s="146">
        <f>IFERROR(INDEX('Sales Roster &amp; Quotas'!$C$6:$C$20,MATCH($B50,'Sales Roster &amp; Quotas'!$B$6:$B$20,0)),"")</f>
        <v/>
      </c>
      <c r="D50" s="146">
        <f>IFERROR(INDEX('Sales Roster &amp; Quotas'!$D$6:$D$20,MATCH($B50,'Sales Roster &amp; Quotas'!$B$6:$B$20,0)),"")</f>
        <v/>
      </c>
      <c r="E50" s="134" t="n">
        <v>46055</v>
      </c>
      <c r="F50" s="147">
        <f>TEXT(E50,"yyyy-mm")</f>
        <v/>
      </c>
      <c r="G50" s="147">
        <f>IF(MONTH(E50)&lt;=3,"Q1","Q2")</f>
        <v/>
      </c>
      <c r="H50" s="133" t="inlineStr">
        <is>
          <t>New Business</t>
        </is>
      </c>
      <c r="I50" s="133" t="inlineStr">
        <is>
          <t>Windham Mutual Agency</t>
        </is>
      </c>
      <c r="J50" s="133" t="inlineStr">
        <is>
          <t>Analytics Add-On</t>
        </is>
      </c>
      <c r="K50" s="135" t="n">
        <v>403500</v>
      </c>
      <c r="L50" s="148">
        <f>IFERROR(INDEX('Sales Roster &amp; Quotas'!$G$6:$G$20,MATCH($B50,'Sales Roster &amp; Quotas'!$B$6:$B$20,0)),0)</f>
        <v/>
      </c>
      <c r="M50" s="149">
        <f>SUMIFS($K$5:$K$274,$B$5:$B$274,$B50,$G$5:$G$274,$G50,$H$5:$H$274,"New Business")</f>
        <v/>
      </c>
      <c r="N50" s="150">
        <f>IFERROR(M50/L50,0)</f>
        <v/>
      </c>
      <c r="O50" s="149">
        <f>MIN(M50,L50)</f>
        <v/>
      </c>
      <c r="P50" s="149">
        <f>MAX(MIN(M50,L50*1.25)-L50,0)</f>
        <v/>
      </c>
      <c r="Q50" s="149">
        <f>MAX(M50-L50*1.25,0)</f>
        <v/>
      </c>
      <c r="R50" s="148">
        <f>O50*'Commission Plan Rules'!$F$6+P50*'Commission Plan Rules'!$F$7+Q50*'Commission Plan Rules'!$F$8</f>
        <v/>
      </c>
      <c r="S50" s="151">
        <f>IF(H50="New Business",IFERROR((K50/M50)*R50,0),IF(H50="Upsell",K50*'Commission Plan Rules'!$F$9,IF(H50="Renewal",K50*'Commission Plan Rules'!$F$10,0)))</f>
        <v/>
      </c>
      <c r="T50" s="141">
        <f>COUNTIFS($F$5:$F$274,F50,$K$5:$K$274,"&gt;"&amp;K50)+1</f>
        <v/>
      </c>
      <c r="U50" s="141">
        <f>F50&amp;"|"&amp;T50</f>
        <v/>
      </c>
    </row>
    <row r="51" ht="15" customHeight="1" s="107">
      <c r="A51" s="130" t="inlineStr">
        <is>
          <t>D00257</t>
        </is>
      </c>
      <c r="B51" s="130" t="inlineStr">
        <is>
          <t>R015</t>
        </is>
      </c>
      <c r="C51" s="140">
        <f>IFERROR(INDEX('Sales Roster &amp; Quotas'!$C$6:$C$20,MATCH($B51,'Sales Roster &amp; Quotas'!$B$6:$B$20,0)),"")</f>
        <v/>
      </c>
      <c r="D51" s="140">
        <f>IFERROR(INDEX('Sales Roster &amp; Quotas'!$D$6:$D$20,MATCH($B51,'Sales Roster &amp; Quotas'!$B$6:$B$20,0)),"")</f>
        <v/>
      </c>
      <c r="E51" s="131" t="n">
        <v>46057</v>
      </c>
      <c r="F51" s="141">
        <f>TEXT(E51,"yyyy-mm")</f>
        <v/>
      </c>
      <c r="G51" s="141">
        <f>IF(MONTH(E51)&lt;=3,"Q1","Q2")</f>
        <v/>
      </c>
      <c r="H51" s="130" t="inlineStr">
        <is>
          <t>New Business</t>
        </is>
      </c>
      <c r="I51" s="130" t="inlineStr">
        <is>
          <t>Overlook Coverage Partners</t>
        </is>
      </c>
      <c r="J51" s="130" t="inlineStr">
        <is>
          <t>Policy Admin Core</t>
        </is>
      </c>
      <c r="K51" s="132" t="n">
        <v>542500</v>
      </c>
      <c r="L51" s="142">
        <f>IFERROR(INDEX('Sales Roster &amp; Quotas'!$G$6:$G$20,MATCH($B51,'Sales Roster &amp; Quotas'!$B$6:$B$20,0)),0)</f>
        <v/>
      </c>
      <c r="M51" s="143">
        <f>SUMIFS($K$5:$K$274,$B$5:$B$274,$B51,$G$5:$G$274,$G51,$H$5:$H$274,"New Business")</f>
        <v/>
      </c>
      <c r="N51" s="144">
        <f>IFERROR(M51/L51,0)</f>
        <v/>
      </c>
      <c r="O51" s="143">
        <f>MIN(M51,L51)</f>
        <v/>
      </c>
      <c r="P51" s="143">
        <f>MAX(MIN(M51,L51*1.25)-L51,0)</f>
        <v/>
      </c>
      <c r="Q51" s="143">
        <f>MAX(M51-L51*1.25,0)</f>
        <v/>
      </c>
      <c r="R51" s="142">
        <f>O51*'Commission Plan Rules'!$F$6+P51*'Commission Plan Rules'!$F$7+Q51*'Commission Plan Rules'!$F$8</f>
        <v/>
      </c>
      <c r="S51" s="145">
        <f>IF(H51="New Business",IFERROR((K51/M51)*R51,0),IF(H51="Upsell",K51*'Commission Plan Rules'!$F$9,IF(H51="Renewal",K51*'Commission Plan Rules'!$F$10,0)))</f>
        <v/>
      </c>
      <c r="T51" s="141">
        <f>COUNTIFS($F$5:$F$274,F51,$K$5:$K$274,"&gt;"&amp;K51)+1</f>
        <v/>
      </c>
      <c r="U51" s="141">
        <f>F51&amp;"|"&amp;T51</f>
        <v/>
      </c>
    </row>
    <row r="52" ht="15" customHeight="1" s="107">
      <c r="A52" s="133" t="inlineStr">
        <is>
          <t>D00127</t>
        </is>
      </c>
      <c r="B52" s="133" t="inlineStr">
        <is>
          <t>R007</t>
        </is>
      </c>
      <c r="C52" s="146">
        <f>IFERROR(INDEX('Sales Roster &amp; Quotas'!$C$6:$C$20,MATCH($B52,'Sales Roster &amp; Quotas'!$B$6:$B$20,0)),"")</f>
        <v/>
      </c>
      <c r="D52" s="146">
        <f>IFERROR(INDEX('Sales Roster &amp; Quotas'!$D$6:$D$20,MATCH($B52,'Sales Roster &amp; Quotas'!$B$6:$B$20,0)),"")</f>
        <v/>
      </c>
      <c r="E52" s="134" t="n">
        <v>46057</v>
      </c>
      <c r="F52" s="147">
        <f>TEXT(E52,"yyyy-mm")</f>
        <v/>
      </c>
      <c r="G52" s="147">
        <f>IF(MONTH(E52)&lt;=3,"Q1","Q2")</f>
        <v/>
      </c>
      <c r="H52" s="133" t="inlineStr">
        <is>
          <t>New Business</t>
        </is>
      </c>
      <c r="I52" s="133" t="inlineStr">
        <is>
          <t>Coastal Underwriters</t>
        </is>
      </c>
      <c r="J52" s="133" t="inlineStr">
        <is>
          <t>Policy Admin Core</t>
        </is>
      </c>
      <c r="K52" s="135" t="n">
        <v>112000</v>
      </c>
      <c r="L52" s="148">
        <f>IFERROR(INDEX('Sales Roster &amp; Quotas'!$G$6:$G$20,MATCH($B52,'Sales Roster &amp; Quotas'!$B$6:$B$20,0)),0)</f>
        <v/>
      </c>
      <c r="M52" s="149">
        <f>SUMIFS($K$5:$K$274,$B$5:$B$274,$B52,$G$5:$G$274,$G52,$H$5:$H$274,"New Business")</f>
        <v/>
      </c>
      <c r="N52" s="150">
        <f>IFERROR(M52/L52,0)</f>
        <v/>
      </c>
      <c r="O52" s="149">
        <f>MIN(M52,L52)</f>
        <v/>
      </c>
      <c r="P52" s="149">
        <f>MAX(MIN(M52,L52*1.25)-L52,0)</f>
        <v/>
      </c>
      <c r="Q52" s="149">
        <f>MAX(M52-L52*1.25,0)</f>
        <v/>
      </c>
      <c r="R52" s="148">
        <f>O52*'Commission Plan Rules'!$F$6+P52*'Commission Plan Rules'!$F$7+Q52*'Commission Plan Rules'!$F$8</f>
        <v/>
      </c>
      <c r="S52" s="151">
        <f>IF(H52="New Business",IFERROR((K52/M52)*R52,0),IF(H52="Upsell",K52*'Commission Plan Rules'!$F$9,IF(H52="Renewal",K52*'Commission Plan Rules'!$F$10,0)))</f>
        <v/>
      </c>
      <c r="T52" s="141">
        <f>COUNTIFS($F$5:$F$274,F52,$K$5:$K$274,"&gt;"&amp;K52)+1</f>
        <v/>
      </c>
      <c r="U52" s="141">
        <f>F52&amp;"|"&amp;T52</f>
        <v/>
      </c>
    </row>
    <row r="53" ht="15" customHeight="1" s="107">
      <c r="A53" s="130" t="inlineStr">
        <is>
          <t>D00108</t>
        </is>
      </c>
      <c r="B53" s="130" t="inlineStr">
        <is>
          <t>R006</t>
        </is>
      </c>
      <c r="C53" s="140">
        <f>IFERROR(INDEX('Sales Roster &amp; Quotas'!$C$6:$C$20,MATCH($B53,'Sales Roster &amp; Quotas'!$B$6:$B$20,0)),"")</f>
        <v/>
      </c>
      <c r="D53" s="140">
        <f>IFERROR(INDEX('Sales Roster &amp; Quotas'!$D$6:$D$20,MATCH($B53,'Sales Roster &amp; Quotas'!$B$6:$B$20,0)),"")</f>
        <v/>
      </c>
      <c r="E53" s="131" t="n">
        <v>46057</v>
      </c>
      <c r="F53" s="141">
        <f>TEXT(E53,"yyyy-mm")</f>
        <v/>
      </c>
      <c r="G53" s="141">
        <f>IF(MONTH(E53)&lt;=3,"Q1","Q2")</f>
        <v/>
      </c>
      <c r="H53" s="130" t="inlineStr">
        <is>
          <t>Upsell</t>
        </is>
      </c>
      <c r="I53" s="130" t="inlineStr">
        <is>
          <t>Riverbend Insurance Solutions</t>
        </is>
      </c>
      <c r="J53" s="130" t="inlineStr">
        <is>
          <t>Analytics Add-On</t>
        </is>
      </c>
      <c r="K53" s="132" t="n">
        <v>22500</v>
      </c>
      <c r="L53" s="142">
        <f>IFERROR(INDEX('Sales Roster &amp; Quotas'!$G$6:$G$20,MATCH($B53,'Sales Roster &amp; Quotas'!$B$6:$B$20,0)),0)</f>
        <v/>
      </c>
      <c r="M53" s="143">
        <f>SUMIFS($K$5:$K$274,$B$5:$B$274,$B53,$G$5:$G$274,$G53,$H$5:$H$274,"New Business")</f>
        <v/>
      </c>
      <c r="N53" s="144">
        <f>IFERROR(M53/L53,0)</f>
        <v/>
      </c>
      <c r="O53" s="143">
        <f>MIN(M53,L53)</f>
        <v/>
      </c>
      <c r="P53" s="143">
        <f>MAX(MIN(M53,L53*1.25)-L53,0)</f>
        <v/>
      </c>
      <c r="Q53" s="143">
        <f>MAX(M53-L53*1.25,0)</f>
        <v/>
      </c>
      <c r="R53" s="142">
        <f>O53*'Commission Plan Rules'!$F$6+P53*'Commission Plan Rules'!$F$7+Q53*'Commission Plan Rules'!$F$8</f>
        <v/>
      </c>
      <c r="S53" s="145">
        <f>IF(H53="New Business",IFERROR((K53/M53)*R53,0),IF(H53="Upsell",K53*'Commission Plan Rules'!$F$9,IF(H53="Renewal",K53*'Commission Plan Rules'!$F$10,0)))</f>
        <v/>
      </c>
      <c r="T53" s="141">
        <f>COUNTIFS($F$5:$F$274,F53,$K$5:$K$274,"&gt;"&amp;K53)+1</f>
        <v/>
      </c>
      <c r="U53" s="141">
        <f>F53&amp;"|"&amp;T53</f>
        <v/>
      </c>
    </row>
    <row r="54" ht="15" customHeight="1" s="107">
      <c r="A54" s="133" t="inlineStr">
        <is>
          <t>D00065</t>
        </is>
      </c>
      <c r="B54" s="133" t="inlineStr">
        <is>
          <t>R004</t>
        </is>
      </c>
      <c r="C54" s="146">
        <f>IFERROR(INDEX('Sales Roster &amp; Quotas'!$C$6:$C$20,MATCH($B54,'Sales Roster &amp; Quotas'!$B$6:$B$20,0)),"")</f>
        <v/>
      </c>
      <c r="D54" s="146">
        <f>IFERROR(INDEX('Sales Roster &amp; Quotas'!$D$6:$D$20,MATCH($B54,'Sales Roster &amp; Quotas'!$B$6:$B$20,0)),"")</f>
        <v/>
      </c>
      <c r="E54" s="134" t="n">
        <v>46058</v>
      </c>
      <c r="F54" s="147">
        <f>TEXT(E54,"yyyy-mm")</f>
        <v/>
      </c>
      <c r="G54" s="147">
        <f>IF(MONTH(E54)&lt;=3,"Q1","Q2")</f>
        <v/>
      </c>
      <c r="H54" s="133" t="inlineStr">
        <is>
          <t>New Business</t>
        </is>
      </c>
      <c r="I54" s="133" t="inlineStr">
        <is>
          <t>Millbrook Agency Partners</t>
        </is>
      </c>
      <c r="J54" s="133" t="inlineStr">
        <is>
          <t>Client Portal</t>
        </is>
      </c>
      <c r="K54" s="135" t="n">
        <v>47000</v>
      </c>
      <c r="L54" s="148">
        <f>IFERROR(INDEX('Sales Roster &amp; Quotas'!$G$6:$G$20,MATCH($B54,'Sales Roster &amp; Quotas'!$B$6:$B$20,0)),0)</f>
        <v/>
      </c>
      <c r="M54" s="149">
        <f>SUMIFS($K$5:$K$274,$B$5:$B$274,$B54,$G$5:$G$274,$G54,$H$5:$H$274,"New Business")</f>
        <v/>
      </c>
      <c r="N54" s="150">
        <f>IFERROR(M54/L54,0)</f>
        <v/>
      </c>
      <c r="O54" s="149">
        <f>MIN(M54,L54)</f>
        <v/>
      </c>
      <c r="P54" s="149">
        <f>MAX(MIN(M54,L54*1.25)-L54,0)</f>
        <v/>
      </c>
      <c r="Q54" s="149">
        <f>MAX(M54-L54*1.25,0)</f>
        <v/>
      </c>
      <c r="R54" s="148">
        <f>O54*'Commission Plan Rules'!$F$6+P54*'Commission Plan Rules'!$F$7+Q54*'Commission Plan Rules'!$F$8</f>
        <v/>
      </c>
      <c r="S54" s="151">
        <f>IF(H54="New Business",IFERROR((K54/M54)*R54,0),IF(H54="Upsell",K54*'Commission Plan Rules'!$F$9,IF(H54="Renewal",K54*'Commission Plan Rules'!$F$10,0)))</f>
        <v/>
      </c>
      <c r="T54" s="141">
        <f>COUNTIFS($F$5:$F$274,F54,$K$5:$K$274,"&gt;"&amp;K54)+1</f>
        <v/>
      </c>
      <c r="U54" s="141">
        <f>F54&amp;"|"&amp;T54</f>
        <v/>
      </c>
    </row>
    <row r="55" ht="15" customHeight="1" s="107">
      <c r="A55" s="130" t="inlineStr">
        <is>
          <t>D00109</t>
        </is>
      </c>
      <c r="B55" s="130" t="inlineStr">
        <is>
          <t>R006</t>
        </is>
      </c>
      <c r="C55" s="140">
        <f>IFERROR(INDEX('Sales Roster &amp; Quotas'!$C$6:$C$20,MATCH($B55,'Sales Roster &amp; Quotas'!$B$6:$B$20,0)),"")</f>
        <v/>
      </c>
      <c r="D55" s="140">
        <f>IFERROR(INDEX('Sales Roster &amp; Quotas'!$D$6:$D$20,MATCH($B55,'Sales Roster &amp; Quotas'!$B$6:$B$20,0)),"")</f>
        <v/>
      </c>
      <c r="E55" s="131" t="n">
        <v>46059</v>
      </c>
      <c r="F55" s="141">
        <f>TEXT(E55,"yyyy-mm")</f>
        <v/>
      </c>
      <c r="G55" s="141">
        <f>IF(MONTH(E55)&lt;=3,"Q1","Q2")</f>
        <v/>
      </c>
      <c r="H55" s="130" t="inlineStr">
        <is>
          <t>Upsell</t>
        </is>
      </c>
      <c r="I55" s="130" t="inlineStr">
        <is>
          <t>Sterling Agency Partners</t>
        </is>
      </c>
      <c r="J55" s="130" t="inlineStr">
        <is>
          <t>Policy Admin Core</t>
        </is>
      </c>
      <c r="K55" s="132" t="n">
        <v>21000</v>
      </c>
      <c r="L55" s="142">
        <f>IFERROR(INDEX('Sales Roster &amp; Quotas'!$G$6:$G$20,MATCH($B55,'Sales Roster &amp; Quotas'!$B$6:$B$20,0)),0)</f>
        <v/>
      </c>
      <c r="M55" s="143">
        <f>SUMIFS($K$5:$K$274,$B$5:$B$274,$B55,$G$5:$G$274,$G55,$H$5:$H$274,"New Business")</f>
        <v/>
      </c>
      <c r="N55" s="144">
        <f>IFERROR(M55/L55,0)</f>
        <v/>
      </c>
      <c r="O55" s="143">
        <f>MIN(M55,L55)</f>
        <v/>
      </c>
      <c r="P55" s="143">
        <f>MAX(MIN(M55,L55*1.25)-L55,0)</f>
        <v/>
      </c>
      <c r="Q55" s="143">
        <f>MAX(M55-L55*1.25,0)</f>
        <v/>
      </c>
      <c r="R55" s="142">
        <f>O55*'Commission Plan Rules'!$F$6+P55*'Commission Plan Rules'!$F$7+Q55*'Commission Plan Rules'!$F$8</f>
        <v/>
      </c>
      <c r="S55" s="145">
        <f>IF(H55="New Business",IFERROR((K55/M55)*R55,0),IF(H55="Upsell",K55*'Commission Plan Rules'!$F$9,IF(H55="Renewal",K55*'Commission Plan Rules'!$F$10,0)))</f>
        <v/>
      </c>
      <c r="T55" s="141">
        <f>COUNTIFS($F$5:$F$274,F55,$K$5:$K$274,"&gt;"&amp;K55)+1</f>
        <v/>
      </c>
      <c r="U55" s="141">
        <f>F55&amp;"|"&amp;T55</f>
        <v/>
      </c>
    </row>
    <row r="56" ht="15" customHeight="1" s="107">
      <c r="A56" s="133" t="inlineStr">
        <is>
          <t>D00110</t>
        </is>
      </c>
      <c r="B56" s="133" t="inlineStr">
        <is>
          <t>R006</t>
        </is>
      </c>
      <c r="C56" s="146">
        <f>IFERROR(INDEX('Sales Roster &amp; Quotas'!$C$6:$C$20,MATCH($B56,'Sales Roster &amp; Quotas'!$B$6:$B$20,0)),"")</f>
        <v/>
      </c>
      <c r="D56" s="146">
        <f>IFERROR(INDEX('Sales Roster &amp; Quotas'!$D$6:$D$20,MATCH($B56,'Sales Roster &amp; Quotas'!$B$6:$B$20,0)),"")</f>
        <v/>
      </c>
      <c r="E56" s="134" t="n">
        <v>46059</v>
      </c>
      <c r="F56" s="147">
        <f>TEXT(E56,"yyyy-mm")</f>
        <v/>
      </c>
      <c r="G56" s="147">
        <f>IF(MONTH(E56)&lt;=3,"Q1","Q2")</f>
        <v/>
      </c>
      <c r="H56" s="133" t="inlineStr">
        <is>
          <t>Renewal</t>
        </is>
      </c>
      <c r="I56" s="133" t="inlineStr">
        <is>
          <t>Millbrook Mutual Agency</t>
        </is>
      </c>
      <c r="J56" s="133" t="inlineStr">
        <is>
          <t>Claims Module</t>
        </is>
      </c>
      <c r="K56" s="135" t="n">
        <v>18000</v>
      </c>
      <c r="L56" s="148">
        <f>IFERROR(INDEX('Sales Roster &amp; Quotas'!$G$6:$G$20,MATCH($B56,'Sales Roster &amp; Quotas'!$B$6:$B$20,0)),0)</f>
        <v/>
      </c>
      <c r="M56" s="149">
        <f>SUMIFS($K$5:$K$274,$B$5:$B$274,$B56,$G$5:$G$274,$G56,$H$5:$H$274,"New Business")</f>
        <v/>
      </c>
      <c r="N56" s="150">
        <f>IFERROR(M56/L56,0)</f>
        <v/>
      </c>
      <c r="O56" s="149">
        <f>MIN(M56,L56)</f>
        <v/>
      </c>
      <c r="P56" s="149">
        <f>MAX(MIN(M56,L56*1.25)-L56,0)</f>
        <v/>
      </c>
      <c r="Q56" s="149">
        <f>MAX(M56-L56*1.25,0)</f>
        <v/>
      </c>
      <c r="R56" s="148">
        <f>O56*'Commission Plan Rules'!$F$6+P56*'Commission Plan Rules'!$F$7+Q56*'Commission Plan Rules'!$F$8</f>
        <v/>
      </c>
      <c r="S56" s="151">
        <f>IF(H56="New Business",IFERROR((K56/M56)*R56,0),IF(H56="Upsell",K56*'Commission Plan Rules'!$F$9,IF(H56="Renewal",K56*'Commission Plan Rules'!$F$10,0)))</f>
        <v/>
      </c>
      <c r="T56" s="141">
        <f>COUNTIFS($F$5:$F$274,F56,$K$5:$K$274,"&gt;"&amp;K56)+1</f>
        <v/>
      </c>
      <c r="U56" s="141">
        <f>F56&amp;"|"&amp;T56</f>
        <v/>
      </c>
    </row>
    <row r="57" ht="15" customHeight="1" s="107">
      <c r="A57" s="130" t="inlineStr">
        <is>
          <t>D00235</t>
        </is>
      </c>
      <c r="B57" s="130" t="inlineStr">
        <is>
          <t>R013</t>
        </is>
      </c>
      <c r="C57" s="140">
        <f>IFERROR(INDEX('Sales Roster &amp; Quotas'!$C$6:$C$20,MATCH($B57,'Sales Roster &amp; Quotas'!$B$6:$B$20,0)),"")</f>
        <v/>
      </c>
      <c r="D57" s="140">
        <f>IFERROR(INDEX('Sales Roster &amp; Quotas'!$D$6:$D$20,MATCH($B57,'Sales Roster &amp; Quotas'!$B$6:$B$20,0)),"")</f>
        <v/>
      </c>
      <c r="E57" s="131" t="n">
        <v>46059</v>
      </c>
      <c r="F57" s="141">
        <f>TEXT(E57,"yyyy-mm")</f>
        <v/>
      </c>
      <c r="G57" s="141">
        <f>IF(MONTH(E57)&lt;=3,"Q1","Q2")</f>
        <v/>
      </c>
      <c r="H57" s="130" t="inlineStr">
        <is>
          <t>Renewal</t>
        </is>
      </c>
      <c r="I57" s="130" t="inlineStr">
        <is>
          <t>Sterling Mutual Agency</t>
        </is>
      </c>
      <c r="J57" s="130" t="inlineStr">
        <is>
          <t>Policy Admin Core</t>
        </is>
      </c>
      <c r="K57" s="132" t="n">
        <v>101500</v>
      </c>
      <c r="L57" s="142">
        <f>IFERROR(INDEX('Sales Roster &amp; Quotas'!$G$6:$G$20,MATCH($B57,'Sales Roster &amp; Quotas'!$B$6:$B$20,0)),0)</f>
        <v/>
      </c>
      <c r="M57" s="143">
        <f>SUMIFS($K$5:$K$274,$B$5:$B$274,$B57,$G$5:$G$274,$G57,$H$5:$H$274,"New Business")</f>
        <v/>
      </c>
      <c r="N57" s="144">
        <f>IFERROR(M57/L57,0)</f>
        <v/>
      </c>
      <c r="O57" s="143">
        <f>MIN(M57,L57)</f>
        <v/>
      </c>
      <c r="P57" s="143">
        <f>MAX(MIN(M57,L57*1.25)-L57,0)</f>
        <v/>
      </c>
      <c r="Q57" s="143">
        <f>MAX(M57-L57*1.25,0)</f>
        <v/>
      </c>
      <c r="R57" s="142">
        <f>O57*'Commission Plan Rules'!$F$6+P57*'Commission Plan Rules'!$F$7+Q57*'Commission Plan Rules'!$F$8</f>
        <v/>
      </c>
      <c r="S57" s="145">
        <f>IF(H57="New Business",IFERROR((K57/M57)*R57,0),IF(H57="Upsell",K57*'Commission Plan Rules'!$F$9,IF(H57="Renewal",K57*'Commission Plan Rules'!$F$10,0)))</f>
        <v/>
      </c>
      <c r="T57" s="141">
        <f>COUNTIFS($F$5:$F$274,F57,$K$5:$K$274,"&gt;"&amp;K57)+1</f>
        <v/>
      </c>
      <c r="U57" s="141">
        <f>F57&amp;"|"&amp;T57</f>
        <v/>
      </c>
    </row>
    <row r="58" ht="15" customHeight="1" s="107">
      <c r="A58" s="133" t="inlineStr">
        <is>
          <t>D00217</t>
        </is>
      </c>
      <c r="B58" s="133" t="inlineStr">
        <is>
          <t>R012</t>
        </is>
      </c>
      <c r="C58" s="146">
        <f>IFERROR(INDEX('Sales Roster &amp; Quotas'!$C$6:$C$20,MATCH($B58,'Sales Roster &amp; Quotas'!$B$6:$B$20,0)),"")</f>
        <v/>
      </c>
      <c r="D58" s="146">
        <f>IFERROR(INDEX('Sales Roster &amp; Quotas'!$D$6:$D$20,MATCH($B58,'Sales Roster &amp; Quotas'!$B$6:$B$20,0)),"")</f>
        <v/>
      </c>
      <c r="E58" s="134" t="n">
        <v>46061</v>
      </c>
      <c r="F58" s="147">
        <f>TEXT(E58,"yyyy-mm")</f>
        <v/>
      </c>
      <c r="G58" s="147">
        <f>IF(MONTH(E58)&lt;=3,"Q1","Q2")</f>
        <v/>
      </c>
      <c r="H58" s="133" t="inlineStr">
        <is>
          <t>New Business</t>
        </is>
      </c>
      <c r="I58" s="133" t="inlineStr">
        <is>
          <t>Cedarline Underwriters</t>
        </is>
      </c>
      <c r="J58" s="133" t="inlineStr">
        <is>
          <t>Claims Module</t>
        </is>
      </c>
      <c r="K58" s="135" t="n">
        <v>61500</v>
      </c>
      <c r="L58" s="148">
        <f>IFERROR(INDEX('Sales Roster &amp; Quotas'!$G$6:$G$20,MATCH($B58,'Sales Roster &amp; Quotas'!$B$6:$B$20,0)),0)</f>
        <v/>
      </c>
      <c r="M58" s="149">
        <f>SUMIFS($K$5:$K$274,$B$5:$B$274,$B58,$G$5:$G$274,$G58,$H$5:$H$274,"New Business")</f>
        <v/>
      </c>
      <c r="N58" s="150">
        <f>IFERROR(M58/L58,0)</f>
        <v/>
      </c>
      <c r="O58" s="149">
        <f>MIN(M58,L58)</f>
        <v/>
      </c>
      <c r="P58" s="149">
        <f>MAX(MIN(M58,L58*1.25)-L58,0)</f>
        <v/>
      </c>
      <c r="Q58" s="149">
        <f>MAX(M58-L58*1.25,0)</f>
        <v/>
      </c>
      <c r="R58" s="148">
        <f>O58*'Commission Plan Rules'!$F$6+P58*'Commission Plan Rules'!$F$7+Q58*'Commission Plan Rules'!$F$8</f>
        <v/>
      </c>
      <c r="S58" s="151">
        <f>IF(H58="New Business",IFERROR((K58/M58)*R58,0),IF(H58="Upsell",K58*'Commission Plan Rules'!$F$9,IF(H58="Renewal",K58*'Commission Plan Rules'!$F$10,0)))</f>
        <v/>
      </c>
      <c r="T58" s="141">
        <f>COUNTIFS($F$5:$F$274,F58,$K$5:$K$274,"&gt;"&amp;K58)+1</f>
        <v/>
      </c>
      <c r="U58" s="141">
        <f>F58&amp;"|"&amp;T58</f>
        <v/>
      </c>
    </row>
    <row r="59" ht="15" customHeight="1" s="107">
      <c r="A59" s="130" t="inlineStr">
        <is>
          <t>D00147</t>
        </is>
      </c>
      <c r="B59" s="130" t="inlineStr">
        <is>
          <t>R008</t>
        </is>
      </c>
      <c r="C59" s="140">
        <f>IFERROR(INDEX('Sales Roster &amp; Quotas'!$C$6:$C$20,MATCH($B59,'Sales Roster &amp; Quotas'!$B$6:$B$20,0)),"")</f>
        <v/>
      </c>
      <c r="D59" s="140">
        <f>IFERROR(INDEX('Sales Roster &amp; Quotas'!$D$6:$D$20,MATCH($B59,'Sales Roster &amp; Quotas'!$B$6:$B$20,0)),"")</f>
        <v/>
      </c>
      <c r="E59" s="131" t="n">
        <v>46062</v>
      </c>
      <c r="F59" s="141">
        <f>TEXT(E59,"yyyy-mm")</f>
        <v/>
      </c>
      <c r="G59" s="141">
        <f>IF(MONTH(E59)&lt;=3,"Q1","Q2")</f>
        <v/>
      </c>
      <c r="H59" s="130" t="inlineStr">
        <is>
          <t>Renewal</t>
        </is>
      </c>
      <c r="I59" s="130" t="inlineStr">
        <is>
          <t>Brookhaven Risk Advisors</t>
        </is>
      </c>
      <c r="J59" s="130" t="inlineStr">
        <is>
          <t>Analytics Add-On</t>
        </is>
      </c>
      <c r="K59" s="132" t="n">
        <v>79000</v>
      </c>
      <c r="L59" s="142">
        <f>IFERROR(INDEX('Sales Roster &amp; Quotas'!$G$6:$G$20,MATCH($B59,'Sales Roster &amp; Quotas'!$B$6:$B$20,0)),0)</f>
        <v/>
      </c>
      <c r="M59" s="143">
        <f>SUMIFS($K$5:$K$274,$B$5:$B$274,$B59,$G$5:$G$274,$G59,$H$5:$H$274,"New Business")</f>
        <v/>
      </c>
      <c r="N59" s="144">
        <f>IFERROR(M59/L59,0)</f>
        <v/>
      </c>
      <c r="O59" s="143">
        <f>MIN(M59,L59)</f>
        <v/>
      </c>
      <c r="P59" s="143">
        <f>MAX(MIN(M59,L59*1.25)-L59,0)</f>
        <v/>
      </c>
      <c r="Q59" s="143">
        <f>MAX(M59-L59*1.25,0)</f>
        <v/>
      </c>
      <c r="R59" s="142">
        <f>O59*'Commission Plan Rules'!$F$6+P59*'Commission Plan Rules'!$F$7+Q59*'Commission Plan Rules'!$F$8</f>
        <v/>
      </c>
      <c r="S59" s="145">
        <f>IF(H59="New Business",IFERROR((K59/M59)*R59,0),IF(H59="Upsell",K59*'Commission Plan Rules'!$F$9,IF(H59="Renewal",K59*'Commission Plan Rules'!$F$10,0)))</f>
        <v/>
      </c>
      <c r="T59" s="141">
        <f>COUNTIFS($F$5:$F$274,F59,$K$5:$K$274,"&gt;"&amp;K59)+1</f>
        <v/>
      </c>
      <c r="U59" s="141">
        <f>F59&amp;"|"&amp;T59</f>
        <v/>
      </c>
    </row>
    <row r="60" ht="15" customHeight="1" s="107">
      <c r="A60" s="133" t="inlineStr">
        <is>
          <t>D00105</t>
        </is>
      </c>
      <c r="B60" s="133" t="inlineStr">
        <is>
          <t>R006</t>
        </is>
      </c>
      <c r="C60" s="146">
        <f>IFERROR(INDEX('Sales Roster &amp; Quotas'!$C$6:$C$20,MATCH($B60,'Sales Roster &amp; Quotas'!$B$6:$B$20,0)),"")</f>
        <v/>
      </c>
      <c r="D60" s="146">
        <f>IFERROR(INDEX('Sales Roster &amp; Quotas'!$D$6:$D$20,MATCH($B60,'Sales Roster &amp; Quotas'!$B$6:$B$20,0)),"")</f>
        <v/>
      </c>
      <c r="E60" s="134" t="n">
        <v>46063</v>
      </c>
      <c r="F60" s="147">
        <f>TEXT(E60,"yyyy-mm")</f>
        <v/>
      </c>
      <c r="G60" s="147">
        <f>IF(MONTH(E60)&lt;=3,"Q1","Q2")</f>
        <v/>
      </c>
      <c r="H60" s="133" t="inlineStr">
        <is>
          <t>New Business</t>
        </is>
      </c>
      <c r="I60" s="133" t="inlineStr">
        <is>
          <t>Northgate Insurance Brokers</t>
        </is>
      </c>
      <c r="J60" s="133" t="inlineStr">
        <is>
          <t>Analytics Add-On</t>
        </is>
      </c>
      <c r="K60" s="135" t="n">
        <v>14500</v>
      </c>
      <c r="L60" s="148">
        <f>IFERROR(INDEX('Sales Roster &amp; Quotas'!$G$6:$G$20,MATCH($B60,'Sales Roster &amp; Quotas'!$B$6:$B$20,0)),0)</f>
        <v/>
      </c>
      <c r="M60" s="149">
        <f>SUMIFS($K$5:$K$274,$B$5:$B$274,$B60,$G$5:$G$274,$G60,$H$5:$H$274,"New Business")</f>
        <v/>
      </c>
      <c r="N60" s="150">
        <f>IFERROR(M60/L60,0)</f>
        <v/>
      </c>
      <c r="O60" s="149">
        <f>MIN(M60,L60)</f>
        <v/>
      </c>
      <c r="P60" s="149">
        <f>MAX(MIN(M60,L60*1.25)-L60,0)</f>
        <v/>
      </c>
      <c r="Q60" s="149">
        <f>MAX(M60-L60*1.25,0)</f>
        <v/>
      </c>
      <c r="R60" s="148">
        <f>O60*'Commission Plan Rules'!$F$6+P60*'Commission Plan Rules'!$F$7+Q60*'Commission Plan Rules'!$F$8</f>
        <v/>
      </c>
      <c r="S60" s="151">
        <f>IF(H60="New Business",IFERROR((K60/M60)*R60,0),IF(H60="Upsell",K60*'Commission Plan Rules'!$F$9,IF(H60="Renewal",K60*'Commission Plan Rules'!$F$10,0)))</f>
        <v/>
      </c>
      <c r="T60" s="141">
        <f>COUNTIFS($F$5:$F$274,F60,$K$5:$K$274,"&gt;"&amp;K60)+1</f>
        <v/>
      </c>
      <c r="U60" s="141">
        <f>F60&amp;"|"&amp;T60</f>
        <v/>
      </c>
    </row>
    <row r="61" ht="15" customHeight="1" s="107">
      <c r="A61" s="130" t="inlineStr">
        <is>
          <t>D00131</t>
        </is>
      </c>
      <c r="B61" s="130" t="inlineStr">
        <is>
          <t>R007</t>
        </is>
      </c>
      <c r="C61" s="140">
        <f>IFERROR(INDEX('Sales Roster &amp; Quotas'!$C$6:$C$20,MATCH($B61,'Sales Roster &amp; Quotas'!$B$6:$B$20,0)),"")</f>
        <v/>
      </c>
      <c r="D61" s="140">
        <f>IFERROR(INDEX('Sales Roster &amp; Quotas'!$D$6:$D$20,MATCH($B61,'Sales Roster &amp; Quotas'!$B$6:$B$20,0)),"")</f>
        <v/>
      </c>
      <c r="E61" s="131" t="n">
        <v>46063</v>
      </c>
      <c r="F61" s="141">
        <f>TEXT(E61,"yyyy-mm")</f>
        <v/>
      </c>
      <c r="G61" s="141">
        <f>IF(MONTH(E61)&lt;=3,"Q1","Q2")</f>
        <v/>
      </c>
      <c r="H61" s="130" t="inlineStr">
        <is>
          <t>Upsell</t>
        </is>
      </c>
      <c r="I61" s="130" t="inlineStr">
        <is>
          <t>Sterling Insurance Brokers</t>
        </is>
      </c>
      <c r="J61" s="130" t="inlineStr">
        <is>
          <t>Analytics Add-On</t>
        </is>
      </c>
      <c r="K61" s="132" t="n">
        <v>65000</v>
      </c>
      <c r="L61" s="142">
        <f>IFERROR(INDEX('Sales Roster &amp; Quotas'!$G$6:$G$20,MATCH($B61,'Sales Roster &amp; Quotas'!$B$6:$B$20,0)),0)</f>
        <v/>
      </c>
      <c r="M61" s="143">
        <f>SUMIFS($K$5:$K$274,$B$5:$B$274,$B61,$G$5:$G$274,$G61,$H$5:$H$274,"New Business")</f>
        <v/>
      </c>
      <c r="N61" s="144">
        <f>IFERROR(M61/L61,0)</f>
        <v/>
      </c>
      <c r="O61" s="143">
        <f>MIN(M61,L61)</f>
        <v/>
      </c>
      <c r="P61" s="143">
        <f>MAX(MIN(M61,L61*1.25)-L61,0)</f>
        <v/>
      </c>
      <c r="Q61" s="143">
        <f>MAX(M61-L61*1.25,0)</f>
        <v/>
      </c>
      <c r="R61" s="142">
        <f>O61*'Commission Plan Rules'!$F$6+P61*'Commission Plan Rules'!$F$7+Q61*'Commission Plan Rules'!$F$8</f>
        <v/>
      </c>
      <c r="S61" s="145">
        <f>IF(H61="New Business",IFERROR((K61/M61)*R61,0),IF(H61="Upsell",K61*'Commission Plan Rules'!$F$9,IF(H61="Renewal",K61*'Commission Plan Rules'!$F$10,0)))</f>
        <v/>
      </c>
      <c r="T61" s="141">
        <f>COUNTIFS($F$5:$F$274,F61,$K$5:$K$274,"&gt;"&amp;K61)+1</f>
        <v/>
      </c>
      <c r="U61" s="141">
        <f>F61&amp;"|"&amp;T61</f>
        <v/>
      </c>
    </row>
    <row r="62" ht="15" customHeight="1" s="107">
      <c r="A62" s="133" t="inlineStr">
        <is>
          <t>D00247</t>
        </is>
      </c>
      <c r="B62" s="133" t="inlineStr">
        <is>
          <t>R014</t>
        </is>
      </c>
      <c r="C62" s="146">
        <f>IFERROR(INDEX('Sales Roster &amp; Quotas'!$C$6:$C$20,MATCH($B62,'Sales Roster &amp; Quotas'!$B$6:$B$20,0)),"")</f>
        <v/>
      </c>
      <c r="D62" s="146">
        <f>IFERROR(INDEX('Sales Roster &amp; Quotas'!$D$6:$D$20,MATCH($B62,'Sales Roster &amp; Quotas'!$B$6:$B$20,0)),"")</f>
        <v/>
      </c>
      <c r="E62" s="134" t="n">
        <v>46063</v>
      </c>
      <c r="F62" s="147">
        <f>TEXT(E62,"yyyy-mm")</f>
        <v/>
      </c>
      <c r="G62" s="147">
        <f>IF(MONTH(E62)&lt;=3,"Q1","Q2")</f>
        <v/>
      </c>
      <c r="H62" s="133" t="inlineStr">
        <is>
          <t>Upsell</t>
        </is>
      </c>
      <c r="I62" s="133" t="inlineStr">
        <is>
          <t>Riverbend Insurance Group</t>
        </is>
      </c>
      <c r="J62" s="133" t="inlineStr">
        <is>
          <t>Analytics Add-On</t>
        </is>
      </c>
      <c r="K62" s="135" t="n">
        <v>38500</v>
      </c>
      <c r="L62" s="148">
        <f>IFERROR(INDEX('Sales Roster &amp; Quotas'!$G$6:$G$20,MATCH($B62,'Sales Roster &amp; Quotas'!$B$6:$B$20,0)),0)</f>
        <v/>
      </c>
      <c r="M62" s="149">
        <f>SUMIFS($K$5:$K$274,$B$5:$B$274,$B62,$G$5:$G$274,$G62,$H$5:$H$274,"New Business")</f>
        <v/>
      </c>
      <c r="N62" s="150">
        <f>IFERROR(M62/L62,0)</f>
        <v/>
      </c>
      <c r="O62" s="149">
        <f>MIN(M62,L62)</f>
        <v/>
      </c>
      <c r="P62" s="149">
        <f>MAX(MIN(M62,L62*1.25)-L62,0)</f>
        <v/>
      </c>
      <c r="Q62" s="149">
        <f>MAX(M62-L62*1.25,0)</f>
        <v/>
      </c>
      <c r="R62" s="148">
        <f>O62*'Commission Plan Rules'!$F$6+P62*'Commission Plan Rules'!$F$7+Q62*'Commission Plan Rules'!$F$8</f>
        <v/>
      </c>
      <c r="S62" s="151">
        <f>IF(H62="New Business",IFERROR((K62/M62)*R62,0),IF(H62="Upsell",K62*'Commission Plan Rules'!$F$9,IF(H62="Renewal",K62*'Commission Plan Rules'!$F$10,0)))</f>
        <v/>
      </c>
      <c r="T62" s="141">
        <f>COUNTIFS($F$5:$F$274,F62,$K$5:$K$274,"&gt;"&amp;K62)+1</f>
        <v/>
      </c>
      <c r="U62" s="141">
        <f>F62&amp;"|"&amp;T62</f>
        <v/>
      </c>
    </row>
    <row r="63" ht="15" customHeight="1" s="107">
      <c r="A63" s="130" t="inlineStr">
        <is>
          <t>D00001</t>
        </is>
      </c>
      <c r="B63" s="130" t="inlineStr">
        <is>
          <t>R001</t>
        </is>
      </c>
      <c r="C63" s="140">
        <f>IFERROR(INDEX('Sales Roster &amp; Quotas'!$C$6:$C$20,MATCH($B63,'Sales Roster &amp; Quotas'!$B$6:$B$20,0)),"")</f>
        <v/>
      </c>
      <c r="D63" s="140">
        <f>IFERROR(INDEX('Sales Roster &amp; Quotas'!$D$6:$D$20,MATCH($B63,'Sales Roster &amp; Quotas'!$B$6:$B$20,0)),"")</f>
        <v/>
      </c>
      <c r="E63" s="131" t="n">
        <v>46064</v>
      </c>
      <c r="F63" s="141">
        <f>TEXT(E63,"yyyy-mm")</f>
        <v/>
      </c>
      <c r="G63" s="141">
        <f>IF(MONTH(E63)&lt;=3,"Q1","Q2")</f>
        <v/>
      </c>
      <c r="H63" s="130" t="inlineStr">
        <is>
          <t>New Business</t>
        </is>
      </c>
      <c r="I63" s="130" t="inlineStr">
        <is>
          <t>Bridgeway Insurance Solutions</t>
        </is>
      </c>
      <c r="J63" s="130" t="inlineStr">
        <is>
          <t>Policy Admin Core</t>
        </is>
      </c>
      <c r="K63" s="132" t="n">
        <v>54000</v>
      </c>
      <c r="L63" s="142">
        <f>IFERROR(INDEX('Sales Roster &amp; Quotas'!$G$6:$G$20,MATCH($B63,'Sales Roster &amp; Quotas'!$B$6:$B$20,0)),0)</f>
        <v/>
      </c>
      <c r="M63" s="143">
        <f>SUMIFS($K$5:$K$274,$B$5:$B$274,$B63,$G$5:$G$274,$G63,$H$5:$H$274,"New Business")</f>
        <v/>
      </c>
      <c r="N63" s="144">
        <f>IFERROR(M63/L63,0)</f>
        <v/>
      </c>
      <c r="O63" s="143">
        <f>MIN(M63,L63)</f>
        <v/>
      </c>
      <c r="P63" s="143">
        <f>MAX(MIN(M63,L63*1.25)-L63,0)</f>
        <v/>
      </c>
      <c r="Q63" s="143">
        <f>MAX(M63-L63*1.25,0)</f>
        <v/>
      </c>
      <c r="R63" s="142">
        <f>O63*'Commission Plan Rules'!$F$6+P63*'Commission Plan Rules'!$F$7+Q63*'Commission Plan Rules'!$F$8</f>
        <v/>
      </c>
      <c r="S63" s="145">
        <f>IF(H63="New Business",IFERROR((K63/M63)*R63,0),IF(H63="Upsell",K63*'Commission Plan Rules'!$F$9,IF(H63="Renewal",K63*'Commission Plan Rules'!$F$10,0)))</f>
        <v/>
      </c>
      <c r="T63" s="141">
        <f>COUNTIFS($F$5:$F$274,F63,$K$5:$K$274,"&gt;"&amp;K63)+1</f>
        <v/>
      </c>
      <c r="U63" s="141">
        <f>F63&amp;"|"&amp;T63</f>
        <v/>
      </c>
    </row>
    <row r="64" ht="15" customHeight="1" s="107">
      <c r="A64" s="133" t="inlineStr">
        <is>
          <t>D00066</t>
        </is>
      </c>
      <c r="B64" s="133" t="inlineStr">
        <is>
          <t>R004</t>
        </is>
      </c>
      <c r="C64" s="146">
        <f>IFERROR(INDEX('Sales Roster &amp; Quotas'!$C$6:$C$20,MATCH($B64,'Sales Roster &amp; Quotas'!$B$6:$B$20,0)),"")</f>
        <v/>
      </c>
      <c r="D64" s="146">
        <f>IFERROR(INDEX('Sales Roster &amp; Quotas'!$D$6:$D$20,MATCH($B64,'Sales Roster &amp; Quotas'!$B$6:$B$20,0)),"")</f>
        <v/>
      </c>
      <c r="E64" s="134" t="n">
        <v>46064</v>
      </c>
      <c r="F64" s="147">
        <f>TEXT(E64,"yyyy-mm")</f>
        <v/>
      </c>
      <c r="G64" s="147">
        <f>IF(MONTH(E64)&lt;=3,"Q1","Q2")</f>
        <v/>
      </c>
      <c r="H64" s="133" t="inlineStr">
        <is>
          <t>New Business</t>
        </is>
      </c>
      <c r="I64" s="133" t="inlineStr">
        <is>
          <t>Ashford Insurance Brokers</t>
        </is>
      </c>
      <c r="J64" s="133" t="inlineStr">
        <is>
          <t>Policy Admin Core</t>
        </is>
      </c>
      <c r="K64" s="135" t="n">
        <v>63500</v>
      </c>
      <c r="L64" s="148">
        <f>IFERROR(INDEX('Sales Roster &amp; Quotas'!$G$6:$G$20,MATCH($B64,'Sales Roster &amp; Quotas'!$B$6:$B$20,0)),0)</f>
        <v/>
      </c>
      <c r="M64" s="149">
        <f>SUMIFS($K$5:$K$274,$B$5:$B$274,$B64,$G$5:$G$274,$G64,$H$5:$H$274,"New Business")</f>
        <v/>
      </c>
      <c r="N64" s="150">
        <f>IFERROR(M64/L64,0)</f>
        <v/>
      </c>
      <c r="O64" s="149">
        <f>MIN(M64,L64)</f>
        <v/>
      </c>
      <c r="P64" s="149">
        <f>MAX(MIN(M64,L64*1.25)-L64,0)</f>
        <v/>
      </c>
      <c r="Q64" s="149">
        <f>MAX(M64-L64*1.25,0)</f>
        <v/>
      </c>
      <c r="R64" s="148">
        <f>O64*'Commission Plan Rules'!$F$6+P64*'Commission Plan Rules'!$F$7+Q64*'Commission Plan Rules'!$F$8</f>
        <v/>
      </c>
      <c r="S64" s="151">
        <f>IF(H64="New Business",IFERROR((K64/M64)*R64,0),IF(H64="Upsell",K64*'Commission Plan Rules'!$F$9,IF(H64="Renewal",K64*'Commission Plan Rules'!$F$10,0)))</f>
        <v/>
      </c>
      <c r="T64" s="141">
        <f>COUNTIFS($F$5:$F$274,F64,$K$5:$K$274,"&gt;"&amp;K64)+1</f>
        <v/>
      </c>
      <c r="U64" s="141">
        <f>F64&amp;"|"&amp;T64</f>
        <v/>
      </c>
    </row>
    <row r="65" ht="15" customHeight="1" s="107">
      <c r="A65" s="130" t="inlineStr">
        <is>
          <t>D00196</t>
        </is>
      </c>
      <c r="B65" s="130" t="inlineStr">
        <is>
          <t>R011</t>
        </is>
      </c>
      <c r="C65" s="140">
        <f>IFERROR(INDEX('Sales Roster &amp; Quotas'!$C$6:$C$20,MATCH($B65,'Sales Roster &amp; Quotas'!$B$6:$B$20,0)),"")</f>
        <v/>
      </c>
      <c r="D65" s="140">
        <f>IFERROR(INDEX('Sales Roster &amp; Quotas'!$D$6:$D$20,MATCH($B65,'Sales Roster &amp; Quotas'!$B$6:$B$20,0)),"")</f>
        <v/>
      </c>
      <c r="E65" s="131" t="n">
        <v>46064</v>
      </c>
      <c r="F65" s="141">
        <f>TEXT(E65,"yyyy-mm")</f>
        <v/>
      </c>
      <c r="G65" s="141">
        <f>IF(MONTH(E65)&lt;=3,"Q1","Q2")</f>
        <v/>
      </c>
      <c r="H65" s="130" t="inlineStr">
        <is>
          <t>New Business</t>
        </is>
      </c>
      <c r="I65" s="130" t="inlineStr">
        <is>
          <t>Overlook Mutual Agency</t>
        </is>
      </c>
      <c r="J65" s="130" t="inlineStr">
        <is>
          <t>Claims Module</t>
        </is>
      </c>
      <c r="K65" s="132" t="n">
        <v>139500</v>
      </c>
      <c r="L65" s="142">
        <f>IFERROR(INDEX('Sales Roster &amp; Quotas'!$G$6:$G$20,MATCH($B65,'Sales Roster &amp; Quotas'!$B$6:$B$20,0)),0)</f>
        <v/>
      </c>
      <c r="M65" s="143">
        <f>SUMIFS($K$5:$K$274,$B$5:$B$274,$B65,$G$5:$G$274,$G65,$H$5:$H$274,"New Business")</f>
        <v/>
      </c>
      <c r="N65" s="144">
        <f>IFERROR(M65/L65,0)</f>
        <v/>
      </c>
      <c r="O65" s="143">
        <f>MIN(M65,L65)</f>
        <v/>
      </c>
      <c r="P65" s="143">
        <f>MAX(MIN(M65,L65*1.25)-L65,0)</f>
        <v/>
      </c>
      <c r="Q65" s="143">
        <f>MAX(M65-L65*1.25,0)</f>
        <v/>
      </c>
      <c r="R65" s="142">
        <f>O65*'Commission Plan Rules'!$F$6+P65*'Commission Plan Rules'!$F$7+Q65*'Commission Plan Rules'!$F$8</f>
        <v/>
      </c>
      <c r="S65" s="145">
        <f>IF(H65="New Business",IFERROR((K65/M65)*R65,0),IF(H65="Upsell",K65*'Commission Plan Rules'!$F$9,IF(H65="Renewal",K65*'Commission Plan Rules'!$F$10,0)))</f>
        <v/>
      </c>
      <c r="T65" s="141">
        <f>COUNTIFS($F$5:$F$274,F65,$K$5:$K$274,"&gt;"&amp;K65)+1</f>
        <v/>
      </c>
      <c r="U65" s="141">
        <f>F65&amp;"|"&amp;T65</f>
        <v/>
      </c>
    </row>
    <row r="66" ht="15" customHeight="1" s="107">
      <c r="A66" s="133" t="inlineStr">
        <is>
          <t>D00250</t>
        </is>
      </c>
      <c r="B66" s="133" t="inlineStr">
        <is>
          <t>R014</t>
        </is>
      </c>
      <c r="C66" s="146">
        <f>IFERROR(INDEX('Sales Roster &amp; Quotas'!$C$6:$C$20,MATCH($B66,'Sales Roster &amp; Quotas'!$B$6:$B$20,0)),"")</f>
        <v/>
      </c>
      <c r="D66" s="146">
        <f>IFERROR(INDEX('Sales Roster &amp; Quotas'!$D$6:$D$20,MATCH($B66,'Sales Roster &amp; Quotas'!$B$6:$B$20,0)),"")</f>
        <v/>
      </c>
      <c r="E66" s="134" t="n">
        <v>46064</v>
      </c>
      <c r="F66" s="147">
        <f>TEXT(E66,"yyyy-mm")</f>
        <v/>
      </c>
      <c r="G66" s="147">
        <f>IF(MONTH(E66)&lt;=3,"Q1","Q2")</f>
        <v/>
      </c>
      <c r="H66" s="133" t="inlineStr">
        <is>
          <t>Renewal</t>
        </is>
      </c>
      <c r="I66" s="133" t="inlineStr">
        <is>
          <t>Windham Insurance Solutions</t>
        </is>
      </c>
      <c r="J66" s="133" t="inlineStr">
        <is>
          <t>Policy Admin Core</t>
        </is>
      </c>
      <c r="K66" s="135" t="n">
        <v>57000</v>
      </c>
      <c r="L66" s="148">
        <f>IFERROR(INDEX('Sales Roster &amp; Quotas'!$G$6:$G$20,MATCH($B66,'Sales Roster &amp; Quotas'!$B$6:$B$20,0)),0)</f>
        <v/>
      </c>
      <c r="M66" s="149">
        <f>SUMIFS($K$5:$K$274,$B$5:$B$274,$B66,$G$5:$G$274,$G66,$H$5:$H$274,"New Business")</f>
        <v/>
      </c>
      <c r="N66" s="150">
        <f>IFERROR(M66/L66,0)</f>
        <v/>
      </c>
      <c r="O66" s="149">
        <f>MIN(M66,L66)</f>
        <v/>
      </c>
      <c r="P66" s="149">
        <f>MAX(MIN(M66,L66*1.25)-L66,0)</f>
        <v/>
      </c>
      <c r="Q66" s="149">
        <f>MAX(M66-L66*1.25,0)</f>
        <v/>
      </c>
      <c r="R66" s="148">
        <f>O66*'Commission Plan Rules'!$F$6+P66*'Commission Plan Rules'!$F$7+Q66*'Commission Plan Rules'!$F$8</f>
        <v/>
      </c>
      <c r="S66" s="151">
        <f>IF(H66="New Business",IFERROR((K66/M66)*R66,0),IF(H66="Upsell",K66*'Commission Plan Rules'!$F$9,IF(H66="Renewal",K66*'Commission Plan Rules'!$F$10,0)))</f>
        <v/>
      </c>
      <c r="T66" s="141">
        <f>COUNTIFS($F$5:$F$274,F66,$K$5:$K$274,"&gt;"&amp;K66)+1</f>
        <v/>
      </c>
      <c r="U66" s="141">
        <f>F66&amp;"|"&amp;T66</f>
        <v/>
      </c>
    </row>
    <row r="67" ht="15" customHeight="1" s="107">
      <c r="A67" s="130" t="inlineStr">
        <is>
          <t>D00197</t>
        </is>
      </c>
      <c r="B67" s="130" t="inlineStr">
        <is>
          <t>R011</t>
        </is>
      </c>
      <c r="C67" s="140">
        <f>IFERROR(INDEX('Sales Roster &amp; Quotas'!$C$6:$C$20,MATCH($B67,'Sales Roster &amp; Quotas'!$B$6:$B$20,0)),"")</f>
        <v/>
      </c>
      <c r="D67" s="140">
        <f>IFERROR(INDEX('Sales Roster &amp; Quotas'!$D$6:$D$20,MATCH($B67,'Sales Roster &amp; Quotas'!$B$6:$B$20,0)),"")</f>
        <v/>
      </c>
      <c r="E67" s="131" t="n">
        <v>46065</v>
      </c>
      <c r="F67" s="141">
        <f>TEXT(E67,"yyyy-mm")</f>
        <v/>
      </c>
      <c r="G67" s="141">
        <f>IF(MONTH(E67)&lt;=3,"Q1","Q2")</f>
        <v/>
      </c>
      <c r="H67" s="130" t="inlineStr">
        <is>
          <t>New Business</t>
        </is>
      </c>
      <c r="I67" s="130" t="inlineStr">
        <is>
          <t>Ironwood Insurance Solutions</t>
        </is>
      </c>
      <c r="J67" s="130" t="inlineStr">
        <is>
          <t>Claims Module</t>
        </is>
      </c>
      <c r="K67" s="132" t="n">
        <v>17500</v>
      </c>
      <c r="L67" s="142">
        <f>IFERROR(INDEX('Sales Roster &amp; Quotas'!$G$6:$G$20,MATCH($B67,'Sales Roster &amp; Quotas'!$B$6:$B$20,0)),0)</f>
        <v/>
      </c>
      <c r="M67" s="143">
        <f>SUMIFS($K$5:$K$274,$B$5:$B$274,$B67,$G$5:$G$274,$G67,$H$5:$H$274,"New Business")</f>
        <v/>
      </c>
      <c r="N67" s="144">
        <f>IFERROR(M67/L67,0)</f>
        <v/>
      </c>
      <c r="O67" s="143">
        <f>MIN(M67,L67)</f>
        <v/>
      </c>
      <c r="P67" s="143">
        <f>MAX(MIN(M67,L67*1.25)-L67,0)</f>
        <v/>
      </c>
      <c r="Q67" s="143">
        <f>MAX(M67-L67*1.25,0)</f>
        <v/>
      </c>
      <c r="R67" s="142">
        <f>O67*'Commission Plan Rules'!$F$6+P67*'Commission Plan Rules'!$F$7+Q67*'Commission Plan Rules'!$F$8</f>
        <v/>
      </c>
      <c r="S67" s="145">
        <f>IF(H67="New Business",IFERROR((K67/M67)*R67,0),IF(H67="Upsell",K67*'Commission Plan Rules'!$F$9,IF(H67="Renewal",K67*'Commission Plan Rules'!$F$10,0)))</f>
        <v/>
      </c>
      <c r="T67" s="141">
        <f>COUNTIFS($F$5:$F$274,F67,$K$5:$K$274,"&gt;"&amp;K67)+1</f>
        <v/>
      </c>
      <c r="U67" s="141">
        <f>F67&amp;"|"&amp;T67</f>
        <v/>
      </c>
    </row>
    <row r="68" ht="15" customHeight="1" s="107">
      <c r="A68" s="133" t="inlineStr">
        <is>
          <t>D00025</t>
        </is>
      </c>
      <c r="B68" s="133" t="inlineStr">
        <is>
          <t>R002</t>
        </is>
      </c>
      <c r="C68" s="146">
        <f>IFERROR(INDEX('Sales Roster &amp; Quotas'!$C$6:$C$20,MATCH($B68,'Sales Roster &amp; Quotas'!$B$6:$B$20,0)),"")</f>
        <v/>
      </c>
      <c r="D68" s="146">
        <f>IFERROR(INDEX('Sales Roster &amp; Quotas'!$D$6:$D$20,MATCH($B68,'Sales Roster &amp; Quotas'!$B$6:$B$20,0)),"")</f>
        <v/>
      </c>
      <c r="E68" s="134" t="n">
        <v>46067</v>
      </c>
      <c r="F68" s="147">
        <f>TEXT(E68,"yyyy-mm")</f>
        <v/>
      </c>
      <c r="G68" s="147">
        <f>IF(MONTH(E68)&lt;=3,"Q1","Q2")</f>
        <v/>
      </c>
      <c r="H68" s="133" t="inlineStr">
        <is>
          <t>New Business</t>
        </is>
      </c>
      <c r="I68" s="133" t="inlineStr">
        <is>
          <t>Sterling Insurance Group</t>
        </is>
      </c>
      <c r="J68" s="133" t="inlineStr">
        <is>
          <t>Claims Module</t>
        </is>
      </c>
      <c r="K68" s="135" t="n">
        <v>29500</v>
      </c>
      <c r="L68" s="148">
        <f>IFERROR(INDEX('Sales Roster &amp; Quotas'!$G$6:$G$20,MATCH($B68,'Sales Roster &amp; Quotas'!$B$6:$B$20,0)),0)</f>
        <v/>
      </c>
      <c r="M68" s="149">
        <f>SUMIFS($K$5:$K$274,$B$5:$B$274,$B68,$G$5:$G$274,$G68,$H$5:$H$274,"New Business")</f>
        <v/>
      </c>
      <c r="N68" s="150">
        <f>IFERROR(M68/L68,0)</f>
        <v/>
      </c>
      <c r="O68" s="149">
        <f>MIN(M68,L68)</f>
        <v/>
      </c>
      <c r="P68" s="149">
        <f>MAX(MIN(M68,L68*1.25)-L68,0)</f>
        <v/>
      </c>
      <c r="Q68" s="149">
        <f>MAX(M68-L68*1.25,0)</f>
        <v/>
      </c>
      <c r="R68" s="148">
        <f>O68*'Commission Plan Rules'!$F$6+P68*'Commission Plan Rules'!$F$7+Q68*'Commission Plan Rules'!$F$8</f>
        <v/>
      </c>
      <c r="S68" s="151">
        <f>IF(H68="New Business",IFERROR((K68/M68)*R68,0),IF(H68="Upsell",K68*'Commission Plan Rules'!$F$9,IF(H68="Renewal",K68*'Commission Plan Rules'!$F$10,0)))</f>
        <v/>
      </c>
      <c r="T68" s="141">
        <f>COUNTIFS($F$5:$F$274,F68,$K$5:$K$274,"&gt;"&amp;K68)+1</f>
        <v/>
      </c>
      <c r="U68" s="141">
        <f>F68&amp;"|"&amp;T68</f>
        <v/>
      </c>
    </row>
    <row r="69" ht="15" customHeight="1" s="107">
      <c r="A69" s="130" t="inlineStr">
        <is>
          <t>D00012</t>
        </is>
      </c>
      <c r="B69" s="130" t="inlineStr">
        <is>
          <t>R001</t>
        </is>
      </c>
      <c r="C69" s="140">
        <f>IFERROR(INDEX('Sales Roster &amp; Quotas'!$C$6:$C$20,MATCH($B69,'Sales Roster &amp; Quotas'!$B$6:$B$20,0)),"")</f>
        <v/>
      </c>
      <c r="D69" s="140">
        <f>IFERROR(INDEX('Sales Roster &amp; Quotas'!$D$6:$D$20,MATCH($B69,'Sales Roster &amp; Quotas'!$B$6:$B$20,0)),"")</f>
        <v/>
      </c>
      <c r="E69" s="131" t="n">
        <v>46067</v>
      </c>
      <c r="F69" s="141">
        <f>TEXT(E69,"yyyy-mm")</f>
        <v/>
      </c>
      <c r="G69" s="141">
        <f>IF(MONTH(E69)&lt;=3,"Q1","Q2")</f>
        <v/>
      </c>
      <c r="H69" s="130" t="inlineStr">
        <is>
          <t>Renewal</t>
        </is>
      </c>
      <c r="I69" s="130" t="inlineStr">
        <is>
          <t>Brookhaven Risk Advisors</t>
        </is>
      </c>
      <c r="J69" s="130" t="inlineStr">
        <is>
          <t>Policy Admin Core</t>
        </is>
      </c>
      <c r="K69" s="132" t="n">
        <v>26500</v>
      </c>
      <c r="L69" s="142">
        <f>IFERROR(INDEX('Sales Roster &amp; Quotas'!$G$6:$G$20,MATCH($B69,'Sales Roster &amp; Quotas'!$B$6:$B$20,0)),0)</f>
        <v/>
      </c>
      <c r="M69" s="143">
        <f>SUMIFS($K$5:$K$274,$B$5:$B$274,$B69,$G$5:$G$274,$G69,$H$5:$H$274,"New Business")</f>
        <v/>
      </c>
      <c r="N69" s="144">
        <f>IFERROR(M69/L69,0)</f>
        <v/>
      </c>
      <c r="O69" s="143">
        <f>MIN(M69,L69)</f>
        <v/>
      </c>
      <c r="P69" s="143">
        <f>MAX(MIN(M69,L69*1.25)-L69,0)</f>
        <v/>
      </c>
      <c r="Q69" s="143">
        <f>MAX(M69-L69*1.25,0)</f>
        <v/>
      </c>
      <c r="R69" s="142">
        <f>O69*'Commission Plan Rules'!$F$6+P69*'Commission Plan Rules'!$F$7+Q69*'Commission Plan Rules'!$F$8</f>
        <v/>
      </c>
      <c r="S69" s="145">
        <f>IF(H69="New Business",IFERROR((K69/M69)*R69,0),IF(H69="Upsell",K69*'Commission Plan Rules'!$F$9,IF(H69="Renewal",K69*'Commission Plan Rules'!$F$10,0)))</f>
        <v/>
      </c>
      <c r="T69" s="141">
        <f>COUNTIFS($F$5:$F$274,F69,$K$5:$K$274,"&gt;"&amp;K69)+1</f>
        <v/>
      </c>
      <c r="U69" s="141">
        <f>F69&amp;"|"&amp;T69</f>
        <v/>
      </c>
    </row>
    <row r="70" ht="15" customHeight="1" s="107">
      <c r="A70" s="133" t="inlineStr">
        <is>
          <t>D00129</t>
        </is>
      </c>
      <c r="B70" s="133" t="inlineStr">
        <is>
          <t>R007</t>
        </is>
      </c>
      <c r="C70" s="146">
        <f>IFERROR(INDEX('Sales Roster &amp; Quotas'!$C$6:$C$20,MATCH($B70,'Sales Roster &amp; Quotas'!$B$6:$B$20,0)),"")</f>
        <v/>
      </c>
      <c r="D70" s="146">
        <f>IFERROR(INDEX('Sales Roster &amp; Quotas'!$D$6:$D$20,MATCH($B70,'Sales Roster &amp; Quotas'!$B$6:$B$20,0)),"")</f>
        <v/>
      </c>
      <c r="E70" s="134" t="n">
        <v>46067</v>
      </c>
      <c r="F70" s="147">
        <f>TEXT(E70,"yyyy-mm")</f>
        <v/>
      </c>
      <c r="G70" s="147">
        <f>IF(MONTH(E70)&lt;=3,"Q1","Q2")</f>
        <v/>
      </c>
      <c r="H70" s="133" t="inlineStr">
        <is>
          <t>New Business</t>
        </is>
      </c>
      <c r="I70" s="133" t="inlineStr">
        <is>
          <t>Ironwood Insurance Solutions</t>
        </is>
      </c>
      <c r="J70" s="133" t="inlineStr">
        <is>
          <t>Analytics Add-On</t>
        </is>
      </c>
      <c r="K70" s="135" t="n">
        <v>81000</v>
      </c>
      <c r="L70" s="148">
        <f>IFERROR(INDEX('Sales Roster &amp; Quotas'!$G$6:$G$20,MATCH($B70,'Sales Roster &amp; Quotas'!$B$6:$B$20,0)),0)</f>
        <v/>
      </c>
      <c r="M70" s="149">
        <f>SUMIFS($K$5:$K$274,$B$5:$B$274,$B70,$G$5:$G$274,$G70,$H$5:$H$274,"New Business")</f>
        <v/>
      </c>
      <c r="N70" s="150">
        <f>IFERROR(M70/L70,0)</f>
        <v/>
      </c>
      <c r="O70" s="149">
        <f>MIN(M70,L70)</f>
        <v/>
      </c>
      <c r="P70" s="149">
        <f>MAX(MIN(M70,L70*1.25)-L70,0)</f>
        <v/>
      </c>
      <c r="Q70" s="149">
        <f>MAX(M70-L70*1.25,0)</f>
        <v/>
      </c>
      <c r="R70" s="148">
        <f>O70*'Commission Plan Rules'!$F$6+P70*'Commission Plan Rules'!$F$7+Q70*'Commission Plan Rules'!$F$8</f>
        <v/>
      </c>
      <c r="S70" s="151">
        <f>IF(H70="New Business",IFERROR((K70/M70)*R70,0),IF(H70="Upsell",K70*'Commission Plan Rules'!$F$9,IF(H70="Renewal",K70*'Commission Plan Rules'!$F$10,0)))</f>
        <v/>
      </c>
      <c r="T70" s="141">
        <f>COUNTIFS($F$5:$F$274,F70,$K$5:$K$274,"&gt;"&amp;K70)+1</f>
        <v/>
      </c>
      <c r="U70" s="141">
        <f>F70&amp;"|"&amp;T70</f>
        <v/>
      </c>
    </row>
    <row r="71" ht="15" customHeight="1" s="107">
      <c r="A71" s="130" t="inlineStr">
        <is>
          <t>D00008</t>
        </is>
      </c>
      <c r="B71" s="130" t="inlineStr">
        <is>
          <t>R001</t>
        </is>
      </c>
      <c r="C71" s="140">
        <f>IFERROR(INDEX('Sales Roster &amp; Quotas'!$C$6:$C$20,MATCH($B71,'Sales Roster &amp; Quotas'!$B$6:$B$20,0)),"")</f>
        <v/>
      </c>
      <c r="D71" s="140">
        <f>IFERROR(INDEX('Sales Roster &amp; Quotas'!$D$6:$D$20,MATCH($B71,'Sales Roster &amp; Quotas'!$B$6:$B$20,0)),"")</f>
        <v/>
      </c>
      <c r="E71" s="131" t="n">
        <v>46067</v>
      </c>
      <c r="F71" s="141">
        <f>TEXT(E71,"yyyy-mm")</f>
        <v/>
      </c>
      <c r="G71" s="141">
        <f>IF(MONTH(E71)&lt;=3,"Q1","Q2")</f>
        <v/>
      </c>
      <c r="H71" s="130" t="inlineStr">
        <is>
          <t>Upsell</t>
        </is>
      </c>
      <c r="I71" s="130" t="inlineStr">
        <is>
          <t>Meadowbrook Underwriters</t>
        </is>
      </c>
      <c r="J71" s="130" t="inlineStr">
        <is>
          <t>Analytics Add-On</t>
        </is>
      </c>
      <c r="K71" s="132" t="n">
        <v>19500</v>
      </c>
      <c r="L71" s="142">
        <f>IFERROR(INDEX('Sales Roster &amp; Quotas'!$G$6:$G$20,MATCH($B71,'Sales Roster &amp; Quotas'!$B$6:$B$20,0)),0)</f>
        <v/>
      </c>
      <c r="M71" s="143">
        <f>SUMIFS($K$5:$K$274,$B$5:$B$274,$B71,$G$5:$G$274,$G71,$H$5:$H$274,"New Business")</f>
        <v/>
      </c>
      <c r="N71" s="144">
        <f>IFERROR(M71/L71,0)</f>
        <v/>
      </c>
      <c r="O71" s="143">
        <f>MIN(M71,L71)</f>
        <v/>
      </c>
      <c r="P71" s="143">
        <f>MAX(MIN(M71,L71*1.25)-L71,0)</f>
        <v/>
      </c>
      <c r="Q71" s="143">
        <f>MAX(M71-L71*1.25,0)</f>
        <v/>
      </c>
      <c r="R71" s="142">
        <f>O71*'Commission Plan Rules'!$F$6+P71*'Commission Plan Rules'!$F$7+Q71*'Commission Plan Rules'!$F$8</f>
        <v/>
      </c>
      <c r="S71" s="145">
        <f>IF(H71="New Business",IFERROR((K71/M71)*R71,0),IF(H71="Upsell",K71*'Commission Plan Rules'!$F$9,IF(H71="Renewal",K71*'Commission Plan Rules'!$F$10,0)))</f>
        <v/>
      </c>
      <c r="T71" s="141">
        <f>COUNTIFS($F$5:$F$274,F71,$K$5:$K$274,"&gt;"&amp;K71)+1</f>
        <v/>
      </c>
      <c r="U71" s="141">
        <f>F71&amp;"|"&amp;T71</f>
        <v/>
      </c>
    </row>
    <row r="72" ht="15" customHeight="1" s="107">
      <c r="A72" s="133" t="inlineStr">
        <is>
          <t>D00144</t>
        </is>
      </c>
      <c r="B72" s="133" t="inlineStr">
        <is>
          <t>R008</t>
        </is>
      </c>
      <c r="C72" s="146">
        <f>IFERROR(INDEX('Sales Roster &amp; Quotas'!$C$6:$C$20,MATCH($B72,'Sales Roster &amp; Quotas'!$B$6:$B$20,0)),"")</f>
        <v/>
      </c>
      <c r="D72" s="146">
        <f>IFERROR(INDEX('Sales Roster &amp; Quotas'!$D$6:$D$20,MATCH($B72,'Sales Roster &amp; Quotas'!$B$6:$B$20,0)),"")</f>
        <v/>
      </c>
      <c r="E72" s="134" t="n">
        <v>46067</v>
      </c>
      <c r="F72" s="147">
        <f>TEXT(E72,"yyyy-mm")</f>
        <v/>
      </c>
      <c r="G72" s="147">
        <f>IF(MONTH(E72)&lt;=3,"Q1","Q2")</f>
        <v/>
      </c>
      <c r="H72" s="133" t="inlineStr">
        <is>
          <t>Upsell</t>
        </is>
      </c>
      <c r="I72" s="133" t="inlineStr">
        <is>
          <t>Beacon Agency Partners</t>
        </is>
      </c>
      <c r="J72" s="133" t="inlineStr">
        <is>
          <t>Policy Admin Core</t>
        </is>
      </c>
      <c r="K72" s="135" t="n">
        <v>28000</v>
      </c>
      <c r="L72" s="148">
        <f>IFERROR(INDEX('Sales Roster &amp; Quotas'!$G$6:$G$20,MATCH($B72,'Sales Roster &amp; Quotas'!$B$6:$B$20,0)),0)</f>
        <v/>
      </c>
      <c r="M72" s="149">
        <f>SUMIFS($K$5:$K$274,$B$5:$B$274,$B72,$G$5:$G$274,$G72,$H$5:$H$274,"New Business")</f>
        <v/>
      </c>
      <c r="N72" s="150">
        <f>IFERROR(M72/L72,0)</f>
        <v/>
      </c>
      <c r="O72" s="149">
        <f>MIN(M72,L72)</f>
        <v/>
      </c>
      <c r="P72" s="149">
        <f>MAX(MIN(M72,L72*1.25)-L72,0)</f>
        <v/>
      </c>
      <c r="Q72" s="149">
        <f>MAX(M72-L72*1.25,0)</f>
        <v/>
      </c>
      <c r="R72" s="148">
        <f>O72*'Commission Plan Rules'!$F$6+P72*'Commission Plan Rules'!$F$7+Q72*'Commission Plan Rules'!$F$8</f>
        <v/>
      </c>
      <c r="S72" s="151">
        <f>IF(H72="New Business",IFERROR((K72/M72)*R72,0),IF(H72="Upsell",K72*'Commission Plan Rules'!$F$9,IF(H72="Renewal",K72*'Commission Plan Rules'!$F$10,0)))</f>
        <v/>
      </c>
      <c r="T72" s="141">
        <f>COUNTIFS($F$5:$F$274,F72,$K$5:$K$274,"&gt;"&amp;K72)+1</f>
        <v/>
      </c>
      <c r="U72" s="141">
        <f>F72&amp;"|"&amp;T72</f>
        <v/>
      </c>
    </row>
    <row r="73" ht="15" customHeight="1" s="107">
      <c r="A73" s="130" t="inlineStr">
        <is>
          <t>D00161</t>
        </is>
      </c>
      <c r="B73" s="130" t="inlineStr">
        <is>
          <t>R009</t>
        </is>
      </c>
      <c r="C73" s="140">
        <f>IFERROR(INDEX('Sales Roster &amp; Quotas'!$C$6:$C$20,MATCH($B73,'Sales Roster &amp; Quotas'!$B$6:$B$20,0)),"")</f>
        <v/>
      </c>
      <c r="D73" s="140">
        <f>IFERROR(INDEX('Sales Roster &amp; Quotas'!$D$6:$D$20,MATCH($B73,'Sales Roster &amp; Quotas'!$B$6:$B$20,0)),"")</f>
        <v/>
      </c>
      <c r="E73" s="131" t="n">
        <v>46067</v>
      </c>
      <c r="F73" s="141">
        <f>TEXT(E73,"yyyy-mm")</f>
        <v/>
      </c>
      <c r="G73" s="141">
        <f>IF(MONTH(E73)&lt;=3,"Q1","Q2")</f>
        <v/>
      </c>
      <c r="H73" s="130" t="inlineStr">
        <is>
          <t>New Business</t>
        </is>
      </c>
      <c r="I73" s="130" t="inlineStr">
        <is>
          <t>Granite Underwriters</t>
        </is>
      </c>
      <c r="J73" s="130" t="inlineStr">
        <is>
          <t>Policy Admin Core</t>
        </is>
      </c>
      <c r="K73" s="132" t="n">
        <v>13000</v>
      </c>
      <c r="L73" s="142">
        <f>IFERROR(INDEX('Sales Roster &amp; Quotas'!$G$6:$G$20,MATCH($B73,'Sales Roster &amp; Quotas'!$B$6:$B$20,0)),0)</f>
        <v/>
      </c>
      <c r="M73" s="143">
        <f>SUMIFS($K$5:$K$274,$B$5:$B$274,$B73,$G$5:$G$274,$G73,$H$5:$H$274,"New Business")</f>
        <v/>
      </c>
      <c r="N73" s="144">
        <f>IFERROR(M73/L73,0)</f>
        <v/>
      </c>
      <c r="O73" s="143">
        <f>MIN(M73,L73)</f>
        <v/>
      </c>
      <c r="P73" s="143">
        <f>MAX(MIN(M73,L73*1.25)-L73,0)</f>
        <v/>
      </c>
      <c r="Q73" s="143">
        <f>MAX(M73-L73*1.25,0)</f>
        <v/>
      </c>
      <c r="R73" s="142">
        <f>O73*'Commission Plan Rules'!$F$6+P73*'Commission Plan Rules'!$F$7+Q73*'Commission Plan Rules'!$F$8</f>
        <v/>
      </c>
      <c r="S73" s="145">
        <f>IF(H73="New Business",IFERROR((K73/M73)*R73,0),IF(H73="Upsell",K73*'Commission Plan Rules'!$F$9,IF(H73="Renewal",K73*'Commission Plan Rules'!$F$10,0)))</f>
        <v/>
      </c>
      <c r="T73" s="141">
        <f>COUNTIFS($F$5:$F$274,F73,$K$5:$K$274,"&gt;"&amp;K73)+1</f>
        <v/>
      </c>
      <c r="U73" s="141">
        <f>F73&amp;"|"&amp;T73</f>
        <v/>
      </c>
    </row>
    <row r="74" ht="15" customHeight="1" s="107">
      <c r="A74" s="133" t="inlineStr">
        <is>
          <t>D00169</t>
        </is>
      </c>
      <c r="B74" s="133" t="inlineStr">
        <is>
          <t>R009</t>
        </is>
      </c>
      <c r="C74" s="146">
        <f>IFERROR(INDEX('Sales Roster &amp; Quotas'!$C$6:$C$20,MATCH($B74,'Sales Roster &amp; Quotas'!$B$6:$B$20,0)),"")</f>
        <v/>
      </c>
      <c r="D74" s="146">
        <f>IFERROR(INDEX('Sales Roster &amp; Quotas'!$D$6:$D$20,MATCH($B74,'Sales Roster &amp; Quotas'!$B$6:$B$20,0)),"")</f>
        <v/>
      </c>
      <c r="E74" s="134" t="n">
        <v>46068</v>
      </c>
      <c r="F74" s="147">
        <f>TEXT(E74,"yyyy-mm")</f>
        <v/>
      </c>
      <c r="G74" s="147">
        <f>IF(MONTH(E74)&lt;=3,"Q1","Q2")</f>
        <v/>
      </c>
      <c r="H74" s="133" t="inlineStr">
        <is>
          <t>Renewal</t>
        </is>
      </c>
      <c r="I74" s="133" t="inlineStr">
        <is>
          <t>Northgate Underwriters</t>
        </is>
      </c>
      <c r="J74" s="133" t="inlineStr">
        <is>
          <t>Policy Admin Core</t>
        </is>
      </c>
      <c r="K74" s="135" t="n">
        <v>33000</v>
      </c>
      <c r="L74" s="148">
        <f>IFERROR(INDEX('Sales Roster &amp; Quotas'!$G$6:$G$20,MATCH($B74,'Sales Roster &amp; Quotas'!$B$6:$B$20,0)),0)</f>
        <v/>
      </c>
      <c r="M74" s="149">
        <f>SUMIFS($K$5:$K$274,$B$5:$B$274,$B74,$G$5:$G$274,$G74,$H$5:$H$274,"New Business")</f>
        <v/>
      </c>
      <c r="N74" s="150">
        <f>IFERROR(M74/L74,0)</f>
        <v/>
      </c>
      <c r="O74" s="149">
        <f>MIN(M74,L74)</f>
        <v/>
      </c>
      <c r="P74" s="149">
        <f>MAX(MIN(M74,L74*1.25)-L74,0)</f>
        <v/>
      </c>
      <c r="Q74" s="149">
        <f>MAX(M74-L74*1.25,0)</f>
        <v/>
      </c>
      <c r="R74" s="148">
        <f>O74*'Commission Plan Rules'!$F$6+P74*'Commission Plan Rules'!$F$7+Q74*'Commission Plan Rules'!$F$8</f>
        <v/>
      </c>
      <c r="S74" s="151">
        <f>IF(H74="New Business",IFERROR((K74/M74)*R74,0),IF(H74="Upsell",K74*'Commission Plan Rules'!$F$9,IF(H74="Renewal",K74*'Commission Plan Rules'!$F$10,0)))</f>
        <v/>
      </c>
      <c r="T74" s="141">
        <f>COUNTIFS($F$5:$F$274,F74,$K$5:$K$274,"&gt;"&amp;K74)+1</f>
        <v/>
      </c>
      <c r="U74" s="141">
        <f>F74&amp;"|"&amp;T74</f>
        <v/>
      </c>
    </row>
    <row r="75" ht="15" customHeight="1" s="107">
      <c r="A75" s="130" t="inlineStr">
        <is>
          <t>D00031</t>
        </is>
      </c>
      <c r="B75" s="130" t="inlineStr">
        <is>
          <t>R002</t>
        </is>
      </c>
      <c r="C75" s="140">
        <f>IFERROR(INDEX('Sales Roster &amp; Quotas'!$C$6:$C$20,MATCH($B75,'Sales Roster &amp; Quotas'!$B$6:$B$20,0)),"")</f>
        <v/>
      </c>
      <c r="D75" s="140">
        <f>IFERROR(INDEX('Sales Roster &amp; Quotas'!$D$6:$D$20,MATCH($B75,'Sales Roster &amp; Quotas'!$B$6:$B$20,0)),"")</f>
        <v/>
      </c>
      <c r="E75" s="131" t="n">
        <v>46068</v>
      </c>
      <c r="F75" s="141">
        <f>TEXT(E75,"yyyy-mm")</f>
        <v/>
      </c>
      <c r="G75" s="141">
        <f>IF(MONTH(E75)&lt;=3,"Q1","Q2")</f>
        <v/>
      </c>
      <c r="H75" s="130" t="inlineStr">
        <is>
          <t>Upsell</t>
        </is>
      </c>
      <c r="I75" s="130" t="inlineStr">
        <is>
          <t>Overlook Insurance Group</t>
        </is>
      </c>
      <c r="J75" s="130" t="inlineStr">
        <is>
          <t>Policy Admin Core</t>
        </is>
      </c>
      <c r="K75" s="132" t="n">
        <v>2000</v>
      </c>
      <c r="L75" s="142">
        <f>IFERROR(INDEX('Sales Roster &amp; Quotas'!$G$6:$G$20,MATCH($B75,'Sales Roster &amp; Quotas'!$B$6:$B$20,0)),0)</f>
        <v/>
      </c>
      <c r="M75" s="143">
        <f>SUMIFS($K$5:$K$274,$B$5:$B$274,$B75,$G$5:$G$274,$G75,$H$5:$H$274,"New Business")</f>
        <v/>
      </c>
      <c r="N75" s="144">
        <f>IFERROR(M75/L75,0)</f>
        <v/>
      </c>
      <c r="O75" s="143">
        <f>MIN(M75,L75)</f>
        <v/>
      </c>
      <c r="P75" s="143">
        <f>MAX(MIN(M75,L75*1.25)-L75,0)</f>
        <v/>
      </c>
      <c r="Q75" s="143">
        <f>MAX(M75-L75*1.25,0)</f>
        <v/>
      </c>
      <c r="R75" s="142">
        <f>O75*'Commission Plan Rules'!$F$6+P75*'Commission Plan Rules'!$F$7+Q75*'Commission Plan Rules'!$F$8</f>
        <v/>
      </c>
      <c r="S75" s="145">
        <f>IF(H75="New Business",IFERROR((K75/M75)*R75,0),IF(H75="Upsell",K75*'Commission Plan Rules'!$F$9,IF(H75="Renewal",K75*'Commission Plan Rules'!$F$10,0)))</f>
        <v/>
      </c>
      <c r="T75" s="141">
        <f>COUNTIFS($F$5:$F$274,F75,$K$5:$K$274,"&gt;"&amp;K75)+1</f>
        <v/>
      </c>
      <c r="U75" s="141">
        <f>F75&amp;"|"&amp;T75</f>
        <v/>
      </c>
    </row>
    <row r="76" ht="15" customHeight="1" s="107">
      <c r="A76" s="133" t="inlineStr">
        <is>
          <t>D00234</t>
        </is>
      </c>
      <c r="B76" s="133" t="inlineStr">
        <is>
          <t>R013</t>
        </is>
      </c>
      <c r="C76" s="146">
        <f>IFERROR(INDEX('Sales Roster &amp; Quotas'!$C$6:$C$20,MATCH($B76,'Sales Roster &amp; Quotas'!$B$6:$B$20,0)),"")</f>
        <v/>
      </c>
      <c r="D76" s="146">
        <f>IFERROR(INDEX('Sales Roster &amp; Quotas'!$D$6:$D$20,MATCH($B76,'Sales Roster &amp; Quotas'!$B$6:$B$20,0)),"")</f>
        <v/>
      </c>
      <c r="E76" s="134" t="n">
        <v>46068</v>
      </c>
      <c r="F76" s="147">
        <f>TEXT(E76,"yyyy-mm")</f>
        <v/>
      </c>
      <c r="G76" s="147">
        <f>IF(MONTH(E76)&lt;=3,"Q1","Q2")</f>
        <v/>
      </c>
      <c r="H76" s="133" t="inlineStr">
        <is>
          <t>Upsell</t>
        </is>
      </c>
      <c r="I76" s="133" t="inlineStr">
        <is>
          <t>Pinnacle Risk Advisors</t>
        </is>
      </c>
      <c r="J76" s="133" t="inlineStr">
        <is>
          <t>Analytics Add-On</t>
        </is>
      </c>
      <c r="K76" s="135" t="n">
        <v>60500</v>
      </c>
      <c r="L76" s="148">
        <f>IFERROR(INDEX('Sales Roster &amp; Quotas'!$G$6:$G$20,MATCH($B76,'Sales Roster &amp; Quotas'!$B$6:$B$20,0)),0)</f>
        <v/>
      </c>
      <c r="M76" s="149">
        <f>SUMIFS($K$5:$K$274,$B$5:$B$274,$B76,$G$5:$G$274,$G76,$H$5:$H$274,"New Business")</f>
        <v/>
      </c>
      <c r="N76" s="150">
        <f>IFERROR(M76/L76,0)</f>
        <v/>
      </c>
      <c r="O76" s="149">
        <f>MIN(M76,L76)</f>
        <v/>
      </c>
      <c r="P76" s="149">
        <f>MAX(MIN(M76,L76*1.25)-L76,0)</f>
        <v/>
      </c>
      <c r="Q76" s="149">
        <f>MAX(M76-L76*1.25,0)</f>
        <v/>
      </c>
      <c r="R76" s="148">
        <f>O76*'Commission Plan Rules'!$F$6+P76*'Commission Plan Rules'!$F$7+Q76*'Commission Plan Rules'!$F$8</f>
        <v/>
      </c>
      <c r="S76" s="151">
        <f>IF(H76="New Business",IFERROR((K76/M76)*R76,0),IF(H76="Upsell",K76*'Commission Plan Rules'!$F$9,IF(H76="Renewal",K76*'Commission Plan Rules'!$F$10,0)))</f>
        <v/>
      </c>
      <c r="T76" s="141">
        <f>COUNTIFS($F$5:$F$274,F76,$K$5:$K$274,"&gt;"&amp;K76)+1</f>
        <v/>
      </c>
      <c r="U76" s="141">
        <f>F76&amp;"|"&amp;T76</f>
        <v/>
      </c>
    </row>
    <row r="77" ht="15" customHeight="1" s="107">
      <c r="A77" s="130" t="inlineStr">
        <is>
          <t>D00141</t>
        </is>
      </c>
      <c r="B77" s="130" t="inlineStr">
        <is>
          <t>R008</t>
        </is>
      </c>
      <c r="C77" s="140">
        <f>IFERROR(INDEX('Sales Roster &amp; Quotas'!$C$6:$C$20,MATCH($B77,'Sales Roster &amp; Quotas'!$B$6:$B$20,0)),"")</f>
        <v/>
      </c>
      <c r="D77" s="140">
        <f>IFERROR(INDEX('Sales Roster &amp; Quotas'!$D$6:$D$20,MATCH($B77,'Sales Roster &amp; Quotas'!$B$6:$B$20,0)),"")</f>
        <v/>
      </c>
      <c r="E77" s="131" t="n">
        <v>46069</v>
      </c>
      <c r="F77" s="141">
        <f>TEXT(E77,"yyyy-mm")</f>
        <v/>
      </c>
      <c r="G77" s="141">
        <f>IF(MONTH(E77)&lt;=3,"Q1","Q2")</f>
        <v/>
      </c>
      <c r="H77" s="130" t="inlineStr">
        <is>
          <t>New Business</t>
        </is>
      </c>
      <c r="I77" s="130" t="inlineStr">
        <is>
          <t>Meadowbrook Agency Partners</t>
        </is>
      </c>
      <c r="J77" s="130" t="inlineStr">
        <is>
          <t>Policy Admin Core</t>
        </is>
      </c>
      <c r="K77" s="132" t="n">
        <v>64500</v>
      </c>
      <c r="L77" s="142">
        <f>IFERROR(INDEX('Sales Roster &amp; Quotas'!$G$6:$G$20,MATCH($B77,'Sales Roster &amp; Quotas'!$B$6:$B$20,0)),0)</f>
        <v/>
      </c>
      <c r="M77" s="143">
        <f>SUMIFS($K$5:$K$274,$B$5:$B$274,$B77,$G$5:$G$274,$G77,$H$5:$H$274,"New Business")</f>
        <v/>
      </c>
      <c r="N77" s="144">
        <f>IFERROR(M77/L77,0)</f>
        <v/>
      </c>
      <c r="O77" s="143">
        <f>MIN(M77,L77)</f>
        <v/>
      </c>
      <c r="P77" s="143">
        <f>MAX(MIN(M77,L77*1.25)-L77,0)</f>
        <v/>
      </c>
      <c r="Q77" s="143">
        <f>MAX(M77-L77*1.25,0)</f>
        <v/>
      </c>
      <c r="R77" s="142">
        <f>O77*'Commission Plan Rules'!$F$6+P77*'Commission Plan Rules'!$F$7+Q77*'Commission Plan Rules'!$F$8</f>
        <v/>
      </c>
      <c r="S77" s="145">
        <f>IF(H77="New Business",IFERROR((K77/M77)*R77,0),IF(H77="Upsell",K77*'Commission Plan Rules'!$F$9,IF(H77="Renewal",K77*'Commission Plan Rules'!$F$10,0)))</f>
        <v/>
      </c>
      <c r="T77" s="141">
        <f>COUNTIFS($F$5:$F$274,F77,$K$5:$K$274,"&gt;"&amp;K77)+1</f>
        <v/>
      </c>
      <c r="U77" s="141">
        <f>F77&amp;"|"&amp;T77</f>
        <v/>
      </c>
    </row>
    <row r="78" ht="15" customHeight="1" s="107">
      <c r="A78" s="133" t="inlineStr">
        <is>
          <t>D00130</t>
        </is>
      </c>
      <c r="B78" s="133" t="inlineStr">
        <is>
          <t>R007</t>
        </is>
      </c>
      <c r="C78" s="146">
        <f>IFERROR(INDEX('Sales Roster &amp; Quotas'!$C$6:$C$20,MATCH($B78,'Sales Roster &amp; Quotas'!$B$6:$B$20,0)),"")</f>
        <v/>
      </c>
      <c r="D78" s="146">
        <f>IFERROR(INDEX('Sales Roster &amp; Quotas'!$D$6:$D$20,MATCH($B78,'Sales Roster &amp; Quotas'!$B$6:$B$20,0)),"")</f>
        <v/>
      </c>
      <c r="E78" s="134" t="n">
        <v>46069</v>
      </c>
      <c r="F78" s="147">
        <f>TEXT(E78,"yyyy-mm")</f>
        <v/>
      </c>
      <c r="G78" s="147">
        <f>IF(MONTH(E78)&lt;=3,"Q1","Q2")</f>
        <v/>
      </c>
      <c r="H78" s="133" t="inlineStr">
        <is>
          <t>Upsell</t>
        </is>
      </c>
      <c r="I78" s="133" t="inlineStr">
        <is>
          <t>Lakeside Insurance Solutions</t>
        </is>
      </c>
      <c r="J78" s="133" t="inlineStr">
        <is>
          <t>Policy Admin Core</t>
        </is>
      </c>
      <c r="K78" s="135" t="n">
        <v>32500</v>
      </c>
      <c r="L78" s="148">
        <f>IFERROR(INDEX('Sales Roster &amp; Quotas'!$G$6:$G$20,MATCH($B78,'Sales Roster &amp; Quotas'!$B$6:$B$20,0)),0)</f>
        <v/>
      </c>
      <c r="M78" s="149">
        <f>SUMIFS($K$5:$K$274,$B$5:$B$274,$B78,$G$5:$G$274,$G78,$H$5:$H$274,"New Business")</f>
        <v/>
      </c>
      <c r="N78" s="150">
        <f>IFERROR(M78/L78,0)</f>
        <v/>
      </c>
      <c r="O78" s="149">
        <f>MIN(M78,L78)</f>
        <v/>
      </c>
      <c r="P78" s="149">
        <f>MAX(MIN(M78,L78*1.25)-L78,0)</f>
        <v/>
      </c>
      <c r="Q78" s="149">
        <f>MAX(M78-L78*1.25,0)</f>
        <v/>
      </c>
      <c r="R78" s="148">
        <f>O78*'Commission Plan Rules'!$F$6+P78*'Commission Plan Rules'!$F$7+Q78*'Commission Plan Rules'!$F$8</f>
        <v/>
      </c>
      <c r="S78" s="151">
        <f>IF(H78="New Business",IFERROR((K78/M78)*R78,0),IF(H78="Upsell",K78*'Commission Plan Rules'!$F$9,IF(H78="Renewal",K78*'Commission Plan Rules'!$F$10,0)))</f>
        <v/>
      </c>
      <c r="T78" s="141">
        <f>COUNTIFS($F$5:$F$274,F78,$K$5:$K$274,"&gt;"&amp;K78)+1</f>
        <v/>
      </c>
      <c r="U78" s="141">
        <f>F78&amp;"|"&amp;T78</f>
        <v/>
      </c>
    </row>
    <row r="79" ht="15" customHeight="1" s="107">
      <c r="A79" s="130" t="inlineStr">
        <is>
          <t>D00090</t>
        </is>
      </c>
      <c r="B79" s="130" t="inlineStr">
        <is>
          <t>R005</t>
        </is>
      </c>
      <c r="C79" s="140">
        <f>IFERROR(INDEX('Sales Roster &amp; Quotas'!$C$6:$C$20,MATCH($B79,'Sales Roster &amp; Quotas'!$B$6:$B$20,0)),"")</f>
        <v/>
      </c>
      <c r="D79" s="140">
        <f>IFERROR(INDEX('Sales Roster &amp; Quotas'!$D$6:$D$20,MATCH($B79,'Sales Roster &amp; Quotas'!$B$6:$B$20,0)),"")</f>
        <v/>
      </c>
      <c r="E79" s="131" t="n">
        <v>46069</v>
      </c>
      <c r="F79" s="141">
        <f>TEXT(E79,"yyyy-mm")</f>
        <v/>
      </c>
      <c r="G79" s="141">
        <f>IF(MONTH(E79)&lt;=3,"Q1","Q2")</f>
        <v/>
      </c>
      <c r="H79" s="130" t="inlineStr">
        <is>
          <t>Renewal</t>
        </is>
      </c>
      <c r="I79" s="130" t="inlineStr">
        <is>
          <t>Highmark Insurance Solutions</t>
        </is>
      </c>
      <c r="J79" s="130" t="inlineStr">
        <is>
          <t>Claims Module</t>
        </is>
      </c>
      <c r="K79" s="132" t="n">
        <v>40000</v>
      </c>
      <c r="L79" s="142">
        <f>IFERROR(INDEX('Sales Roster &amp; Quotas'!$G$6:$G$20,MATCH($B79,'Sales Roster &amp; Quotas'!$B$6:$B$20,0)),0)</f>
        <v/>
      </c>
      <c r="M79" s="143">
        <f>SUMIFS($K$5:$K$274,$B$5:$B$274,$B79,$G$5:$G$274,$G79,$H$5:$H$274,"New Business")</f>
        <v/>
      </c>
      <c r="N79" s="144">
        <f>IFERROR(M79/L79,0)</f>
        <v/>
      </c>
      <c r="O79" s="143">
        <f>MIN(M79,L79)</f>
        <v/>
      </c>
      <c r="P79" s="143">
        <f>MAX(MIN(M79,L79*1.25)-L79,0)</f>
        <v/>
      </c>
      <c r="Q79" s="143">
        <f>MAX(M79-L79*1.25,0)</f>
        <v/>
      </c>
      <c r="R79" s="142">
        <f>O79*'Commission Plan Rules'!$F$6+P79*'Commission Plan Rules'!$F$7+Q79*'Commission Plan Rules'!$F$8</f>
        <v/>
      </c>
      <c r="S79" s="145">
        <f>IF(H79="New Business",IFERROR((K79/M79)*R79,0),IF(H79="Upsell",K79*'Commission Plan Rules'!$F$9,IF(H79="Renewal",K79*'Commission Plan Rules'!$F$10,0)))</f>
        <v/>
      </c>
      <c r="T79" s="141">
        <f>COUNTIFS($F$5:$F$274,F79,$K$5:$K$274,"&gt;"&amp;K79)+1</f>
        <v/>
      </c>
      <c r="U79" s="141">
        <f>F79&amp;"|"&amp;T79</f>
        <v/>
      </c>
    </row>
    <row r="80" ht="15" customHeight="1" s="107">
      <c r="A80" s="133" t="inlineStr">
        <is>
          <t>D00251</t>
        </is>
      </c>
      <c r="B80" s="133" t="inlineStr">
        <is>
          <t>R014</t>
        </is>
      </c>
      <c r="C80" s="146">
        <f>IFERROR(INDEX('Sales Roster &amp; Quotas'!$C$6:$C$20,MATCH($B80,'Sales Roster &amp; Quotas'!$B$6:$B$20,0)),"")</f>
        <v/>
      </c>
      <c r="D80" s="146">
        <f>IFERROR(INDEX('Sales Roster &amp; Quotas'!$D$6:$D$20,MATCH($B80,'Sales Roster &amp; Quotas'!$B$6:$B$20,0)),"")</f>
        <v/>
      </c>
      <c r="E80" s="134" t="n">
        <v>46069</v>
      </c>
      <c r="F80" s="147">
        <f>TEXT(E80,"yyyy-mm")</f>
        <v/>
      </c>
      <c r="G80" s="147">
        <f>IF(MONTH(E80)&lt;=3,"Q1","Q2")</f>
        <v/>
      </c>
      <c r="H80" s="133" t="inlineStr">
        <is>
          <t>Renewal</t>
        </is>
      </c>
      <c r="I80" s="133" t="inlineStr">
        <is>
          <t>Coastal Insurance Brokers</t>
        </is>
      </c>
      <c r="J80" s="133" t="inlineStr">
        <is>
          <t>Policy Admin Core</t>
        </is>
      </c>
      <c r="K80" s="135" t="n">
        <v>28000</v>
      </c>
      <c r="L80" s="148">
        <f>IFERROR(INDEX('Sales Roster &amp; Quotas'!$G$6:$G$20,MATCH($B80,'Sales Roster &amp; Quotas'!$B$6:$B$20,0)),0)</f>
        <v/>
      </c>
      <c r="M80" s="149">
        <f>SUMIFS($K$5:$K$274,$B$5:$B$274,$B80,$G$5:$G$274,$G80,$H$5:$H$274,"New Business")</f>
        <v/>
      </c>
      <c r="N80" s="150">
        <f>IFERROR(M80/L80,0)</f>
        <v/>
      </c>
      <c r="O80" s="149">
        <f>MIN(M80,L80)</f>
        <v/>
      </c>
      <c r="P80" s="149">
        <f>MAX(MIN(M80,L80*1.25)-L80,0)</f>
        <v/>
      </c>
      <c r="Q80" s="149">
        <f>MAX(M80-L80*1.25,0)</f>
        <v/>
      </c>
      <c r="R80" s="148">
        <f>O80*'Commission Plan Rules'!$F$6+P80*'Commission Plan Rules'!$F$7+Q80*'Commission Plan Rules'!$F$8</f>
        <v/>
      </c>
      <c r="S80" s="151">
        <f>IF(H80="New Business",IFERROR((K80/M80)*R80,0),IF(H80="Upsell",K80*'Commission Plan Rules'!$F$9,IF(H80="Renewal",K80*'Commission Plan Rules'!$F$10,0)))</f>
        <v/>
      </c>
      <c r="T80" s="141">
        <f>COUNTIFS($F$5:$F$274,F80,$K$5:$K$274,"&gt;"&amp;K80)+1</f>
        <v/>
      </c>
      <c r="U80" s="141">
        <f>F80&amp;"|"&amp;T80</f>
        <v/>
      </c>
    </row>
    <row r="81" ht="15" customHeight="1" s="107">
      <c r="A81" s="130" t="inlineStr">
        <is>
          <t>D00198</t>
        </is>
      </c>
      <c r="B81" s="130" t="inlineStr">
        <is>
          <t>R011</t>
        </is>
      </c>
      <c r="C81" s="140">
        <f>IFERROR(INDEX('Sales Roster &amp; Quotas'!$C$6:$C$20,MATCH($B81,'Sales Roster &amp; Quotas'!$B$6:$B$20,0)),"")</f>
        <v/>
      </c>
      <c r="D81" s="140">
        <f>IFERROR(INDEX('Sales Roster &amp; Quotas'!$D$6:$D$20,MATCH($B81,'Sales Roster &amp; Quotas'!$B$6:$B$20,0)),"")</f>
        <v/>
      </c>
      <c r="E81" s="131" t="n">
        <v>46070</v>
      </c>
      <c r="F81" s="141">
        <f>TEXT(E81,"yyyy-mm")</f>
        <v/>
      </c>
      <c r="G81" s="141">
        <f>IF(MONTH(E81)&lt;=3,"Q1","Q2")</f>
        <v/>
      </c>
      <c r="H81" s="130" t="inlineStr">
        <is>
          <t>New Business</t>
        </is>
      </c>
      <c r="I81" s="130" t="inlineStr">
        <is>
          <t>Cedarline Mutual Agency</t>
        </is>
      </c>
      <c r="J81" s="130" t="inlineStr">
        <is>
          <t>Policy Admin Core</t>
        </is>
      </c>
      <c r="K81" s="132" t="n">
        <v>77000</v>
      </c>
      <c r="L81" s="142">
        <f>IFERROR(INDEX('Sales Roster &amp; Quotas'!$G$6:$G$20,MATCH($B81,'Sales Roster &amp; Quotas'!$B$6:$B$20,0)),0)</f>
        <v/>
      </c>
      <c r="M81" s="143">
        <f>SUMIFS($K$5:$K$274,$B$5:$B$274,$B81,$G$5:$G$274,$G81,$H$5:$H$274,"New Business")</f>
        <v/>
      </c>
      <c r="N81" s="144">
        <f>IFERROR(M81/L81,0)</f>
        <v/>
      </c>
      <c r="O81" s="143">
        <f>MIN(M81,L81)</f>
        <v/>
      </c>
      <c r="P81" s="143">
        <f>MAX(MIN(M81,L81*1.25)-L81,0)</f>
        <v/>
      </c>
      <c r="Q81" s="143">
        <f>MAX(M81-L81*1.25,0)</f>
        <v/>
      </c>
      <c r="R81" s="142">
        <f>O81*'Commission Plan Rules'!$F$6+P81*'Commission Plan Rules'!$F$7+Q81*'Commission Plan Rules'!$F$8</f>
        <v/>
      </c>
      <c r="S81" s="145">
        <f>IF(H81="New Business",IFERROR((K81/M81)*R81,0),IF(H81="Upsell",K81*'Commission Plan Rules'!$F$9,IF(H81="Renewal",K81*'Commission Plan Rules'!$F$10,0)))</f>
        <v/>
      </c>
      <c r="T81" s="141">
        <f>COUNTIFS($F$5:$F$274,F81,$K$5:$K$274,"&gt;"&amp;K81)+1</f>
        <v/>
      </c>
      <c r="U81" s="141">
        <f>F81&amp;"|"&amp;T81</f>
        <v/>
      </c>
    </row>
    <row r="82" ht="15" customHeight="1" s="107">
      <c r="A82" s="133" t="inlineStr">
        <is>
          <t>D00263</t>
        </is>
      </c>
      <c r="B82" s="133" t="inlineStr">
        <is>
          <t>R015</t>
        </is>
      </c>
      <c r="C82" s="146">
        <f>IFERROR(INDEX('Sales Roster &amp; Quotas'!$C$6:$C$20,MATCH($B82,'Sales Roster &amp; Quotas'!$B$6:$B$20,0)),"")</f>
        <v/>
      </c>
      <c r="D82" s="146">
        <f>IFERROR(INDEX('Sales Roster &amp; Quotas'!$D$6:$D$20,MATCH($B82,'Sales Roster &amp; Quotas'!$B$6:$B$20,0)),"")</f>
        <v/>
      </c>
      <c r="E82" s="134" t="n">
        <v>46070</v>
      </c>
      <c r="F82" s="147">
        <f>TEXT(E82,"yyyy-mm")</f>
        <v/>
      </c>
      <c r="G82" s="147">
        <f>IF(MONTH(E82)&lt;=3,"Q1","Q2")</f>
        <v/>
      </c>
      <c r="H82" s="133" t="inlineStr">
        <is>
          <t>Renewal</t>
        </is>
      </c>
      <c r="I82" s="133" t="inlineStr">
        <is>
          <t>Bridgeway Insurance Solutions</t>
        </is>
      </c>
      <c r="J82" s="133" t="inlineStr">
        <is>
          <t>Policy Admin Core</t>
        </is>
      </c>
      <c r="K82" s="135" t="n">
        <v>72000</v>
      </c>
      <c r="L82" s="148">
        <f>IFERROR(INDEX('Sales Roster &amp; Quotas'!$G$6:$G$20,MATCH($B82,'Sales Roster &amp; Quotas'!$B$6:$B$20,0)),0)</f>
        <v/>
      </c>
      <c r="M82" s="149">
        <f>SUMIFS($K$5:$K$274,$B$5:$B$274,$B82,$G$5:$G$274,$G82,$H$5:$H$274,"New Business")</f>
        <v/>
      </c>
      <c r="N82" s="150">
        <f>IFERROR(M82/L82,0)</f>
        <v/>
      </c>
      <c r="O82" s="149">
        <f>MIN(M82,L82)</f>
        <v/>
      </c>
      <c r="P82" s="149">
        <f>MAX(MIN(M82,L82*1.25)-L82,0)</f>
        <v/>
      </c>
      <c r="Q82" s="149">
        <f>MAX(M82-L82*1.25,0)</f>
        <v/>
      </c>
      <c r="R82" s="148">
        <f>O82*'Commission Plan Rules'!$F$6+P82*'Commission Plan Rules'!$F$7+Q82*'Commission Plan Rules'!$F$8</f>
        <v/>
      </c>
      <c r="S82" s="151">
        <f>IF(H82="New Business",IFERROR((K82/M82)*R82,0),IF(H82="Upsell",K82*'Commission Plan Rules'!$F$9,IF(H82="Renewal",K82*'Commission Plan Rules'!$F$10,0)))</f>
        <v/>
      </c>
      <c r="T82" s="141">
        <f>COUNTIFS($F$5:$F$274,F82,$K$5:$K$274,"&gt;"&amp;K82)+1</f>
        <v/>
      </c>
      <c r="U82" s="141">
        <f>F82&amp;"|"&amp;T82</f>
        <v/>
      </c>
    </row>
    <row r="83" ht="15" customHeight="1" s="107">
      <c r="A83" s="130" t="inlineStr">
        <is>
          <t>D00091</t>
        </is>
      </c>
      <c r="B83" s="130" t="inlineStr">
        <is>
          <t>R005</t>
        </is>
      </c>
      <c r="C83" s="140">
        <f>IFERROR(INDEX('Sales Roster &amp; Quotas'!$C$6:$C$20,MATCH($B83,'Sales Roster &amp; Quotas'!$B$6:$B$20,0)),"")</f>
        <v/>
      </c>
      <c r="D83" s="140">
        <f>IFERROR(INDEX('Sales Roster &amp; Quotas'!$D$6:$D$20,MATCH($B83,'Sales Roster &amp; Quotas'!$B$6:$B$20,0)),"")</f>
        <v/>
      </c>
      <c r="E83" s="131" t="n">
        <v>46070</v>
      </c>
      <c r="F83" s="141">
        <f>TEXT(E83,"yyyy-mm")</f>
        <v/>
      </c>
      <c r="G83" s="141">
        <f>IF(MONTH(E83)&lt;=3,"Q1","Q2")</f>
        <v/>
      </c>
      <c r="H83" s="130" t="inlineStr">
        <is>
          <t>Renewal</t>
        </is>
      </c>
      <c r="I83" s="130" t="inlineStr">
        <is>
          <t>Stonebridge Coverage Partners</t>
        </is>
      </c>
      <c r="J83" s="130" t="inlineStr">
        <is>
          <t>Policy Admin Core</t>
        </is>
      </c>
      <c r="K83" s="132" t="n">
        <v>3500</v>
      </c>
      <c r="L83" s="142">
        <f>IFERROR(INDEX('Sales Roster &amp; Quotas'!$G$6:$G$20,MATCH($B83,'Sales Roster &amp; Quotas'!$B$6:$B$20,0)),0)</f>
        <v/>
      </c>
      <c r="M83" s="143">
        <f>SUMIFS($K$5:$K$274,$B$5:$B$274,$B83,$G$5:$G$274,$G83,$H$5:$H$274,"New Business")</f>
        <v/>
      </c>
      <c r="N83" s="144">
        <f>IFERROR(M83/L83,0)</f>
        <v/>
      </c>
      <c r="O83" s="143">
        <f>MIN(M83,L83)</f>
        <v/>
      </c>
      <c r="P83" s="143">
        <f>MAX(MIN(M83,L83*1.25)-L83,0)</f>
        <v/>
      </c>
      <c r="Q83" s="143">
        <f>MAX(M83-L83*1.25,0)</f>
        <v/>
      </c>
      <c r="R83" s="142">
        <f>O83*'Commission Plan Rules'!$F$6+P83*'Commission Plan Rules'!$F$7+Q83*'Commission Plan Rules'!$F$8</f>
        <v/>
      </c>
      <c r="S83" s="145">
        <f>IF(H83="New Business",IFERROR((K83/M83)*R83,0),IF(H83="Upsell",K83*'Commission Plan Rules'!$F$9,IF(H83="Renewal",K83*'Commission Plan Rules'!$F$10,0)))</f>
        <v/>
      </c>
      <c r="T83" s="141">
        <f>COUNTIFS($F$5:$F$274,F83,$K$5:$K$274,"&gt;"&amp;K83)+1</f>
        <v/>
      </c>
      <c r="U83" s="141">
        <f>F83&amp;"|"&amp;T83</f>
        <v/>
      </c>
    </row>
    <row r="84" ht="15" customHeight="1" s="107">
      <c r="A84" s="133" t="inlineStr">
        <is>
          <t>D00073</t>
        </is>
      </c>
      <c r="B84" s="133" t="inlineStr">
        <is>
          <t>R004</t>
        </is>
      </c>
      <c r="C84" s="146">
        <f>IFERROR(INDEX('Sales Roster &amp; Quotas'!$C$6:$C$20,MATCH($B84,'Sales Roster &amp; Quotas'!$B$6:$B$20,0)),"")</f>
        <v/>
      </c>
      <c r="D84" s="146">
        <f>IFERROR(INDEX('Sales Roster &amp; Quotas'!$D$6:$D$20,MATCH($B84,'Sales Roster &amp; Quotas'!$B$6:$B$20,0)),"")</f>
        <v/>
      </c>
      <c r="E84" s="134" t="n">
        <v>46071</v>
      </c>
      <c r="F84" s="147">
        <f>TEXT(E84,"yyyy-mm")</f>
        <v/>
      </c>
      <c r="G84" s="147">
        <f>IF(MONTH(E84)&lt;=3,"Q1","Q2")</f>
        <v/>
      </c>
      <c r="H84" s="133" t="inlineStr">
        <is>
          <t>Renewal</t>
        </is>
      </c>
      <c r="I84" s="133" t="inlineStr">
        <is>
          <t>Coastal Coverage Partners</t>
        </is>
      </c>
      <c r="J84" s="133" t="inlineStr">
        <is>
          <t>Policy Admin Core</t>
        </is>
      </c>
      <c r="K84" s="135" t="n">
        <v>5500</v>
      </c>
      <c r="L84" s="148">
        <f>IFERROR(INDEX('Sales Roster &amp; Quotas'!$G$6:$G$20,MATCH($B84,'Sales Roster &amp; Quotas'!$B$6:$B$20,0)),0)</f>
        <v/>
      </c>
      <c r="M84" s="149">
        <f>SUMIFS($K$5:$K$274,$B$5:$B$274,$B84,$G$5:$G$274,$G84,$H$5:$H$274,"New Business")</f>
        <v/>
      </c>
      <c r="N84" s="150">
        <f>IFERROR(M84/L84,0)</f>
        <v/>
      </c>
      <c r="O84" s="149">
        <f>MIN(M84,L84)</f>
        <v/>
      </c>
      <c r="P84" s="149">
        <f>MAX(MIN(M84,L84*1.25)-L84,0)</f>
        <v/>
      </c>
      <c r="Q84" s="149">
        <f>MAX(M84-L84*1.25,0)</f>
        <v/>
      </c>
      <c r="R84" s="148">
        <f>O84*'Commission Plan Rules'!$F$6+P84*'Commission Plan Rules'!$F$7+Q84*'Commission Plan Rules'!$F$8</f>
        <v/>
      </c>
      <c r="S84" s="151">
        <f>IF(H84="New Business",IFERROR((K84/M84)*R84,0),IF(H84="Upsell",K84*'Commission Plan Rules'!$F$9,IF(H84="Renewal",K84*'Commission Plan Rules'!$F$10,0)))</f>
        <v/>
      </c>
      <c r="T84" s="141">
        <f>COUNTIFS($F$5:$F$274,F84,$K$5:$K$274,"&gt;"&amp;K84)+1</f>
        <v/>
      </c>
      <c r="U84" s="141">
        <f>F84&amp;"|"&amp;T84</f>
        <v/>
      </c>
    </row>
    <row r="85" ht="15" customHeight="1" s="107">
      <c r="A85" s="130" t="inlineStr">
        <is>
          <t>D00089</t>
        </is>
      </c>
      <c r="B85" s="130" t="inlineStr">
        <is>
          <t>R005</t>
        </is>
      </c>
      <c r="C85" s="140">
        <f>IFERROR(INDEX('Sales Roster &amp; Quotas'!$C$6:$C$20,MATCH($B85,'Sales Roster &amp; Quotas'!$B$6:$B$20,0)),"")</f>
        <v/>
      </c>
      <c r="D85" s="140">
        <f>IFERROR(INDEX('Sales Roster &amp; Quotas'!$D$6:$D$20,MATCH($B85,'Sales Roster &amp; Quotas'!$B$6:$B$20,0)),"")</f>
        <v/>
      </c>
      <c r="E85" s="131" t="n">
        <v>46071</v>
      </c>
      <c r="F85" s="141">
        <f>TEXT(E85,"yyyy-mm")</f>
        <v/>
      </c>
      <c r="G85" s="141">
        <f>IF(MONTH(E85)&lt;=3,"Q1","Q2")</f>
        <v/>
      </c>
      <c r="H85" s="130" t="inlineStr">
        <is>
          <t>Renewal</t>
        </is>
      </c>
      <c r="I85" s="130" t="inlineStr">
        <is>
          <t>Sterling Underwriters</t>
        </is>
      </c>
      <c r="J85" s="130" t="inlineStr">
        <is>
          <t>Policy Admin Core</t>
        </is>
      </c>
      <c r="K85" s="132" t="n">
        <v>42500</v>
      </c>
      <c r="L85" s="142">
        <f>IFERROR(INDEX('Sales Roster &amp; Quotas'!$G$6:$G$20,MATCH($B85,'Sales Roster &amp; Quotas'!$B$6:$B$20,0)),0)</f>
        <v/>
      </c>
      <c r="M85" s="143">
        <f>SUMIFS($K$5:$K$274,$B$5:$B$274,$B85,$G$5:$G$274,$G85,$H$5:$H$274,"New Business")</f>
        <v/>
      </c>
      <c r="N85" s="144">
        <f>IFERROR(M85/L85,0)</f>
        <v/>
      </c>
      <c r="O85" s="143">
        <f>MIN(M85,L85)</f>
        <v/>
      </c>
      <c r="P85" s="143">
        <f>MAX(MIN(M85,L85*1.25)-L85,0)</f>
        <v/>
      </c>
      <c r="Q85" s="143">
        <f>MAX(M85-L85*1.25,0)</f>
        <v/>
      </c>
      <c r="R85" s="142">
        <f>O85*'Commission Plan Rules'!$F$6+P85*'Commission Plan Rules'!$F$7+Q85*'Commission Plan Rules'!$F$8</f>
        <v/>
      </c>
      <c r="S85" s="145">
        <f>IF(H85="New Business",IFERROR((K85/M85)*R85,0),IF(H85="Upsell",K85*'Commission Plan Rules'!$F$9,IF(H85="Renewal",K85*'Commission Plan Rules'!$F$10,0)))</f>
        <v/>
      </c>
      <c r="T85" s="141">
        <f>COUNTIFS($F$5:$F$274,F85,$K$5:$K$274,"&gt;"&amp;K85)+1</f>
        <v/>
      </c>
      <c r="U85" s="141">
        <f>F85&amp;"|"&amp;T85</f>
        <v/>
      </c>
    </row>
    <row r="86" ht="15" customHeight="1" s="107">
      <c r="A86" s="133" t="inlineStr">
        <is>
          <t>D00164</t>
        </is>
      </c>
      <c r="B86" s="133" t="inlineStr">
        <is>
          <t>R009</t>
        </is>
      </c>
      <c r="C86" s="146">
        <f>IFERROR(INDEX('Sales Roster &amp; Quotas'!$C$6:$C$20,MATCH($B86,'Sales Roster &amp; Quotas'!$B$6:$B$20,0)),"")</f>
        <v/>
      </c>
      <c r="D86" s="146">
        <f>IFERROR(INDEX('Sales Roster &amp; Quotas'!$D$6:$D$20,MATCH($B86,'Sales Roster &amp; Quotas'!$B$6:$B$20,0)),"")</f>
        <v/>
      </c>
      <c r="E86" s="134" t="n">
        <v>46072</v>
      </c>
      <c r="F86" s="147">
        <f>TEXT(E86,"yyyy-mm")</f>
        <v/>
      </c>
      <c r="G86" s="147">
        <f>IF(MONTH(E86)&lt;=3,"Q1","Q2")</f>
        <v/>
      </c>
      <c r="H86" s="133" t="inlineStr">
        <is>
          <t>New Business</t>
        </is>
      </c>
      <c r="I86" s="133" t="inlineStr">
        <is>
          <t>Stonebridge Mutual Agency</t>
        </is>
      </c>
      <c r="J86" s="133" t="inlineStr">
        <is>
          <t>Policy Admin Core</t>
        </is>
      </c>
      <c r="K86" s="135" t="n">
        <v>68500</v>
      </c>
      <c r="L86" s="148">
        <f>IFERROR(INDEX('Sales Roster &amp; Quotas'!$G$6:$G$20,MATCH($B86,'Sales Roster &amp; Quotas'!$B$6:$B$20,0)),0)</f>
        <v/>
      </c>
      <c r="M86" s="149">
        <f>SUMIFS($K$5:$K$274,$B$5:$B$274,$B86,$G$5:$G$274,$G86,$H$5:$H$274,"New Business")</f>
        <v/>
      </c>
      <c r="N86" s="150">
        <f>IFERROR(M86/L86,0)</f>
        <v/>
      </c>
      <c r="O86" s="149">
        <f>MIN(M86,L86)</f>
        <v/>
      </c>
      <c r="P86" s="149">
        <f>MAX(MIN(M86,L86*1.25)-L86,0)</f>
        <v/>
      </c>
      <c r="Q86" s="149">
        <f>MAX(M86-L86*1.25,0)</f>
        <v/>
      </c>
      <c r="R86" s="148">
        <f>O86*'Commission Plan Rules'!$F$6+P86*'Commission Plan Rules'!$F$7+Q86*'Commission Plan Rules'!$F$8</f>
        <v/>
      </c>
      <c r="S86" s="151">
        <f>IF(H86="New Business",IFERROR((K86/M86)*R86,0),IF(H86="Upsell",K86*'Commission Plan Rules'!$F$9,IF(H86="Renewal",K86*'Commission Plan Rules'!$F$10,0)))</f>
        <v/>
      </c>
      <c r="T86" s="141">
        <f>COUNTIFS($F$5:$F$274,F86,$K$5:$K$274,"&gt;"&amp;K86)+1</f>
        <v/>
      </c>
      <c r="U86" s="141">
        <f>F86&amp;"|"&amp;T86</f>
        <v/>
      </c>
    </row>
    <row r="87" ht="15" customHeight="1" s="107">
      <c r="A87" s="130" t="inlineStr">
        <is>
          <t>D00067</t>
        </is>
      </c>
      <c r="B87" s="130" t="inlineStr">
        <is>
          <t>R004</t>
        </is>
      </c>
      <c r="C87" s="140">
        <f>IFERROR(INDEX('Sales Roster &amp; Quotas'!$C$6:$C$20,MATCH($B87,'Sales Roster &amp; Quotas'!$B$6:$B$20,0)),"")</f>
        <v/>
      </c>
      <c r="D87" s="140">
        <f>IFERROR(INDEX('Sales Roster &amp; Quotas'!$D$6:$D$20,MATCH($B87,'Sales Roster &amp; Quotas'!$B$6:$B$20,0)),"")</f>
        <v/>
      </c>
      <c r="E87" s="131" t="n">
        <v>46072</v>
      </c>
      <c r="F87" s="141">
        <f>TEXT(E87,"yyyy-mm")</f>
        <v/>
      </c>
      <c r="G87" s="141">
        <f>IF(MONTH(E87)&lt;=3,"Q1","Q2")</f>
        <v/>
      </c>
      <c r="H87" s="130" t="inlineStr">
        <is>
          <t>New Business</t>
        </is>
      </c>
      <c r="I87" s="130" t="inlineStr">
        <is>
          <t>Riverbend Insurance Group</t>
        </is>
      </c>
      <c r="J87" s="130" t="inlineStr">
        <is>
          <t>Client Portal</t>
        </is>
      </c>
      <c r="K87" s="132" t="n">
        <v>19500</v>
      </c>
      <c r="L87" s="142">
        <f>IFERROR(INDEX('Sales Roster &amp; Quotas'!$G$6:$G$20,MATCH($B87,'Sales Roster &amp; Quotas'!$B$6:$B$20,0)),0)</f>
        <v/>
      </c>
      <c r="M87" s="143">
        <f>SUMIFS($K$5:$K$274,$B$5:$B$274,$B87,$G$5:$G$274,$G87,$H$5:$H$274,"New Business")</f>
        <v/>
      </c>
      <c r="N87" s="144">
        <f>IFERROR(M87/L87,0)</f>
        <v/>
      </c>
      <c r="O87" s="143">
        <f>MIN(M87,L87)</f>
        <v/>
      </c>
      <c r="P87" s="143">
        <f>MAX(MIN(M87,L87*1.25)-L87,0)</f>
        <v/>
      </c>
      <c r="Q87" s="143">
        <f>MAX(M87-L87*1.25,0)</f>
        <v/>
      </c>
      <c r="R87" s="142">
        <f>O87*'Commission Plan Rules'!$F$6+P87*'Commission Plan Rules'!$F$7+Q87*'Commission Plan Rules'!$F$8</f>
        <v/>
      </c>
      <c r="S87" s="145">
        <f>IF(H87="New Business",IFERROR((K87/M87)*R87,0),IF(H87="Upsell",K87*'Commission Plan Rules'!$F$9,IF(H87="Renewal",K87*'Commission Plan Rules'!$F$10,0)))</f>
        <v/>
      </c>
      <c r="T87" s="141">
        <f>COUNTIFS($F$5:$F$274,F87,$K$5:$K$274,"&gt;"&amp;K87)+1</f>
        <v/>
      </c>
      <c r="U87" s="141">
        <f>F87&amp;"|"&amp;T87</f>
        <v/>
      </c>
    </row>
    <row r="88" ht="15" customHeight="1" s="107">
      <c r="A88" s="133" t="inlineStr">
        <is>
          <t>D00233</t>
        </is>
      </c>
      <c r="B88" s="133" t="inlineStr">
        <is>
          <t>R013</t>
        </is>
      </c>
      <c r="C88" s="146">
        <f>IFERROR(INDEX('Sales Roster &amp; Quotas'!$C$6:$C$20,MATCH($B88,'Sales Roster &amp; Quotas'!$B$6:$B$20,0)),"")</f>
        <v/>
      </c>
      <c r="D88" s="146">
        <f>IFERROR(INDEX('Sales Roster &amp; Quotas'!$D$6:$D$20,MATCH($B88,'Sales Roster &amp; Quotas'!$B$6:$B$20,0)),"")</f>
        <v/>
      </c>
      <c r="E88" s="134" t="n">
        <v>46074</v>
      </c>
      <c r="F88" s="147">
        <f>TEXT(E88,"yyyy-mm")</f>
        <v/>
      </c>
      <c r="G88" s="147">
        <f>IF(MONTH(E88)&lt;=3,"Q1","Q2")</f>
        <v/>
      </c>
      <c r="H88" s="133" t="inlineStr">
        <is>
          <t>Upsell</t>
        </is>
      </c>
      <c r="I88" s="133" t="inlineStr">
        <is>
          <t>Cedarline Insurance Group</t>
        </is>
      </c>
      <c r="J88" s="133" t="inlineStr">
        <is>
          <t>Analytics Add-On</t>
        </is>
      </c>
      <c r="K88" s="135" t="n">
        <v>36500</v>
      </c>
      <c r="L88" s="148">
        <f>IFERROR(INDEX('Sales Roster &amp; Quotas'!$G$6:$G$20,MATCH($B88,'Sales Roster &amp; Quotas'!$B$6:$B$20,0)),0)</f>
        <v/>
      </c>
      <c r="M88" s="149">
        <f>SUMIFS($K$5:$K$274,$B$5:$B$274,$B88,$G$5:$G$274,$G88,$H$5:$H$274,"New Business")</f>
        <v/>
      </c>
      <c r="N88" s="150">
        <f>IFERROR(M88/L88,0)</f>
        <v/>
      </c>
      <c r="O88" s="149">
        <f>MIN(M88,L88)</f>
        <v/>
      </c>
      <c r="P88" s="149">
        <f>MAX(MIN(M88,L88*1.25)-L88,0)</f>
        <v/>
      </c>
      <c r="Q88" s="149">
        <f>MAX(M88-L88*1.25,0)</f>
        <v/>
      </c>
      <c r="R88" s="148">
        <f>O88*'Commission Plan Rules'!$F$6+P88*'Commission Plan Rules'!$F$7+Q88*'Commission Plan Rules'!$F$8</f>
        <v/>
      </c>
      <c r="S88" s="151">
        <f>IF(H88="New Business",IFERROR((K88/M88)*R88,0),IF(H88="Upsell",K88*'Commission Plan Rules'!$F$9,IF(H88="Renewal",K88*'Commission Plan Rules'!$F$10,0)))</f>
        <v/>
      </c>
      <c r="T88" s="141">
        <f>COUNTIFS($F$5:$F$274,F88,$K$5:$K$274,"&gt;"&amp;K88)+1</f>
        <v/>
      </c>
      <c r="U88" s="141">
        <f>F88&amp;"|"&amp;T88</f>
        <v/>
      </c>
    </row>
    <row r="89" ht="15" customHeight="1" s="107">
      <c r="A89" s="130" t="inlineStr">
        <is>
          <t>D00170</t>
        </is>
      </c>
      <c r="B89" s="130" t="inlineStr">
        <is>
          <t>R009</t>
        </is>
      </c>
      <c r="C89" s="140">
        <f>IFERROR(INDEX('Sales Roster &amp; Quotas'!$C$6:$C$20,MATCH($B89,'Sales Roster &amp; Quotas'!$B$6:$B$20,0)),"")</f>
        <v/>
      </c>
      <c r="D89" s="140">
        <f>IFERROR(INDEX('Sales Roster &amp; Quotas'!$D$6:$D$20,MATCH($B89,'Sales Roster &amp; Quotas'!$B$6:$B$20,0)),"")</f>
        <v/>
      </c>
      <c r="E89" s="131" t="n">
        <v>46075</v>
      </c>
      <c r="F89" s="141">
        <f>TEXT(E89,"yyyy-mm")</f>
        <v/>
      </c>
      <c r="G89" s="141">
        <f>IF(MONTH(E89)&lt;=3,"Q1","Q2")</f>
        <v/>
      </c>
      <c r="H89" s="130" t="inlineStr">
        <is>
          <t>Renewal</t>
        </is>
      </c>
      <c r="I89" s="130" t="inlineStr">
        <is>
          <t>Redwood Underwriters</t>
        </is>
      </c>
      <c r="J89" s="130" t="inlineStr">
        <is>
          <t>Policy Admin Core</t>
        </is>
      </c>
      <c r="K89" s="132" t="n">
        <v>16500</v>
      </c>
      <c r="L89" s="142">
        <f>IFERROR(INDEX('Sales Roster &amp; Quotas'!$G$6:$G$20,MATCH($B89,'Sales Roster &amp; Quotas'!$B$6:$B$20,0)),0)</f>
        <v/>
      </c>
      <c r="M89" s="143">
        <f>SUMIFS($K$5:$K$274,$B$5:$B$274,$B89,$G$5:$G$274,$G89,$H$5:$H$274,"New Business")</f>
        <v/>
      </c>
      <c r="N89" s="144">
        <f>IFERROR(M89/L89,0)</f>
        <v/>
      </c>
      <c r="O89" s="143">
        <f>MIN(M89,L89)</f>
        <v/>
      </c>
      <c r="P89" s="143">
        <f>MAX(MIN(M89,L89*1.25)-L89,0)</f>
        <v/>
      </c>
      <c r="Q89" s="143">
        <f>MAX(M89-L89*1.25,0)</f>
        <v/>
      </c>
      <c r="R89" s="142">
        <f>O89*'Commission Plan Rules'!$F$6+P89*'Commission Plan Rules'!$F$7+Q89*'Commission Plan Rules'!$F$8</f>
        <v/>
      </c>
      <c r="S89" s="145">
        <f>IF(H89="New Business",IFERROR((K89/M89)*R89,0),IF(H89="Upsell",K89*'Commission Plan Rules'!$F$9,IF(H89="Renewal",K89*'Commission Plan Rules'!$F$10,0)))</f>
        <v/>
      </c>
      <c r="T89" s="141">
        <f>COUNTIFS($F$5:$F$274,F89,$K$5:$K$274,"&gt;"&amp;K89)+1</f>
        <v/>
      </c>
      <c r="U89" s="141">
        <f>F89&amp;"|"&amp;T89</f>
        <v/>
      </c>
    </row>
    <row r="90" ht="15" customHeight="1" s="107">
      <c r="A90" s="133" t="inlineStr">
        <is>
          <t>D00259</t>
        </is>
      </c>
      <c r="B90" s="133" t="inlineStr">
        <is>
          <t>R015</t>
        </is>
      </c>
      <c r="C90" s="146">
        <f>IFERROR(INDEX('Sales Roster &amp; Quotas'!$C$6:$C$20,MATCH($B90,'Sales Roster &amp; Quotas'!$B$6:$B$20,0)),"")</f>
        <v/>
      </c>
      <c r="D90" s="146">
        <f>IFERROR(INDEX('Sales Roster &amp; Quotas'!$D$6:$D$20,MATCH($B90,'Sales Roster &amp; Quotas'!$B$6:$B$20,0)),"")</f>
        <v/>
      </c>
      <c r="E90" s="134" t="n">
        <v>46076</v>
      </c>
      <c r="F90" s="147">
        <f>TEXT(E90,"yyyy-mm")</f>
        <v/>
      </c>
      <c r="G90" s="147">
        <f>IF(MONTH(E90)&lt;=3,"Q1","Q2")</f>
        <v/>
      </c>
      <c r="H90" s="133" t="inlineStr">
        <is>
          <t>Upsell</t>
        </is>
      </c>
      <c r="I90" s="133" t="inlineStr">
        <is>
          <t>Meadowbrook Insurance Brokers</t>
        </is>
      </c>
      <c r="J90" s="133" t="inlineStr">
        <is>
          <t>Client Portal</t>
        </is>
      </c>
      <c r="K90" s="135" t="n">
        <v>86500</v>
      </c>
      <c r="L90" s="148">
        <f>IFERROR(INDEX('Sales Roster &amp; Quotas'!$G$6:$G$20,MATCH($B90,'Sales Roster &amp; Quotas'!$B$6:$B$20,0)),0)</f>
        <v/>
      </c>
      <c r="M90" s="149">
        <f>SUMIFS($K$5:$K$274,$B$5:$B$274,$B90,$G$5:$G$274,$G90,$H$5:$H$274,"New Business")</f>
        <v/>
      </c>
      <c r="N90" s="150">
        <f>IFERROR(M90/L90,0)</f>
        <v/>
      </c>
      <c r="O90" s="149">
        <f>MIN(M90,L90)</f>
        <v/>
      </c>
      <c r="P90" s="149">
        <f>MAX(MIN(M90,L90*1.25)-L90,0)</f>
        <v/>
      </c>
      <c r="Q90" s="149">
        <f>MAX(M90-L90*1.25,0)</f>
        <v/>
      </c>
      <c r="R90" s="148">
        <f>O90*'Commission Plan Rules'!$F$6+P90*'Commission Plan Rules'!$F$7+Q90*'Commission Plan Rules'!$F$8</f>
        <v/>
      </c>
      <c r="S90" s="151">
        <f>IF(H90="New Business",IFERROR((K90/M90)*R90,0),IF(H90="Upsell",K90*'Commission Plan Rules'!$F$9,IF(H90="Renewal",K90*'Commission Plan Rules'!$F$10,0)))</f>
        <v/>
      </c>
      <c r="T90" s="141">
        <f>COUNTIFS($F$5:$F$274,F90,$K$5:$K$274,"&gt;"&amp;K90)+1</f>
        <v/>
      </c>
      <c r="U90" s="141">
        <f>F90&amp;"|"&amp;T90</f>
        <v/>
      </c>
    </row>
    <row r="91" ht="15" customHeight="1" s="107">
      <c r="A91" s="130" t="inlineStr">
        <is>
          <t>D00103</t>
        </is>
      </c>
      <c r="B91" s="130" t="inlineStr">
        <is>
          <t>R006</t>
        </is>
      </c>
      <c r="C91" s="140">
        <f>IFERROR(INDEX('Sales Roster &amp; Quotas'!$C$6:$C$20,MATCH($B91,'Sales Roster &amp; Quotas'!$B$6:$B$20,0)),"")</f>
        <v/>
      </c>
      <c r="D91" s="140">
        <f>IFERROR(INDEX('Sales Roster &amp; Quotas'!$D$6:$D$20,MATCH($B91,'Sales Roster &amp; Quotas'!$B$6:$B$20,0)),"")</f>
        <v/>
      </c>
      <c r="E91" s="131" t="n">
        <v>46076</v>
      </c>
      <c r="F91" s="141">
        <f>TEXT(E91,"yyyy-mm")</f>
        <v/>
      </c>
      <c r="G91" s="141">
        <f>IF(MONTH(E91)&lt;=3,"Q1","Q2")</f>
        <v/>
      </c>
      <c r="H91" s="130" t="inlineStr">
        <is>
          <t>New Business</t>
        </is>
      </c>
      <c r="I91" s="130" t="inlineStr">
        <is>
          <t>Wrenfield Insurance Brokers</t>
        </is>
      </c>
      <c r="J91" s="130" t="inlineStr">
        <is>
          <t>Policy Admin Core</t>
        </is>
      </c>
      <c r="K91" s="132" t="n">
        <v>31000</v>
      </c>
      <c r="L91" s="142">
        <f>IFERROR(INDEX('Sales Roster &amp; Quotas'!$G$6:$G$20,MATCH($B91,'Sales Roster &amp; Quotas'!$B$6:$B$20,0)),0)</f>
        <v/>
      </c>
      <c r="M91" s="143">
        <f>SUMIFS($K$5:$K$274,$B$5:$B$274,$B91,$G$5:$G$274,$G91,$H$5:$H$274,"New Business")</f>
        <v/>
      </c>
      <c r="N91" s="144">
        <f>IFERROR(M91/L91,0)</f>
        <v/>
      </c>
      <c r="O91" s="143">
        <f>MIN(M91,L91)</f>
        <v/>
      </c>
      <c r="P91" s="143">
        <f>MAX(MIN(M91,L91*1.25)-L91,0)</f>
        <v/>
      </c>
      <c r="Q91" s="143">
        <f>MAX(M91-L91*1.25,0)</f>
        <v/>
      </c>
      <c r="R91" s="142">
        <f>O91*'Commission Plan Rules'!$F$6+P91*'Commission Plan Rules'!$F$7+Q91*'Commission Plan Rules'!$F$8</f>
        <v/>
      </c>
      <c r="S91" s="145">
        <f>IF(H91="New Business",IFERROR((K91/M91)*R91,0),IF(H91="Upsell",K91*'Commission Plan Rules'!$F$9,IF(H91="Renewal",K91*'Commission Plan Rules'!$F$10,0)))</f>
        <v/>
      </c>
      <c r="T91" s="141">
        <f>COUNTIFS($F$5:$F$274,F91,$K$5:$K$274,"&gt;"&amp;K91)+1</f>
        <v/>
      </c>
      <c r="U91" s="141">
        <f>F91&amp;"|"&amp;T91</f>
        <v/>
      </c>
    </row>
    <row r="92" ht="15" customHeight="1" s="107">
      <c r="A92" s="133" t="inlineStr">
        <is>
          <t>D00189</t>
        </is>
      </c>
      <c r="B92" s="133" t="inlineStr">
        <is>
          <t>R010</t>
        </is>
      </c>
      <c r="C92" s="146">
        <f>IFERROR(INDEX('Sales Roster &amp; Quotas'!$C$6:$C$20,MATCH($B92,'Sales Roster &amp; Quotas'!$B$6:$B$20,0)),"")</f>
        <v/>
      </c>
      <c r="D92" s="146">
        <f>IFERROR(INDEX('Sales Roster &amp; Quotas'!$D$6:$D$20,MATCH($B92,'Sales Roster &amp; Quotas'!$B$6:$B$20,0)),"")</f>
        <v/>
      </c>
      <c r="E92" s="134" t="n">
        <v>46077</v>
      </c>
      <c r="F92" s="147">
        <f>TEXT(E92,"yyyy-mm")</f>
        <v/>
      </c>
      <c r="G92" s="147">
        <f>IF(MONTH(E92)&lt;=3,"Q1","Q2")</f>
        <v/>
      </c>
      <c r="H92" s="133" t="inlineStr">
        <is>
          <t>Renewal</t>
        </is>
      </c>
      <c r="I92" s="133" t="inlineStr">
        <is>
          <t>Hillcrest Insurance Brokers</t>
        </is>
      </c>
      <c r="J92" s="133" t="inlineStr">
        <is>
          <t>Policy Admin Core</t>
        </is>
      </c>
      <c r="K92" s="135" t="n">
        <v>33000</v>
      </c>
      <c r="L92" s="148">
        <f>IFERROR(INDEX('Sales Roster &amp; Quotas'!$G$6:$G$20,MATCH($B92,'Sales Roster &amp; Quotas'!$B$6:$B$20,0)),0)</f>
        <v/>
      </c>
      <c r="M92" s="149">
        <f>SUMIFS($K$5:$K$274,$B$5:$B$274,$B92,$G$5:$G$274,$G92,$H$5:$H$274,"New Business")</f>
        <v/>
      </c>
      <c r="N92" s="150">
        <f>IFERROR(M92/L92,0)</f>
        <v/>
      </c>
      <c r="O92" s="149">
        <f>MIN(M92,L92)</f>
        <v/>
      </c>
      <c r="P92" s="149">
        <f>MAX(MIN(M92,L92*1.25)-L92,0)</f>
        <v/>
      </c>
      <c r="Q92" s="149">
        <f>MAX(M92-L92*1.25,0)</f>
        <v/>
      </c>
      <c r="R92" s="148">
        <f>O92*'Commission Plan Rules'!$F$6+P92*'Commission Plan Rules'!$F$7+Q92*'Commission Plan Rules'!$F$8</f>
        <v/>
      </c>
      <c r="S92" s="151">
        <f>IF(H92="New Business",IFERROR((K92/M92)*R92,0),IF(H92="Upsell",K92*'Commission Plan Rules'!$F$9,IF(H92="Renewal",K92*'Commission Plan Rules'!$F$10,0)))</f>
        <v/>
      </c>
      <c r="T92" s="141">
        <f>COUNTIFS($F$5:$F$274,F92,$K$5:$K$274,"&gt;"&amp;K92)+1</f>
        <v/>
      </c>
      <c r="U92" s="141">
        <f>F92&amp;"|"&amp;T92</f>
        <v/>
      </c>
    </row>
    <row r="93" ht="15" customHeight="1" s="107">
      <c r="A93" s="130" t="inlineStr">
        <is>
          <t>D00048</t>
        </is>
      </c>
      <c r="B93" s="130" t="inlineStr">
        <is>
          <t>R003</t>
        </is>
      </c>
      <c r="C93" s="140">
        <f>IFERROR(INDEX('Sales Roster &amp; Quotas'!$C$6:$C$20,MATCH($B93,'Sales Roster &amp; Quotas'!$B$6:$B$20,0)),"")</f>
        <v/>
      </c>
      <c r="D93" s="140">
        <f>IFERROR(INDEX('Sales Roster &amp; Quotas'!$D$6:$D$20,MATCH($B93,'Sales Roster &amp; Quotas'!$B$6:$B$20,0)),"")</f>
        <v/>
      </c>
      <c r="E93" s="131" t="n">
        <v>46077</v>
      </c>
      <c r="F93" s="141">
        <f>TEXT(E93,"yyyy-mm")</f>
        <v/>
      </c>
      <c r="G93" s="141">
        <f>IF(MONTH(E93)&lt;=3,"Q1","Q2")</f>
        <v/>
      </c>
      <c r="H93" s="130" t="inlineStr">
        <is>
          <t>Renewal</t>
        </is>
      </c>
      <c r="I93" s="130" t="inlineStr">
        <is>
          <t>Brookhaven Agency Partners</t>
        </is>
      </c>
      <c r="J93" s="130" t="inlineStr">
        <is>
          <t>Analytics Add-On</t>
        </is>
      </c>
      <c r="K93" s="132" t="n">
        <v>1500</v>
      </c>
      <c r="L93" s="142">
        <f>IFERROR(INDEX('Sales Roster &amp; Quotas'!$G$6:$G$20,MATCH($B93,'Sales Roster &amp; Quotas'!$B$6:$B$20,0)),0)</f>
        <v/>
      </c>
      <c r="M93" s="143">
        <f>SUMIFS($K$5:$K$274,$B$5:$B$274,$B93,$G$5:$G$274,$G93,$H$5:$H$274,"New Business")</f>
        <v/>
      </c>
      <c r="N93" s="144">
        <f>IFERROR(M93/L93,0)</f>
        <v/>
      </c>
      <c r="O93" s="143">
        <f>MIN(M93,L93)</f>
        <v/>
      </c>
      <c r="P93" s="143">
        <f>MAX(MIN(M93,L93*1.25)-L93,0)</f>
        <v/>
      </c>
      <c r="Q93" s="143">
        <f>MAX(M93-L93*1.25,0)</f>
        <v/>
      </c>
      <c r="R93" s="142">
        <f>O93*'Commission Plan Rules'!$F$6+P93*'Commission Plan Rules'!$F$7+Q93*'Commission Plan Rules'!$F$8</f>
        <v/>
      </c>
      <c r="S93" s="145">
        <f>IF(H93="New Business",IFERROR((K93/M93)*R93,0),IF(H93="Upsell",K93*'Commission Plan Rules'!$F$9,IF(H93="Renewal",K93*'Commission Plan Rules'!$F$10,0)))</f>
        <v/>
      </c>
      <c r="T93" s="141">
        <f>COUNTIFS($F$5:$F$274,F93,$K$5:$K$274,"&gt;"&amp;K93)+1</f>
        <v/>
      </c>
      <c r="U93" s="141">
        <f>F93&amp;"|"&amp;T93</f>
        <v/>
      </c>
    </row>
    <row r="94" ht="15" customHeight="1" s="107">
      <c r="A94" s="133" t="inlineStr">
        <is>
          <t>D00181</t>
        </is>
      </c>
      <c r="B94" s="133" t="inlineStr">
        <is>
          <t>R010</t>
        </is>
      </c>
      <c r="C94" s="146">
        <f>IFERROR(INDEX('Sales Roster &amp; Quotas'!$C$6:$C$20,MATCH($B94,'Sales Roster &amp; Quotas'!$B$6:$B$20,0)),"")</f>
        <v/>
      </c>
      <c r="D94" s="146">
        <f>IFERROR(INDEX('Sales Roster &amp; Quotas'!$D$6:$D$20,MATCH($B94,'Sales Roster &amp; Quotas'!$B$6:$B$20,0)),"")</f>
        <v/>
      </c>
      <c r="E94" s="134" t="n">
        <v>46078</v>
      </c>
      <c r="F94" s="147">
        <f>TEXT(E94,"yyyy-mm")</f>
        <v/>
      </c>
      <c r="G94" s="147">
        <f>IF(MONTH(E94)&lt;=3,"Q1","Q2")</f>
        <v/>
      </c>
      <c r="H94" s="133" t="inlineStr">
        <is>
          <t>New Business</t>
        </is>
      </c>
      <c r="I94" s="133" t="inlineStr">
        <is>
          <t>Millbrook Agency Partners</t>
        </is>
      </c>
      <c r="J94" s="133" t="inlineStr">
        <is>
          <t>Analytics Add-On</t>
        </is>
      </c>
      <c r="K94" s="135" t="n">
        <v>142000</v>
      </c>
      <c r="L94" s="148">
        <f>IFERROR(INDEX('Sales Roster &amp; Quotas'!$G$6:$G$20,MATCH($B94,'Sales Roster &amp; Quotas'!$B$6:$B$20,0)),0)</f>
        <v/>
      </c>
      <c r="M94" s="149">
        <f>SUMIFS($K$5:$K$274,$B$5:$B$274,$B94,$G$5:$G$274,$G94,$H$5:$H$274,"New Business")</f>
        <v/>
      </c>
      <c r="N94" s="150">
        <f>IFERROR(M94/L94,0)</f>
        <v/>
      </c>
      <c r="O94" s="149">
        <f>MIN(M94,L94)</f>
        <v/>
      </c>
      <c r="P94" s="149">
        <f>MAX(MIN(M94,L94*1.25)-L94,0)</f>
        <v/>
      </c>
      <c r="Q94" s="149">
        <f>MAX(M94-L94*1.25,0)</f>
        <v/>
      </c>
      <c r="R94" s="148">
        <f>O94*'Commission Plan Rules'!$F$6+P94*'Commission Plan Rules'!$F$7+Q94*'Commission Plan Rules'!$F$8</f>
        <v/>
      </c>
      <c r="S94" s="151">
        <f>IF(H94="New Business",IFERROR((K94/M94)*R94,0),IF(H94="Upsell",K94*'Commission Plan Rules'!$F$9,IF(H94="Renewal",K94*'Commission Plan Rules'!$F$10,0)))</f>
        <v/>
      </c>
      <c r="T94" s="141">
        <f>COUNTIFS($F$5:$F$274,F94,$K$5:$K$274,"&gt;"&amp;K94)+1</f>
        <v/>
      </c>
      <c r="U94" s="141">
        <f>F94&amp;"|"&amp;T94</f>
        <v/>
      </c>
    </row>
    <row r="95" ht="15" customHeight="1" s="107">
      <c r="A95" s="130" t="inlineStr">
        <is>
          <t>D00084</t>
        </is>
      </c>
      <c r="B95" s="130" t="inlineStr">
        <is>
          <t>R005</t>
        </is>
      </c>
      <c r="C95" s="140">
        <f>IFERROR(INDEX('Sales Roster &amp; Quotas'!$C$6:$C$20,MATCH($B95,'Sales Roster &amp; Quotas'!$B$6:$B$20,0)),"")</f>
        <v/>
      </c>
      <c r="D95" s="140">
        <f>IFERROR(INDEX('Sales Roster &amp; Quotas'!$D$6:$D$20,MATCH($B95,'Sales Roster &amp; Quotas'!$B$6:$B$20,0)),"")</f>
        <v/>
      </c>
      <c r="E95" s="131" t="n">
        <v>46079</v>
      </c>
      <c r="F95" s="141">
        <f>TEXT(E95,"yyyy-mm")</f>
        <v/>
      </c>
      <c r="G95" s="141">
        <f>IF(MONTH(E95)&lt;=3,"Q1","Q2")</f>
        <v/>
      </c>
      <c r="H95" s="130" t="inlineStr">
        <is>
          <t>New Business</t>
        </is>
      </c>
      <c r="I95" s="130" t="inlineStr">
        <is>
          <t>Northgate Agency Partners</t>
        </is>
      </c>
      <c r="J95" s="130" t="inlineStr">
        <is>
          <t>Policy Admin Core</t>
        </is>
      </c>
      <c r="K95" s="132" t="n">
        <v>9000</v>
      </c>
      <c r="L95" s="142">
        <f>IFERROR(INDEX('Sales Roster &amp; Quotas'!$G$6:$G$20,MATCH($B95,'Sales Roster &amp; Quotas'!$B$6:$B$20,0)),0)</f>
        <v/>
      </c>
      <c r="M95" s="143">
        <f>SUMIFS($K$5:$K$274,$B$5:$B$274,$B95,$G$5:$G$274,$G95,$H$5:$H$274,"New Business")</f>
        <v/>
      </c>
      <c r="N95" s="144">
        <f>IFERROR(M95/L95,0)</f>
        <v/>
      </c>
      <c r="O95" s="143">
        <f>MIN(M95,L95)</f>
        <v/>
      </c>
      <c r="P95" s="143">
        <f>MAX(MIN(M95,L95*1.25)-L95,0)</f>
        <v/>
      </c>
      <c r="Q95" s="143">
        <f>MAX(M95-L95*1.25,0)</f>
        <v/>
      </c>
      <c r="R95" s="142">
        <f>O95*'Commission Plan Rules'!$F$6+P95*'Commission Plan Rules'!$F$7+Q95*'Commission Plan Rules'!$F$8</f>
        <v/>
      </c>
      <c r="S95" s="145">
        <f>IF(H95="New Business",IFERROR((K95/M95)*R95,0),IF(H95="Upsell",K95*'Commission Plan Rules'!$F$9,IF(H95="Renewal",K95*'Commission Plan Rules'!$F$10,0)))</f>
        <v/>
      </c>
      <c r="T95" s="141">
        <f>COUNTIFS($F$5:$F$274,F95,$K$5:$K$274,"&gt;"&amp;K95)+1</f>
        <v/>
      </c>
      <c r="U95" s="141">
        <f>F95&amp;"|"&amp;T95</f>
        <v/>
      </c>
    </row>
    <row r="96" ht="15" customHeight="1" s="107">
      <c r="A96" s="133" t="inlineStr">
        <is>
          <t>D00167</t>
        </is>
      </c>
      <c r="B96" s="133" t="inlineStr">
        <is>
          <t>R009</t>
        </is>
      </c>
      <c r="C96" s="146">
        <f>IFERROR(INDEX('Sales Roster &amp; Quotas'!$C$6:$C$20,MATCH($B96,'Sales Roster &amp; Quotas'!$B$6:$B$20,0)),"")</f>
        <v/>
      </c>
      <c r="D96" s="146">
        <f>IFERROR(INDEX('Sales Roster &amp; Quotas'!$D$6:$D$20,MATCH($B96,'Sales Roster &amp; Quotas'!$B$6:$B$20,0)),"")</f>
        <v/>
      </c>
      <c r="E96" s="134" t="n">
        <v>46080</v>
      </c>
      <c r="F96" s="147">
        <f>TEXT(E96,"yyyy-mm")</f>
        <v/>
      </c>
      <c r="G96" s="147">
        <f>IF(MONTH(E96)&lt;=3,"Q1","Q2")</f>
        <v/>
      </c>
      <c r="H96" s="133" t="inlineStr">
        <is>
          <t>Renewal</t>
        </is>
      </c>
      <c r="I96" s="133" t="inlineStr">
        <is>
          <t>Stonebridge Mutual Agency</t>
        </is>
      </c>
      <c r="J96" s="133" t="inlineStr">
        <is>
          <t>Claims Module</t>
        </is>
      </c>
      <c r="K96" s="135" t="n">
        <v>37000</v>
      </c>
      <c r="L96" s="148">
        <f>IFERROR(INDEX('Sales Roster &amp; Quotas'!$G$6:$G$20,MATCH($B96,'Sales Roster &amp; Quotas'!$B$6:$B$20,0)),0)</f>
        <v/>
      </c>
      <c r="M96" s="149">
        <f>SUMIFS($K$5:$K$274,$B$5:$B$274,$B96,$G$5:$G$274,$G96,$H$5:$H$274,"New Business")</f>
        <v/>
      </c>
      <c r="N96" s="150">
        <f>IFERROR(M96/L96,0)</f>
        <v/>
      </c>
      <c r="O96" s="149">
        <f>MIN(M96,L96)</f>
        <v/>
      </c>
      <c r="P96" s="149">
        <f>MAX(MIN(M96,L96*1.25)-L96,0)</f>
        <v/>
      </c>
      <c r="Q96" s="149">
        <f>MAX(M96-L96*1.25,0)</f>
        <v/>
      </c>
      <c r="R96" s="148">
        <f>O96*'Commission Plan Rules'!$F$6+P96*'Commission Plan Rules'!$F$7+Q96*'Commission Plan Rules'!$F$8</f>
        <v/>
      </c>
      <c r="S96" s="151">
        <f>IF(H96="New Business",IFERROR((K96/M96)*R96,0),IF(H96="Upsell",K96*'Commission Plan Rules'!$F$9,IF(H96="Renewal",K96*'Commission Plan Rules'!$F$10,0)))</f>
        <v/>
      </c>
      <c r="T96" s="141">
        <f>COUNTIFS($F$5:$F$274,F96,$K$5:$K$274,"&gt;"&amp;K96)+1</f>
        <v/>
      </c>
      <c r="U96" s="141">
        <f>F96&amp;"|"&amp;T96</f>
        <v/>
      </c>
    </row>
    <row r="97" ht="15" customHeight="1" s="107">
      <c r="A97" s="130" t="inlineStr">
        <is>
          <t>D00185</t>
        </is>
      </c>
      <c r="B97" s="130" t="inlineStr">
        <is>
          <t>R010</t>
        </is>
      </c>
      <c r="C97" s="140">
        <f>IFERROR(INDEX('Sales Roster &amp; Quotas'!$C$6:$C$20,MATCH($B97,'Sales Roster &amp; Quotas'!$B$6:$B$20,0)),"")</f>
        <v/>
      </c>
      <c r="D97" s="140">
        <f>IFERROR(INDEX('Sales Roster &amp; Quotas'!$D$6:$D$20,MATCH($B97,'Sales Roster &amp; Quotas'!$B$6:$B$20,0)),"")</f>
        <v/>
      </c>
      <c r="E97" s="131" t="n">
        <v>46080</v>
      </c>
      <c r="F97" s="141">
        <f>TEXT(E97,"yyyy-mm")</f>
        <v/>
      </c>
      <c r="G97" s="141">
        <f>IF(MONTH(E97)&lt;=3,"Q1","Q2")</f>
        <v/>
      </c>
      <c r="H97" s="130" t="inlineStr">
        <is>
          <t>Renewal</t>
        </is>
      </c>
      <c r="I97" s="130" t="inlineStr">
        <is>
          <t>Anchor Coverage Partners</t>
        </is>
      </c>
      <c r="J97" s="130" t="inlineStr">
        <is>
          <t>Policy Admin Core</t>
        </is>
      </c>
      <c r="K97" s="132" t="n">
        <v>22000</v>
      </c>
      <c r="L97" s="142">
        <f>IFERROR(INDEX('Sales Roster &amp; Quotas'!$G$6:$G$20,MATCH($B97,'Sales Roster &amp; Quotas'!$B$6:$B$20,0)),0)</f>
        <v/>
      </c>
      <c r="M97" s="143">
        <f>SUMIFS($K$5:$K$274,$B$5:$B$274,$B97,$G$5:$G$274,$G97,$H$5:$H$274,"New Business")</f>
        <v/>
      </c>
      <c r="N97" s="144">
        <f>IFERROR(M97/L97,0)</f>
        <v/>
      </c>
      <c r="O97" s="143">
        <f>MIN(M97,L97)</f>
        <v/>
      </c>
      <c r="P97" s="143">
        <f>MAX(MIN(M97,L97*1.25)-L97,0)</f>
        <v/>
      </c>
      <c r="Q97" s="143">
        <f>MAX(M97-L97*1.25,0)</f>
        <v/>
      </c>
      <c r="R97" s="142">
        <f>O97*'Commission Plan Rules'!$F$6+P97*'Commission Plan Rules'!$F$7+Q97*'Commission Plan Rules'!$F$8</f>
        <v/>
      </c>
      <c r="S97" s="145">
        <f>IF(H97="New Business",IFERROR((K97/M97)*R97,0),IF(H97="Upsell",K97*'Commission Plan Rules'!$F$9,IF(H97="Renewal",K97*'Commission Plan Rules'!$F$10,0)))</f>
        <v/>
      </c>
      <c r="T97" s="141">
        <f>COUNTIFS($F$5:$F$274,F97,$K$5:$K$274,"&gt;"&amp;K97)+1</f>
        <v/>
      </c>
      <c r="U97" s="141">
        <f>F97&amp;"|"&amp;T97</f>
        <v/>
      </c>
    </row>
    <row r="98" ht="15" customHeight="1" s="107">
      <c r="A98" s="133" t="inlineStr">
        <is>
          <t>D00187</t>
        </is>
      </c>
      <c r="B98" s="133" t="inlineStr">
        <is>
          <t>R010</t>
        </is>
      </c>
      <c r="C98" s="146">
        <f>IFERROR(INDEX('Sales Roster &amp; Quotas'!$C$6:$C$20,MATCH($B98,'Sales Roster &amp; Quotas'!$B$6:$B$20,0)),"")</f>
        <v/>
      </c>
      <c r="D98" s="146">
        <f>IFERROR(INDEX('Sales Roster &amp; Quotas'!$D$6:$D$20,MATCH($B98,'Sales Roster &amp; Quotas'!$B$6:$B$20,0)),"")</f>
        <v/>
      </c>
      <c r="E98" s="134" t="n">
        <v>46081</v>
      </c>
      <c r="F98" s="147">
        <f>TEXT(E98,"yyyy-mm")</f>
        <v/>
      </c>
      <c r="G98" s="147">
        <f>IF(MONTH(E98)&lt;=3,"Q1","Q2")</f>
        <v/>
      </c>
      <c r="H98" s="133" t="inlineStr">
        <is>
          <t>Renewal</t>
        </is>
      </c>
      <c r="I98" s="133" t="inlineStr">
        <is>
          <t>Ironwood Mutual Agency</t>
        </is>
      </c>
      <c r="J98" s="133" t="inlineStr">
        <is>
          <t>Client Portal</t>
        </is>
      </c>
      <c r="K98" s="135" t="n">
        <v>114500</v>
      </c>
      <c r="L98" s="148">
        <f>IFERROR(INDEX('Sales Roster &amp; Quotas'!$G$6:$G$20,MATCH($B98,'Sales Roster &amp; Quotas'!$B$6:$B$20,0)),0)</f>
        <v/>
      </c>
      <c r="M98" s="149">
        <f>SUMIFS($K$5:$K$274,$B$5:$B$274,$B98,$G$5:$G$274,$G98,$H$5:$H$274,"New Business")</f>
        <v/>
      </c>
      <c r="N98" s="150">
        <f>IFERROR(M98/L98,0)</f>
        <v/>
      </c>
      <c r="O98" s="149">
        <f>MIN(M98,L98)</f>
        <v/>
      </c>
      <c r="P98" s="149">
        <f>MAX(MIN(M98,L98*1.25)-L98,0)</f>
        <v/>
      </c>
      <c r="Q98" s="149">
        <f>MAX(M98-L98*1.25,0)</f>
        <v/>
      </c>
      <c r="R98" s="148">
        <f>O98*'Commission Plan Rules'!$F$6+P98*'Commission Plan Rules'!$F$7+Q98*'Commission Plan Rules'!$F$8</f>
        <v/>
      </c>
      <c r="S98" s="151">
        <f>IF(H98="New Business",IFERROR((K98/M98)*R98,0),IF(H98="Upsell",K98*'Commission Plan Rules'!$F$9,IF(H98="Renewal",K98*'Commission Plan Rules'!$F$10,0)))</f>
        <v/>
      </c>
      <c r="T98" s="141">
        <f>COUNTIFS($F$5:$F$274,F98,$K$5:$K$274,"&gt;"&amp;K98)+1</f>
        <v/>
      </c>
      <c r="U98" s="141">
        <f>F98&amp;"|"&amp;T98</f>
        <v/>
      </c>
    </row>
    <row r="99" ht="15" customHeight="1" s="107">
      <c r="A99" s="130" t="inlineStr">
        <is>
          <t>D00218</t>
        </is>
      </c>
      <c r="B99" s="130" t="inlineStr">
        <is>
          <t>R012</t>
        </is>
      </c>
      <c r="C99" s="140">
        <f>IFERROR(INDEX('Sales Roster &amp; Quotas'!$C$6:$C$20,MATCH($B99,'Sales Roster &amp; Quotas'!$B$6:$B$20,0)),"")</f>
        <v/>
      </c>
      <c r="D99" s="140">
        <f>IFERROR(INDEX('Sales Roster &amp; Quotas'!$D$6:$D$20,MATCH($B99,'Sales Roster &amp; Quotas'!$B$6:$B$20,0)),"")</f>
        <v/>
      </c>
      <c r="E99" s="131" t="n">
        <v>46083</v>
      </c>
      <c r="F99" s="141">
        <f>TEXT(E99,"yyyy-mm")</f>
        <v/>
      </c>
      <c r="G99" s="141">
        <f>IF(MONTH(E99)&lt;=3,"Q1","Q2")</f>
        <v/>
      </c>
      <c r="H99" s="130" t="inlineStr">
        <is>
          <t>New Business</t>
        </is>
      </c>
      <c r="I99" s="130" t="inlineStr">
        <is>
          <t>Riverbend Insurance Group</t>
        </is>
      </c>
      <c r="J99" s="130" t="inlineStr">
        <is>
          <t>Policy Admin Core</t>
        </is>
      </c>
      <c r="K99" s="132" t="n">
        <v>223500</v>
      </c>
      <c r="L99" s="142">
        <f>IFERROR(INDEX('Sales Roster &amp; Quotas'!$G$6:$G$20,MATCH($B99,'Sales Roster &amp; Quotas'!$B$6:$B$20,0)),0)</f>
        <v/>
      </c>
      <c r="M99" s="143">
        <f>SUMIFS($K$5:$K$274,$B$5:$B$274,$B99,$G$5:$G$274,$G99,$H$5:$H$274,"New Business")</f>
        <v/>
      </c>
      <c r="N99" s="144">
        <f>IFERROR(M99/L99,0)</f>
        <v/>
      </c>
      <c r="O99" s="143">
        <f>MIN(M99,L99)</f>
        <v/>
      </c>
      <c r="P99" s="143">
        <f>MAX(MIN(M99,L99*1.25)-L99,0)</f>
        <v/>
      </c>
      <c r="Q99" s="143">
        <f>MAX(M99-L99*1.25,0)</f>
        <v/>
      </c>
      <c r="R99" s="142">
        <f>O99*'Commission Plan Rules'!$F$6+P99*'Commission Plan Rules'!$F$7+Q99*'Commission Plan Rules'!$F$8</f>
        <v/>
      </c>
      <c r="S99" s="145">
        <f>IF(H99="New Business",IFERROR((K99/M99)*R99,0),IF(H99="Upsell",K99*'Commission Plan Rules'!$F$9,IF(H99="Renewal",K99*'Commission Plan Rules'!$F$10,0)))</f>
        <v/>
      </c>
      <c r="T99" s="141">
        <f>COUNTIFS($F$5:$F$274,F99,$K$5:$K$274,"&gt;"&amp;K99)+1</f>
        <v/>
      </c>
      <c r="U99" s="141">
        <f>F99&amp;"|"&amp;T99</f>
        <v/>
      </c>
    </row>
    <row r="100" ht="15" customHeight="1" s="107">
      <c r="A100" s="133" t="inlineStr">
        <is>
          <t>D00146</t>
        </is>
      </c>
      <c r="B100" s="133" t="inlineStr">
        <is>
          <t>R008</t>
        </is>
      </c>
      <c r="C100" s="146">
        <f>IFERROR(INDEX('Sales Roster &amp; Quotas'!$C$6:$C$20,MATCH($B100,'Sales Roster &amp; Quotas'!$B$6:$B$20,0)),"")</f>
        <v/>
      </c>
      <c r="D100" s="146">
        <f>IFERROR(INDEX('Sales Roster &amp; Quotas'!$D$6:$D$20,MATCH($B100,'Sales Roster &amp; Quotas'!$B$6:$B$20,0)),"")</f>
        <v/>
      </c>
      <c r="E100" s="134" t="n">
        <v>46083</v>
      </c>
      <c r="F100" s="147">
        <f>TEXT(E100,"yyyy-mm")</f>
        <v/>
      </c>
      <c r="G100" s="147">
        <f>IF(MONTH(E100)&lt;=3,"Q1","Q2")</f>
        <v/>
      </c>
      <c r="H100" s="133" t="inlineStr">
        <is>
          <t>Upsell</t>
        </is>
      </c>
      <c r="I100" s="133" t="inlineStr">
        <is>
          <t>Millbrook Insurance Brokers</t>
        </is>
      </c>
      <c r="J100" s="133" t="inlineStr">
        <is>
          <t>Policy Admin Core</t>
        </is>
      </c>
      <c r="K100" s="135" t="n">
        <v>12000</v>
      </c>
      <c r="L100" s="148">
        <f>IFERROR(INDEX('Sales Roster &amp; Quotas'!$G$6:$G$20,MATCH($B100,'Sales Roster &amp; Quotas'!$B$6:$B$20,0)),0)</f>
        <v/>
      </c>
      <c r="M100" s="149">
        <f>SUMIFS($K$5:$K$274,$B$5:$B$274,$B100,$G$5:$G$274,$G100,$H$5:$H$274,"New Business")</f>
        <v/>
      </c>
      <c r="N100" s="150">
        <f>IFERROR(M100/L100,0)</f>
        <v/>
      </c>
      <c r="O100" s="149">
        <f>MIN(M100,L100)</f>
        <v/>
      </c>
      <c r="P100" s="149">
        <f>MAX(MIN(M100,L100*1.25)-L100,0)</f>
        <v/>
      </c>
      <c r="Q100" s="149">
        <f>MAX(M100-L100*1.25,0)</f>
        <v/>
      </c>
      <c r="R100" s="148">
        <f>O100*'Commission Plan Rules'!$F$6+P100*'Commission Plan Rules'!$F$7+Q100*'Commission Plan Rules'!$F$8</f>
        <v/>
      </c>
      <c r="S100" s="151">
        <f>IF(H100="New Business",IFERROR((K100/M100)*R100,0),IF(H100="Upsell",K100*'Commission Plan Rules'!$F$9,IF(H100="Renewal",K100*'Commission Plan Rules'!$F$10,0)))</f>
        <v/>
      </c>
      <c r="T100" s="141">
        <f>COUNTIFS($F$5:$F$274,F100,$K$5:$K$274,"&gt;"&amp;K100)+1</f>
        <v/>
      </c>
      <c r="U100" s="141">
        <f>F100&amp;"|"&amp;T100</f>
        <v/>
      </c>
    </row>
    <row r="101" ht="15" customHeight="1" s="107">
      <c r="A101" s="130" t="inlineStr">
        <is>
          <t>D00028</t>
        </is>
      </c>
      <c r="B101" s="130" t="inlineStr">
        <is>
          <t>R002</t>
        </is>
      </c>
      <c r="C101" s="140">
        <f>IFERROR(INDEX('Sales Roster &amp; Quotas'!$C$6:$C$20,MATCH($B101,'Sales Roster &amp; Quotas'!$B$6:$B$20,0)),"")</f>
        <v/>
      </c>
      <c r="D101" s="140">
        <f>IFERROR(INDEX('Sales Roster &amp; Quotas'!$D$6:$D$20,MATCH($B101,'Sales Roster &amp; Quotas'!$B$6:$B$20,0)),"")</f>
        <v/>
      </c>
      <c r="E101" s="131" t="n">
        <v>46083</v>
      </c>
      <c r="F101" s="141">
        <f>TEXT(E101,"yyyy-mm")</f>
        <v/>
      </c>
      <c r="G101" s="141">
        <f>IF(MONTH(E101)&lt;=3,"Q1","Q2")</f>
        <v/>
      </c>
      <c r="H101" s="130" t="inlineStr">
        <is>
          <t>New Business</t>
        </is>
      </c>
      <c r="I101" s="130" t="inlineStr">
        <is>
          <t>Redwood Insurance Group</t>
        </is>
      </c>
      <c r="J101" s="130" t="inlineStr">
        <is>
          <t>Policy Admin Core</t>
        </is>
      </c>
      <c r="K101" s="132" t="n">
        <v>36500</v>
      </c>
      <c r="L101" s="142">
        <f>IFERROR(INDEX('Sales Roster &amp; Quotas'!$G$6:$G$20,MATCH($B101,'Sales Roster &amp; Quotas'!$B$6:$B$20,0)),0)</f>
        <v/>
      </c>
      <c r="M101" s="143">
        <f>SUMIFS($K$5:$K$274,$B$5:$B$274,$B101,$G$5:$G$274,$G101,$H$5:$H$274,"New Business")</f>
        <v/>
      </c>
      <c r="N101" s="144">
        <f>IFERROR(M101/L101,0)</f>
        <v/>
      </c>
      <c r="O101" s="143">
        <f>MIN(M101,L101)</f>
        <v/>
      </c>
      <c r="P101" s="143">
        <f>MAX(MIN(M101,L101*1.25)-L101,0)</f>
        <v/>
      </c>
      <c r="Q101" s="143">
        <f>MAX(M101-L101*1.25,0)</f>
        <v/>
      </c>
      <c r="R101" s="142">
        <f>O101*'Commission Plan Rules'!$F$6+P101*'Commission Plan Rules'!$F$7+Q101*'Commission Plan Rules'!$F$8</f>
        <v/>
      </c>
      <c r="S101" s="145">
        <f>IF(H101="New Business",IFERROR((K101/M101)*R101,0),IF(H101="Upsell",K101*'Commission Plan Rules'!$F$9,IF(H101="Renewal",K101*'Commission Plan Rules'!$F$10,0)))</f>
        <v/>
      </c>
      <c r="T101" s="141">
        <f>COUNTIFS($F$5:$F$274,F101,$K$5:$K$274,"&gt;"&amp;K101)+1</f>
        <v/>
      </c>
      <c r="U101" s="141">
        <f>F101&amp;"|"&amp;T101</f>
        <v/>
      </c>
    </row>
    <row r="102" ht="15" customHeight="1" s="107">
      <c r="A102" s="133" t="inlineStr">
        <is>
          <t>D00088</t>
        </is>
      </c>
      <c r="B102" s="133" t="inlineStr">
        <is>
          <t>R005</t>
        </is>
      </c>
      <c r="C102" s="146">
        <f>IFERROR(INDEX('Sales Roster &amp; Quotas'!$C$6:$C$20,MATCH($B102,'Sales Roster &amp; Quotas'!$B$6:$B$20,0)),"")</f>
        <v/>
      </c>
      <c r="D102" s="146">
        <f>IFERROR(INDEX('Sales Roster &amp; Quotas'!$D$6:$D$20,MATCH($B102,'Sales Roster &amp; Quotas'!$B$6:$B$20,0)),"")</f>
        <v/>
      </c>
      <c r="E102" s="134" t="n">
        <v>46083</v>
      </c>
      <c r="F102" s="147">
        <f>TEXT(E102,"yyyy-mm")</f>
        <v/>
      </c>
      <c r="G102" s="147">
        <f>IF(MONTH(E102)&lt;=3,"Q1","Q2")</f>
        <v/>
      </c>
      <c r="H102" s="133" t="inlineStr">
        <is>
          <t>Upsell</t>
        </is>
      </c>
      <c r="I102" s="133" t="inlineStr">
        <is>
          <t>Northgate Risk Advisors</t>
        </is>
      </c>
      <c r="J102" s="133" t="inlineStr">
        <is>
          <t>Policy Admin Core</t>
        </is>
      </c>
      <c r="K102" s="135" t="n">
        <v>21500</v>
      </c>
      <c r="L102" s="148">
        <f>IFERROR(INDEX('Sales Roster &amp; Quotas'!$G$6:$G$20,MATCH($B102,'Sales Roster &amp; Quotas'!$B$6:$B$20,0)),0)</f>
        <v/>
      </c>
      <c r="M102" s="149">
        <f>SUMIFS($K$5:$K$274,$B$5:$B$274,$B102,$G$5:$G$274,$G102,$H$5:$H$274,"New Business")</f>
        <v/>
      </c>
      <c r="N102" s="150">
        <f>IFERROR(M102/L102,0)</f>
        <v/>
      </c>
      <c r="O102" s="149">
        <f>MIN(M102,L102)</f>
        <v/>
      </c>
      <c r="P102" s="149">
        <f>MAX(MIN(M102,L102*1.25)-L102,0)</f>
        <v/>
      </c>
      <c r="Q102" s="149">
        <f>MAX(M102-L102*1.25,0)</f>
        <v/>
      </c>
      <c r="R102" s="148">
        <f>O102*'Commission Plan Rules'!$F$6+P102*'Commission Plan Rules'!$F$7+Q102*'Commission Plan Rules'!$F$8</f>
        <v/>
      </c>
      <c r="S102" s="151">
        <f>IF(H102="New Business",IFERROR((K102/M102)*R102,0),IF(H102="Upsell",K102*'Commission Plan Rules'!$F$9,IF(H102="Renewal",K102*'Commission Plan Rules'!$F$10,0)))</f>
        <v/>
      </c>
      <c r="T102" s="141">
        <f>COUNTIFS($F$5:$F$274,F102,$K$5:$K$274,"&gt;"&amp;K102)+1</f>
        <v/>
      </c>
      <c r="U102" s="141">
        <f>F102&amp;"|"&amp;T102</f>
        <v/>
      </c>
    </row>
    <row r="103" ht="15" customHeight="1" s="107">
      <c r="A103" s="130" t="inlineStr">
        <is>
          <t>D00072</t>
        </is>
      </c>
      <c r="B103" s="130" t="inlineStr">
        <is>
          <t>R004</t>
        </is>
      </c>
      <c r="C103" s="140">
        <f>IFERROR(INDEX('Sales Roster &amp; Quotas'!$C$6:$C$20,MATCH($B103,'Sales Roster &amp; Quotas'!$B$6:$B$20,0)),"")</f>
        <v/>
      </c>
      <c r="D103" s="140">
        <f>IFERROR(INDEX('Sales Roster &amp; Quotas'!$D$6:$D$20,MATCH($B103,'Sales Roster &amp; Quotas'!$B$6:$B$20,0)),"")</f>
        <v/>
      </c>
      <c r="E103" s="131" t="n">
        <v>46084</v>
      </c>
      <c r="F103" s="141">
        <f>TEXT(E103,"yyyy-mm")</f>
        <v/>
      </c>
      <c r="G103" s="141">
        <f>IF(MONTH(E103)&lt;=3,"Q1","Q2")</f>
        <v/>
      </c>
      <c r="H103" s="130" t="inlineStr">
        <is>
          <t>Renewal</t>
        </is>
      </c>
      <c r="I103" s="130" t="inlineStr">
        <is>
          <t>Redwood Insurance Group</t>
        </is>
      </c>
      <c r="J103" s="130" t="inlineStr">
        <is>
          <t>Claims Module</t>
        </is>
      </c>
      <c r="K103" s="132" t="n">
        <v>14000</v>
      </c>
      <c r="L103" s="142">
        <f>IFERROR(INDEX('Sales Roster &amp; Quotas'!$G$6:$G$20,MATCH($B103,'Sales Roster &amp; Quotas'!$B$6:$B$20,0)),0)</f>
        <v/>
      </c>
      <c r="M103" s="143">
        <f>SUMIFS($K$5:$K$274,$B$5:$B$274,$B103,$G$5:$G$274,$G103,$H$5:$H$274,"New Business")</f>
        <v/>
      </c>
      <c r="N103" s="144">
        <f>IFERROR(M103/L103,0)</f>
        <v/>
      </c>
      <c r="O103" s="143">
        <f>MIN(M103,L103)</f>
        <v/>
      </c>
      <c r="P103" s="143">
        <f>MAX(MIN(M103,L103*1.25)-L103,0)</f>
        <v/>
      </c>
      <c r="Q103" s="143">
        <f>MAX(M103-L103*1.25,0)</f>
        <v/>
      </c>
      <c r="R103" s="142">
        <f>O103*'Commission Plan Rules'!$F$6+P103*'Commission Plan Rules'!$F$7+Q103*'Commission Plan Rules'!$F$8</f>
        <v/>
      </c>
      <c r="S103" s="145">
        <f>IF(H103="New Business",IFERROR((K103/M103)*R103,0),IF(H103="Upsell",K103*'Commission Plan Rules'!$F$9,IF(H103="Renewal",K103*'Commission Plan Rules'!$F$10,0)))</f>
        <v/>
      </c>
      <c r="T103" s="141">
        <f>COUNTIFS($F$5:$F$274,F103,$K$5:$K$274,"&gt;"&amp;K103)+1</f>
        <v/>
      </c>
      <c r="U103" s="141">
        <f>F103&amp;"|"&amp;T103</f>
        <v/>
      </c>
    </row>
    <row r="104" ht="15" customHeight="1" s="107">
      <c r="A104" s="133" t="inlineStr">
        <is>
          <t>D00064</t>
        </is>
      </c>
      <c r="B104" s="133" t="inlineStr">
        <is>
          <t>R004</t>
        </is>
      </c>
      <c r="C104" s="146">
        <f>IFERROR(INDEX('Sales Roster &amp; Quotas'!$C$6:$C$20,MATCH($B104,'Sales Roster &amp; Quotas'!$B$6:$B$20,0)),"")</f>
        <v/>
      </c>
      <c r="D104" s="146">
        <f>IFERROR(INDEX('Sales Roster &amp; Quotas'!$D$6:$D$20,MATCH($B104,'Sales Roster &amp; Quotas'!$B$6:$B$20,0)),"")</f>
        <v/>
      </c>
      <c r="E104" s="134" t="n">
        <v>46085</v>
      </c>
      <c r="F104" s="147">
        <f>TEXT(E104,"yyyy-mm")</f>
        <v/>
      </c>
      <c r="G104" s="147">
        <f>IF(MONTH(E104)&lt;=3,"Q1","Q2")</f>
        <v/>
      </c>
      <c r="H104" s="133" t="inlineStr">
        <is>
          <t>New Business</t>
        </is>
      </c>
      <c r="I104" s="133" t="inlineStr">
        <is>
          <t>Overlook Insurance Brokers</t>
        </is>
      </c>
      <c r="J104" s="133" t="inlineStr">
        <is>
          <t>Policy Admin Core</t>
        </is>
      </c>
      <c r="K104" s="135" t="n">
        <v>49500</v>
      </c>
      <c r="L104" s="148">
        <f>IFERROR(INDEX('Sales Roster &amp; Quotas'!$G$6:$G$20,MATCH($B104,'Sales Roster &amp; Quotas'!$B$6:$B$20,0)),0)</f>
        <v/>
      </c>
      <c r="M104" s="149">
        <f>SUMIFS($K$5:$K$274,$B$5:$B$274,$B104,$G$5:$G$274,$G104,$H$5:$H$274,"New Business")</f>
        <v/>
      </c>
      <c r="N104" s="150">
        <f>IFERROR(M104/L104,0)</f>
        <v/>
      </c>
      <c r="O104" s="149">
        <f>MIN(M104,L104)</f>
        <v/>
      </c>
      <c r="P104" s="149">
        <f>MAX(MIN(M104,L104*1.25)-L104,0)</f>
        <v/>
      </c>
      <c r="Q104" s="149">
        <f>MAX(M104-L104*1.25,0)</f>
        <v/>
      </c>
      <c r="R104" s="148">
        <f>O104*'Commission Plan Rules'!$F$6+P104*'Commission Plan Rules'!$F$7+Q104*'Commission Plan Rules'!$F$8</f>
        <v/>
      </c>
      <c r="S104" s="151">
        <f>IF(H104="New Business",IFERROR((K104/M104)*R104,0),IF(H104="Upsell",K104*'Commission Plan Rules'!$F$9,IF(H104="Renewal",K104*'Commission Plan Rules'!$F$10,0)))</f>
        <v/>
      </c>
      <c r="T104" s="141">
        <f>COUNTIFS($F$5:$F$274,F104,$K$5:$K$274,"&gt;"&amp;K104)+1</f>
        <v/>
      </c>
      <c r="U104" s="141">
        <f>F104&amp;"|"&amp;T104</f>
        <v/>
      </c>
    </row>
    <row r="105" ht="15" customHeight="1" s="107">
      <c r="A105" s="130" t="inlineStr">
        <is>
          <t>D00083</t>
        </is>
      </c>
      <c r="B105" s="130" t="inlineStr">
        <is>
          <t>R005</t>
        </is>
      </c>
      <c r="C105" s="140">
        <f>IFERROR(INDEX('Sales Roster &amp; Quotas'!$C$6:$C$20,MATCH($B105,'Sales Roster &amp; Quotas'!$B$6:$B$20,0)),"")</f>
        <v/>
      </c>
      <c r="D105" s="140">
        <f>IFERROR(INDEX('Sales Roster &amp; Quotas'!$D$6:$D$20,MATCH($B105,'Sales Roster &amp; Quotas'!$B$6:$B$20,0)),"")</f>
        <v/>
      </c>
      <c r="E105" s="131" t="n">
        <v>46087</v>
      </c>
      <c r="F105" s="141">
        <f>TEXT(E105,"yyyy-mm")</f>
        <v/>
      </c>
      <c r="G105" s="141">
        <f>IF(MONTH(E105)&lt;=3,"Q1","Q2")</f>
        <v/>
      </c>
      <c r="H105" s="130" t="inlineStr">
        <is>
          <t>New Business</t>
        </is>
      </c>
      <c r="I105" s="130" t="inlineStr">
        <is>
          <t>Granite Risk Advisors</t>
        </is>
      </c>
      <c r="J105" s="130" t="inlineStr">
        <is>
          <t>Policy Admin Core</t>
        </is>
      </c>
      <c r="K105" s="132" t="n">
        <v>97000</v>
      </c>
      <c r="L105" s="142">
        <f>IFERROR(INDEX('Sales Roster &amp; Quotas'!$G$6:$G$20,MATCH($B105,'Sales Roster &amp; Quotas'!$B$6:$B$20,0)),0)</f>
        <v/>
      </c>
      <c r="M105" s="143">
        <f>SUMIFS($K$5:$K$274,$B$5:$B$274,$B105,$G$5:$G$274,$G105,$H$5:$H$274,"New Business")</f>
        <v/>
      </c>
      <c r="N105" s="144">
        <f>IFERROR(M105/L105,0)</f>
        <v/>
      </c>
      <c r="O105" s="143">
        <f>MIN(M105,L105)</f>
        <v/>
      </c>
      <c r="P105" s="143">
        <f>MAX(MIN(M105,L105*1.25)-L105,0)</f>
        <v/>
      </c>
      <c r="Q105" s="143">
        <f>MAX(M105-L105*1.25,0)</f>
        <v/>
      </c>
      <c r="R105" s="142">
        <f>O105*'Commission Plan Rules'!$F$6+P105*'Commission Plan Rules'!$F$7+Q105*'Commission Plan Rules'!$F$8</f>
        <v/>
      </c>
      <c r="S105" s="145">
        <f>IF(H105="New Business",IFERROR((K105/M105)*R105,0),IF(H105="Upsell",K105*'Commission Plan Rules'!$F$9,IF(H105="Renewal",K105*'Commission Plan Rules'!$F$10,0)))</f>
        <v/>
      </c>
      <c r="T105" s="141">
        <f>COUNTIFS($F$5:$F$274,F105,$K$5:$K$274,"&gt;"&amp;K105)+1</f>
        <v/>
      </c>
      <c r="U105" s="141">
        <f>F105&amp;"|"&amp;T105</f>
        <v/>
      </c>
    </row>
    <row r="106" ht="15" customHeight="1" s="107">
      <c r="A106" s="133" t="inlineStr">
        <is>
          <t>D00007</t>
        </is>
      </c>
      <c r="B106" s="133" t="inlineStr">
        <is>
          <t>R001</t>
        </is>
      </c>
      <c r="C106" s="146">
        <f>IFERROR(INDEX('Sales Roster &amp; Quotas'!$C$6:$C$20,MATCH($B106,'Sales Roster &amp; Quotas'!$B$6:$B$20,0)),"")</f>
        <v/>
      </c>
      <c r="D106" s="146">
        <f>IFERROR(INDEX('Sales Roster &amp; Quotas'!$D$6:$D$20,MATCH($B106,'Sales Roster &amp; Quotas'!$B$6:$B$20,0)),"")</f>
        <v/>
      </c>
      <c r="E106" s="134" t="n">
        <v>46087</v>
      </c>
      <c r="F106" s="147">
        <f>TEXT(E106,"yyyy-mm")</f>
        <v/>
      </c>
      <c r="G106" s="147">
        <f>IF(MONTH(E106)&lt;=3,"Q1","Q2")</f>
        <v/>
      </c>
      <c r="H106" s="133" t="inlineStr">
        <is>
          <t>Upsell</t>
        </is>
      </c>
      <c r="I106" s="133" t="inlineStr">
        <is>
          <t>Overlook Agency Partners</t>
        </is>
      </c>
      <c r="J106" s="133" t="inlineStr">
        <is>
          <t>Analytics Add-On</t>
        </is>
      </c>
      <c r="K106" s="135" t="n">
        <v>22500</v>
      </c>
      <c r="L106" s="148">
        <f>IFERROR(INDEX('Sales Roster &amp; Quotas'!$G$6:$G$20,MATCH($B106,'Sales Roster &amp; Quotas'!$B$6:$B$20,0)),0)</f>
        <v/>
      </c>
      <c r="M106" s="149">
        <f>SUMIFS($K$5:$K$274,$B$5:$B$274,$B106,$G$5:$G$274,$G106,$H$5:$H$274,"New Business")</f>
        <v/>
      </c>
      <c r="N106" s="150">
        <f>IFERROR(M106/L106,0)</f>
        <v/>
      </c>
      <c r="O106" s="149">
        <f>MIN(M106,L106)</f>
        <v/>
      </c>
      <c r="P106" s="149">
        <f>MAX(MIN(M106,L106*1.25)-L106,0)</f>
        <v/>
      </c>
      <c r="Q106" s="149">
        <f>MAX(M106-L106*1.25,0)</f>
        <v/>
      </c>
      <c r="R106" s="148">
        <f>O106*'Commission Plan Rules'!$F$6+P106*'Commission Plan Rules'!$F$7+Q106*'Commission Plan Rules'!$F$8</f>
        <v/>
      </c>
      <c r="S106" s="151">
        <f>IF(H106="New Business",IFERROR((K106/M106)*R106,0),IF(H106="Upsell",K106*'Commission Plan Rules'!$F$9,IF(H106="Renewal",K106*'Commission Plan Rules'!$F$10,0)))</f>
        <v/>
      </c>
      <c r="T106" s="141">
        <f>COUNTIFS($F$5:$F$274,F106,$K$5:$K$274,"&gt;"&amp;K106)+1</f>
        <v/>
      </c>
      <c r="U106" s="141">
        <f>F106&amp;"|"&amp;T106</f>
        <v/>
      </c>
    </row>
    <row r="107" ht="15" customHeight="1" s="107">
      <c r="A107" s="130" t="inlineStr">
        <is>
          <t>D00163</t>
        </is>
      </c>
      <c r="B107" s="130" t="inlineStr">
        <is>
          <t>R009</t>
        </is>
      </c>
      <c r="C107" s="140">
        <f>IFERROR(INDEX('Sales Roster &amp; Quotas'!$C$6:$C$20,MATCH($B107,'Sales Roster &amp; Quotas'!$B$6:$B$20,0)),"")</f>
        <v/>
      </c>
      <c r="D107" s="140">
        <f>IFERROR(INDEX('Sales Roster &amp; Quotas'!$D$6:$D$20,MATCH($B107,'Sales Roster &amp; Quotas'!$B$6:$B$20,0)),"")</f>
        <v/>
      </c>
      <c r="E107" s="131" t="n">
        <v>46089</v>
      </c>
      <c r="F107" s="141">
        <f>TEXT(E107,"yyyy-mm")</f>
        <v/>
      </c>
      <c r="G107" s="141">
        <f>IF(MONTH(E107)&lt;=3,"Q1","Q2")</f>
        <v/>
      </c>
      <c r="H107" s="130" t="inlineStr">
        <is>
          <t>New Business</t>
        </is>
      </c>
      <c r="I107" s="130" t="inlineStr">
        <is>
          <t>Anchor Underwriters</t>
        </is>
      </c>
      <c r="J107" s="130" t="inlineStr">
        <is>
          <t>Claims Module</t>
        </is>
      </c>
      <c r="K107" s="132" t="n">
        <v>67000</v>
      </c>
      <c r="L107" s="142">
        <f>IFERROR(INDEX('Sales Roster &amp; Quotas'!$G$6:$G$20,MATCH($B107,'Sales Roster &amp; Quotas'!$B$6:$B$20,0)),0)</f>
        <v/>
      </c>
      <c r="M107" s="143">
        <f>SUMIFS($K$5:$K$274,$B$5:$B$274,$B107,$G$5:$G$274,$G107,$H$5:$H$274,"New Business")</f>
        <v/>
      </c>
      <c r="N107" s="144">
        <f>IFERROR(M107/L107,0)</f>
        <v/>
      </c>
      <c r="O107" s="143">
        <f>MIN(M107,L107)</f>
        <v/>
      </c>
      <c r="P107" s="143">
        <f>MAX(MIN(M107,L107*1.25)-L107,0)</f>
        <v/>
      </c>
      <c r="Q107" s="143">
        <f>MAX(M107-L107*1.25,0)</f>
        <v/>
      </c>
      <c r="R107" s="142">
        <f>O107*'Commission Plan Rules'!$F$6+P107*'Commission Plan Rules'!$F$7+Q107*'Commission Plan Rules'!$F$8</f>
        <v/>
      </c>
      <c r="S107" s="145">
        <f>IF(H107="New Business",IFERROR((K107/M107)*R107,0),IF(H107="Upsell",K107*'Commission Plan Rules'!$F$9,IF(H107="Renewal",K107*'Commission Plan Rules'!$F$10,0)))</f>
        <v/>
      </c>
      <c r="T107" s="141">
        <f>COUNTIFS($F$5:$F$274,F107,$K$5:$K$274,"&gt;"&amp;K107)+1</f>
        <v/>
      </c>
      <c r="U107" s="141">
        <f>F107&amp;"|"&amp;T107</f>
        <v/>
      </c>
    </row>
    <row r="108" ht="15" customHeight="1" s="107">
      <c r="A108" s="133" t="inlineStr">
        <is>
          <t>D00215</t>
        </is>
      </c>
      <c r="B108" s="133" t="inlineStr">
        <is>
          <t>R012</t>
        </is>
      </c>
      <c r="C108" s="146">
        <f>IFERROR(INDEX('Sales Roster &amp; Quotas'!$C$6:$C$20,MATCH($B108,'Sales Roster &amp; Quotas'!$B$6:$B$20,0)),"")</f>
        <v/>
      </c>
      <c r="D108" s="146">
        <f>IFERROR(INDEX('Sales Roster &amp; Quotas'!$D$6:$D$20,MATCH($B108,'Sales Roster &amp; Quotas'!$B$6:$B$20,0)),"")</f>
        <v/>
      </c>
      <c r="E108" s="134" t="n">
        <v>46089</v>
      </c>
      <c r="F108" s="147">
        <f>TEXT(E108,"yyyy-mm")</f>
        <v/>
      </c>
      <c r="G108" s="147">
        <f>IF(MONTH(E108)&lt;=3,"Q1","Q2")</f>
        <v/>
      </c>
      <c r="H108" s="133" t="inlineStr">
        <is>
          <t>New Business</t>
        </is>
      </c>
      <c r="I108" s="133" t="inlineStr">
        <is>
          <t>Cobalt Risk Advisors</t>
        </is>
      </c>
      <c r="J108" s="133" t="inlineStr">
        <is>
          <t>Analytics Add-On</t>
        </is>
      </c>
      <c r="K108" s="135" t="n">
        <v>50500</v>
      </c>
      <c r="L108" s="148">
        <f>IFERROR(INDEX('Sales Roster &amp; Quotas'!$G$6:$G$20,MATCH($B108,'Sales Roster &amp; Quotas'!$B$6:$B$20,0)),0)</f>
        <v/>
      </c>
      <c r="M108" s="149">
        <f>SUMIFS($K$5:$K$274,$B$5:$B$274,$B108,$G$5:$G$274,$G108,$H$5:$H$274,"New Business")</f>
        <v/>
      </c>
      <c r="N108" s="150">
        <f>IFERROR(M108/L108,0)</f>
        <v/>
      </c>
      <c r="O108" s="149">
        <f>MIN(M108,L108)</f>
        <v/>
      </c>
      <c r="P108" s="149">
        <f>MAX(MIN(M108,L108*1.25)-L108,0)</f>
        <v/>
      </c>
      <c r="Q108" s="149">
        <f>MAX(M108-L108*1.25,0)</f>
        <v/>
      </c>
      <c r="R108" s="148">
        <f>O108*'Commission Plan Rules'!$F$6+P108*'Commission Plan Rules'!$F$7+Q108*'Commission Plan Rules'!$F$8</f>
        <v/>
      </c>
      <c r="S108" s="151">
        <f>IF(H108="New Business",IFERROR((K108/M108)*R108,0),IF(H108="Upsell",K108*'Commission Plan Rules'!$F$9,IF(H108="Renewal",K108*'Commission Plan Rules'!$F$10,0)))</f>
        <v/>
      </c>
      <c r="T108" s="141">
        <f>COUNTIFS($F$5:$F$274,F108,$K$5:$K$274,"&gt;"&amp;K108)+1</f>
        <v/>
      </c>
      <c r="U108" s="141">
        <f>F108&amp;"|"&amp;T108</f>
        <v/>
      </c>
    </row>
    <row r="109" ht="15" customHeight="1" s="107">
      <c r="A109" s="130" t="inlineStr">
        <is>
          <t>D00249</t>
        </is>
      </c>
      <c r="B109" s="130" t="inlineStr">
        <is>
          <t>R014</t>
        </is>
      </c>
      <c r="C109" s="140">
        <f>IFERROR(INDEX('Sales Roster &amp; Quotas'!$C$6:$C$20,MATCH($B109,'Sales Roster &amp; Quotas'!$B$6:$B$20,0)),"")</f>
        <v/>
      </c>
      <c r="D109" s="140">
        <f>IFERROR(INDEX('Sales Roster &amp; Quotas'!$D$6:$D$20,MATCH($B109,'Sales Roster &amp; Quotas'!$B$6:$B$20,0)),"")</f>
        <v/>
      </c>
      <c r="E109" s="131" t="n">
        <v>46090</v>
      </c>
      <c r="F109" s="141">
        <f>TEXT(E109,"yyyy-mm")</f>
        <v/>
      </c>
      <c r="G109" s="141">
        <f>IF(MONTH(E109)&lt;=3,"Q1","Q2")</f>
        <v/>
      </c>
      <c r="H109" s="130" t="inlineStr">
        <is>
          <t>Renewal</t>
        </is>
      </c>
      <c r="I109" s="130" t="inlineStr">
        <is>
          <t>Bridgeway Risk Advisors</t>
        </is>
      </c>
      <c r="J109" s="130" t="inlineStr">
        <is>
          <t>Claims Module</t>
        </is>
      </c>
      <c r="K109" s="132" t="n">
        <v>129500</v>
      </c>
      <c r="L109" s="142">
        <f>IFERROR(INDEX('Sales Roster &amp; Quotas'!$G$6:$G$20,MATCH($B109,'Sales Roster &amp; Quotas'!$B$6:$B$20,0)),0)</f>
        <v/>
      </c>
      <c r="M109" s="143">
        <f>SUMIFS($K$5:$K$274,$B$5:$B$274,$B109,$G$5:$G$274,$G109,$H$5:$H$274,"New Business")</f>
        <v/>
      </c>
      <c r="N109" s="144">
        <f>IFERROR(M109/L109,0)</f>
        <v/>
      </c>
      <c r="O109" s="143">
        <f>MIN(M109,L109)</f>
        <v/>
      </c>
      <c r="P109" s="143">
        <f>MAX(MIN(M109,L109*1.25)-L109,0)</f>
        <v/>
      </c>
      <c r="Q109" s="143">
        <f>MAX(M109-L109*1.25,0)</f>
        <v/>
      </c>
      <c r="R109" s="142">
        <f>O109*'Commission Plan Rules'!$F$6+P109*'Commission Plan Rules'!$F$7+Q109*'Commission Plan Rules'!$F$8</f>
        <v/>
      </c>
      <c r="S109" s="145">
        <f>IF(H109="New Business",IFERROR((K109/M109)*R109,0),IF(H109="Upsell",K109*'Commission Plan Rules'!$F$9,IF(H109="Renewal",K109*'Commission Plan Rules'!$F$10,0)))</f>
        <v/>
      </c>
      <c r="T109" s="141">
        <f>COUNTIFS($F$5:$F$274,F109,$K$5:$K$274,"&gt;"&amp;K109)+1</f>
        <v/>
      </c>
      <c r="U109" s="141">
        <f>F109&amp;"|"&amp;T109</f>
        <v/>
      </c>
    </row>
    <row r="110" ht="15" customHeight="1" s="107">
      <c r="A110" s="133" t="inlineStr">
        <is>
          <t>D00112</t>
        </is>
      </c>
      <c r="B110" s="133" t="inlineStr">
        <is>
          <t>R006</t>
        </is>
      </c>
      <c r="C110" s="146">
        <f>IFERROR(INDEX('Sales Roster &amp; Quotas'!$C$6:$C$20,MATCH($B110,'Sales Roster &amp; Quotas'!$B$6:$B$20,0)),"")</f>
        <v/>
      </c>
      <c r="D110" s="146">
        <f>IFERROR(INDEX('Sales Roster &amp; Quotas'!$D$6:$D$20,MATCH($B110,'Sales Roster &amp; Quotas'!$B$6:$B$20,0)),"")</f>
        <v/>
      </c>
      <c r="E110" s="134" t="n">
        <v>46090</v>
      </c>
      <c r="F110" s="147">
        <f>TEXT(E110,"yyyy-mm")</f>
        <v/>
      </c>
      <c r="G110" s="147">
        <f>IF(MONTH(E110)&lt;=3,"Q1","Q2")</f>
        <v/>
      </c>
      <c r="H110" s="133" t="inlineStr">
        <is>
          <t>Renewal</t>
        </is>
      </c>
      <c r="I110" s="133" t="inlineStr">
        <is>
          <t>Overlook Risk Advisors</t>
        </is>
      </c>
      <c r="J110" s="133" t="inlineStr">
        <is>
          <t>Policy Admin Core</t>
        </is>
      </c>
      <c r="K110" s="135" t="n">
        <v>2000</v>
      </c>
      <c r="L110" s="148">
        <f>IFERROR(INDEX('Sales Roster &amp; Quotas'!$G$6:$G$20,MATCH($B110,'Sales Roster &amp; Quotas'!$B$6:$B$20,0)),0)</f>
        <v/>
      </c>
      <c r="M110" s="149">
        <f>SUMIFS($K$5:$K$274,$B$5:$B$274,$B110,$G$5:$G$274,$G110,$H$5:$H$274,"New Business")</f>
        <v/>
      </c>
      <c r="N110" s="150">
        <f>IFERROR(M110/L110,0)</f>
        <v/>
      </c>
      <c r="O110" s="149">
        <f>MIN(M110,L110)</f>
        <v/>
      </c>
      <c r="P110" s="149">
        <f>MAX(MIN(M110,L110*1.25)-L110,0)</f>
        <v/>
      </c>
      <c r="Q110" s="149">
        <f>MAX(M110-L110*1.25,0)</f>
        <v/>
      </c>
      <c r="R110" s="148">
        <f>O110*'Commission Plan Rules'!$F$6+P110*'Commission Plan Rules'!$F$7+Q110*'Commission Plan Rules'!$F$8</f>
        <v/>
      </c>
      <c r="S110" s="151">
        <f>IF(H110="New Business",IFERROR((K110/M110)*R110,0),IF(H110="Upsell",K110*'Commission Plan Rules'!$F$9,IF(H110="Renewal",K110*'Commission Plan Rules'!$F$10,0)))</f>
        <v/>
      </c>
      <c r="T110" s="141">
        <f>COUNTIFS($F$5:$F$274,F110,$K$5:$K$274,"&gt;"&amp;K110)+1</f>
        <v/>
      </c>
      <c r="U110" s="141">
        <f>F110&amp;"|"&amp;T110</f>
        <v/>
      </c>
    </row>
    <row r="111" ht="15" customHeight="1" s="107">
      <c r="A111" s="130" t="inlineStr">
        <is>
          <t>D00202</t>
        </is>
      </c>
      <c r="B111" s="130" t="inlineStr">
        <is>
          <t>R011</t>
        </is>
      </c>
      <c r="C111" s="140">
        <f>IFERROR(INDEX('Sales Roster &amp; Quotas'!$C$6:$C$20,MATCH($B111,'Sales Roster &amp; Quotas'!$B$6:$B$20,0)),"")</f>
        <v/>
      </c>
      <c r="D111" s="140">
        <f>IFERROR(INDEX('Sales Roster &amp; Quotas'!$D$6:$D$20,MATCH($B111,'Sales Roster &amp; Quotas'!$B$6:$B$20,0)),"")</f>
        <v/>
      </c>
      <c r="E111" s="131" t="n">
        <v>46090</v>
      </c>
      <c r="F111" s="141">
        <f>TEXT(E111,"yyyy-mm")</f>
        <v/>
      </c>
      <c r="G111" s="141">
        <f>IF(MONTH(E111)&lt;=3,"Q1","Q2")</f>
        <v/>
      </c>
      <c r="H111" s="130" t="inlineStr">
        <is>
          <t>Renewal</t>
        </is>
      </c>
      <c r="I111" s="130" t="inlineStr">
        <is>
          <t>Pinnacle Insurance Solutions</t>
        </is>
      </c>
      <c r="J111" s="130" t="inlineStr">
        <is>
          <t>Policy Admin Core</t>
        </is>
      </c>
      <c r="K111" s="132" t="n">
        <v>15000</v>
      </c>
      <c r="L111" s="142">
        <f>IFERROR(INDEX('Sales Roster &amp; Quotas'!$G$6:$G$20,MATCH($B111,'Sales Roster &amp; Quotas'!$B$6:$B$20,0)),0)</f>
        <v/>
      </c>
      <c r="M111" s="143">
        <f>SUMIFS($K$5:$K$274,$B$5:$B$274,$B111,$G$5:$G$274,$G111,$H$5:$H$274,"New Business")</f>
        <v/>
      </c>
      <c r="N111" s="144">
        <f>IFERROR(M111/L111,0)</f>
        <v/>
      </c>
      <c r="O111" s="143">
        <f>MIN(M111,L111)</f>
        <v/>
      </c>
      <c r="P111" s="143">
        <f>MAX(MIN(M111,L111*1.25)-L111,0)</f>
        <v/>
      </c>
      <c r="Q111" s="143">
        <f>MAX(M111-L111*1.25,0)</f>
        <v/>
      </c>
      <c r="R111" s="142">
        <f>O111*'Commission Plan Rules'!$F$6+P111*'Commission Plan Rules'!$F$7+Q111*'Commission Plan Rules'!$F$8</f>
        <v/>
      </c>
      <c r="S111" s="145">
        <f>IF(H111="New Business",IFERROR((K111/M111)*R111,0),IF(H111="Upsell",K111*'Commission Plan Rules'!$F$9,IF(H111="Renewal",K111*'Commission Plan Rules'!$F$10,0)))</f>
        <v/>
      </c>
      <c r="T111" s="141">
        <f>COUNTIFS($F$5:$F$274,F111,$K$5:$K$274,"&gt;"&amp;K111)+1</f>
        <v/>
      </c>
      <c r="U111" s="141">
        <f>F111&amp;"|"&amp;T111</f>
        <v/>
      </c>
    </row>
    <row r="112" ht="15" customHeight="1" s="107">
      <c r="A112" s="133" t="inlineStr">
        <is>
          <t>D00013</t>
        </is>
      </c>
      <c r="B112" s="133" t="inlineStr">
        <is>
          <t>R001</t>
        </is>
      </c>
      <c r="C112" s="146">
        <f>IFERROR(INDEX('Sales Roster &amp; Quotas'!$C$6:$C$20,MATCH($B112,'Sales Roster &amp; Quotas'!$B$6:$B$20,0)),"")</f>
        <v/>
      </c>
      <c r="D112" s="146">
        <f>IFERROR(INDEX('Sales Roster &amp; Quotas'!$D$6:$D$20,MATCH($B112,'Sales Roster &amp; Quotas'!$B$6:$B$20,0)),"")</f>
        <v/>
      </c>
      <c r="E112" s="134" t="n">
        <v>46091</v>
      </c>
      <c r="F112" s="147">
        <f>TEXT(E112,"yyyy-mm")</f>
        <v/>
      </c>
      <c r="G112" s="147">
        <f>IF(MONTH(E112)&lt;=3,"Q1","Q2")</f>
        <v/>
      </c>
      <c r="H112" s="133" t="inlineStr">
        <is>
          <t>Renewal</t>
        </is>
      </c>
      <c r="I112" s="133" t="inlineStr">
        <is>
          <t>Highmark Insurance Group</t>
        </is>
      </c>
      <c r="J112" s="133" t="inlineStr">
        <is>
          <t>Policy Admin Core</t>
        </is>
      </c>
      <c r="K112" s="135" t="n">
        <v>17500</v>
      </c>
      <c r="L112" s="148">
        <f>IFERROR(INDEX('Sales Roster &amp; Quotas'!$G$6:$G$20,MATCH($B112,'Sales Roster &amp; Quotas'!$B$6:$B$20,0)),0)</f>
        <v/>
      </c>
      <c r="M112" s="149">
        <f>SUMIFS($K$5:$K$274,$B$5:$B$274,$B112,$G$5:$G$274,$G112,$H$5:$H$274,"New Business")</f>
        <v/>
      </c>
      <c r="N112" s="150">
        <f>IFERROR(M112/L112,0)</f>
        <v/>
      </c>
      <c r="O112" s="149">
        <f>MIN(M112,L112)</f>
        <v/>
      </c>
      <c r="P112" s="149">
        <f>MAX(MIN(M112,L112*1.25)-L112,0)</f>
        <v/>
      </c>
      <c r="Q112" s="149">
        <f>MAX(M112-L112*1.25,0)</f>
        <v/>
      </c>
      <c r="R112" s="148">
        <f>O112*'Commission Plan Rules'!$F$6+P112*'Commission Plan Rules'!$F$7+Q112*'Commission Plan Rules'!$F$8</f>
        <v/>
      </c>
      <c r="S112" s="151">
        <f>IF(H112="New Business",IFERROR((K112/M112)*R112,0),IF(H112="Upsell",K112*'Commission Plan Rules'!$F$9,IF(H112="Renewal",K112*'Commission Plan Rules'!$F$10,0)))</f>
        <v/>
      </c>
      <c r="T112" s="141">
        <f>COUNTIFS($F$5:$F$274,F112,$K$5:$K$274,"&gt;"&amp;K112)+1</f>
        <v/>
      </c>
      <c r="U112" s="141">
        <f>F112&amp;"|"&amp;T112</f>
        <v/>
      </c>
    </row>
    <row r="113" ht="15" customHeight="1" s="107">
      <c r="A113" s="130" t="inlineStr">
        <is>
          <t>D00223</t>
        </is>
      </c>
      <c r="B113" s="130" t="inlineStr">
        <is>
          <t>R012</t>
        </is>
      </c>
      <c r="C113" s="140">
        <f>IFERROR(INDEX('Sales Roster &amp; Quotas'!$C$6:$C$20,MATCH($B113,'Sales Roster &amp; Quotas'!$B$6:$B$20,0)),"")</f>
        <v/>
      </c>
      <c r="D113" s="140">
        <f>IFERROR(INDEX('Sales Roster &amp; Quotas'!$D$6:$D$20,MATCH($B113,'Sales Roster &amp; Quotas'!$B$6:$B$20,0)),"")</f>
        <v/>
      </c>
      <c r="E113" s="131" t="n">
        <v>46091</v>
      </c>
      <c r="F113" s="141">
        <f>TEXT(E113,"yyyy-mm")</f>
        <v/>
      </c>
      <c r="G113" s="141">
        <f>IF(MONTH(E113)&lt;=3,"Q1","Q2")</f>
        <v/>
      </c>
      <c r="H113" s="130" t="inlineStr">
        <is>
          <t>Renewal</t>
        </is>
      </c>
      <c r="I113" s="130" t="inlineStr">
        <is>
          <t>Granite Underwriters</t>
        </is>
      </c>
      <c r="J113" s="130" t="inlineStr">
        <is>
          <t>Policy Admin Core</t>
        </is>
      </c>
      <c r="K113" s="132" t="n">
        <v>42500</v>
      </c>
      <c r="L113" s="142">
        <f>IFERROR(INDEX('Sales Roster &amp; Quotas'!$G$6:$G$20,MATCH($B113,'Sales Roster &amp; Quotas'!$B$6:$B$20,0)),0)</f>
        <v/>
      </c>
      <c r="M113" s="143">
        <f>SUMIFS($K$5:$K$274,$B$5:$B$274,$B113,$G$5:$G$274,$G113,$H$5:$H$274,"New Business")</f>
        <v/>
      </c>
      <c r="N113" s="144">
        <f>IFERROR(M113/L113,0)</f>
        <v/>
      </c>
      <c r="O113" s="143">
        <f>MIN(M113,L113)</f>
        <v/>
      </c>
      <c r="P113" s="143">
        <f>MAX(MIN(M113,L113*1.25)-L113,0)</f>
        <v/>
      </c>
      <c r="Q113" s="143">
        <f>MAX(M113-L113*1.25,0)</f>
        <v/>
      </c>
      <c r="R113" s="142">
        <f>O113*'Commission Plan Rules'!$F$6+P113*'Commission Plan Rules'!$F$7+Q113*'Commission Plan Rules'!$F$8</f>
        <v/>
      </c>
      <c r="S113" s="145">
        <f>IF(H113="New Business",IFERROR((K113/M113)*R113,0),IF(H113="Upsell",K113*'Commission Plan Rules'!$F$9,IF(H113="Renewal",K113*'Commission Plan Rules'!$F$10,0)))</f>
        <v/>
      </c>
      <c r="T113" s="141">
        <f>COUNTIFS($F$5:$F$274,F113,$K$5:$K$274,"&gt;"&amp;K113)+1</f>
        <v/>
      </c>
      <c r="U113" s="141">
        <f>F113&amp;"|"&amp;T113</f>
        <v/>
      </c>
    </row>
    <row r="114" ht="15" customHeight="1" s="107">
      <c r="A114" s="133" t="inlineStr">
        <is>
          <t>D00236</t>
        </is>
      </c>
      <c r="B114" s="133" t="inlineStr">
        <is>
          <t>R013</t>
        </is>
      </c>
      <c r="C114" s="146">
        <f>IFERROR(INDEX('Sales Roster &amp; Quotas'!$C$6:$C$20,MATCH($B114,'Sales Roster &amp; Quotas'!$B$6:$B$20,0)),"")</f>
        <v/>
      </c>
      <c r="D114" s="146">
        <f>IFERROR(INDEX('Sales Roster &amp; Quotas'!$D$6:$D$20,MATCH($B114,'Sales Roster &amp; Quotas'!$B$6:$B$20,0)),"")</f>
        <v/>
      </c>
      <c r="E114" s="134" t="n">
        <v>46092</v>
      </c>
      <c r="F114" s="147">
        <f>TEXT(E114,"yyyy-mm")</f>
        <v/>
      </c>
      <c r="G114" s="147">
        <f>IF(MONTH(E114)&lt;=3,"Q1","Q2")</f>
        <v/>
      </c>
      <c r="H114" s="133" t="inlineStr">
        <is>
          <t>Renewal</t>
        </is>
      </c>
      <c r="I114" s="133" t="inlineStr">
        <is>
          <t>Harborview Insurance Brokers</t>
        </is>
      </c>
      <c r="J114" s="133" t="inlineStr">
        <is>
          <t>Claims Module</t>
        </is>
      </c>
      <c r="K114" s="135" t="n">
        <v>65500</v>
      </c>
      <c r="L114" s="148">
        <f>IFERROR(INDEX('Sales Roster &amp; Quotas'!$G$6:$G$20,MATCH($B114,'Sales Roster &amp; Quotas'!$B$6:$B$20,0)),0)</f>
        <v/>
      </c>
      <c r="M114" s="149">
        <f>SUMIFS($K$5:$K$274,$B$5:$B$274,$B114,$G$5:$G$274,$G114,$H$5:$H$274,"New Business")</f>
        <v/>
      </c>
      <c r="N114" s="150">
        <f>IFERROR(M114/L114,0)</f>
        <v/>
      </c>
      <c r="O114" s="149">
        <f>MIN(M114,L114)</f>
        <v/>
      </c>
      <c r="P114" s="149">
        <f>MAX(MIN(M114,L114*1.25)-L114,0)</f>
        <v/>
      </c>
      <c r="Q114" s="149">
        <f>MAX(M114-L114*1.25,0)</f>
        <v/>
      </c>
      <c r="R114" s="148">
        <f>O114*'Commission Plan Rules'!$F$6+P114*'Commission Plan Rules'!$F$7+Q114*'Commission Plan Rules'!$F$8</f>
        <v/>
      </c>
      <c r="S114" s="151">
        <f>IF(H114="New Business",IFERROR((K114/M114)*R114,0),IF(H114="Upsell",K114*'Commission Plan Rules'!$F$9,IF(H114="Renewal",K114*'Commission Plan Rules'!$F$10,0)))</f>
        <v/>
      </c>
      <c r="T114" s="141">
        <f>COUNTIFS($F$5:$F$274,F114,$K$5:$K$274,"&gt;"&amp;K114)+1</f>
        <v/>
      </c>
      <c r="U114" s="141">
        <f>F114&amp;"|"&amp;T114</f>
        <v/>
      </c>
    </row>
    <row r="115" ht="15" customHeight="1" s="107">
      <c r="A115" s="130" t="inlineStr">
        <is>
          <t>D00221</t>
        </is>
      </c>
      <c r="B115" s="130" t="inlineStr">
        <is>
          <t>R012</t>
        </is>
      </c>
      <c r="C115" s="140">
        <f>IFERROR(INDEX('Sales Roster &amp; Quotas'!$C$6:$C$20,MATCH($B115,'Sales Roster &amp; Quotas'!$B$6:$B$20,0)),"")</f>
        <v/>
      </c>
      <c r="D115" s="140">
        <f>IFERROR(INDEX('Sales Roster &amp; Quotas'!$D$6:$D$20,MATCH($B115,'Sales Roster &amp; Quotas'!$B$6:$B$20,0)),"")</f>
        <v/>
      </c>
      <c r="E115" s="131" t="n">
        <v>46092</v>
      </c>
      <c r="F115" s="141">
        <f>TEXT(E115,"yyyy-mm")</f>
        <v/>
      </c>
      <c r="G115" s="141">
        <f>IF(MONTH(E115)&lt;=3,"Q1","Q2")</f>
        <v/>
      </c>
      <c r="H115" s="130" t="inlineStr">
        <is>
          <t>Upsell</t>
        </is>
      </c>
      <c r="I115" s="130" t="inlineStr">
        <is>
          <t>Vantage Coverage Partners</t>
        </is>
      </c>
      <c r="J115" s="130" t="inlineStr">
        <is>
          <t>Analytics Add-On</t>
        </is>
      </c>
      <c r="K115" s="132" t="n">
        <v>26500</v>
      </c>
      <c r="L115" s="142">
        <f>IFERROR(INDEX('Sales Roster &amp; Quotas'!$G$6:$G$20,MATCH($B115,'Sales Roster &amp; Quotas'!$B$6:$B$20,0)),0)</f>
        <v/>
      </c>
      <c r="M115" s="143">
        <f>SUMIFS($K$5:$K$274,$B$5:$B$274,$B115,$G$5:$G$274,$G115,$H$5:$H$274,"New Business")</f>
        <v/>
      </c>
      <c r="N115" s="144">
        <f>IFERROR(M115/L115,0)</f>
        <v/>
      </c>
      <c r="O115" s="143">
        <f>MIN(M115,L115)</f>
        <v/>
      </c>
      <c r="P115" s="143">
        <f>MAX(MIN(M115,L115*1.25)-L115,0)</f>
        <v/>
      </c>
      <c r="Q115" s="143">
        <f>MAX(M115-L115*1.25,0)</f>
        <v/>
      </c>
      <c r="R115" s="142">
        <f>O115*'Commission Plan Rules'!$F$6+P115*'Commission Plan Rules'!$F$7+Q115*'Commission Plan Rules'!$F$8</f>
        <v/>
      </c>
      <c r="S115" s="145">
        <f>IF(H115="New Business",IFERROR((K115/M115)*R115,0),IF(H115="Upsell",K115*'Commission Plan Rules'!$F$9,IF(H115="Renewal",K115*'Commission Plan Rules'!$F$10,0)))</f>
        <v/>
      </c>
      <c r="T115" s="141">
        <f>COUNTIFS($F$5:$F$274,F115,$K$5:$K$274,"&gt;"&amp;K115)+1</f>
        <v/>
      </c>
      <c r="U115" s="141">
        <f>F115&amp;"|"&amp;T115</f>
        <v/>
      </c>
    </row>
    <row r="116" ht="15" customHeight="1" s="107">
      <c r="A116" s="133" t="inlineStr">
        <is>
          <t>D00106</t>
        </is>
      </c>
      <c r="B116" s="133" t="inlineStr">
        <is>
          <t>R006</t>
        </is>
      </c>
      <c r="C116" s="146">
        <f>IFERROR(INDEX('Sales Roster &amp; Quotas'!$C$6:$C$20,MATCH($B116,'Sales Roster &amp; Quotas'!$B$6:$B$20,0)),"")</f>
        <v/>
      </c>
      <c r="D116" s="146">
        <f>IFERROR(INDEX('Sales Roster &amp; Quotas'!$D$6:$D$20,MATCH($B116,'Sales Roster &amp; Quotas'!$B$6:$B$20,0)),"")</f>
        <v/>
      </c>
      <c r="E116" s="134" t="n">
        <v>46092</v>
      </c>
      <c r="F116" s="147">
        <f>TEXT(E116,"yyyy-mm")</f>
        <v/>
      </c>
      <c r="G116" s="147">
        <f>IF(MONTH(E116)&lt;=3,"Q1","Q2")</f>
        <v/>
      </c>
      <c r="H116" s="133" t="inlineStr">
        <is>
          <t>New Business</t>
        </is>
      </c>
      <c r="I116" s="133" t="inlineStr">
        <is>
          <t>Cedarline Risk Advisors</t>
        </is>
      </c>
      <c r="J116" s="133" t="inlineStr">
        <is>
          <t>Claims Module</t>
        </is>
      </c>
      <c r="K116" s="135" t="n">
        <v>80500</v>
      </c>
      <c r="L116" s="148">
        <f>IFERROR(INDEX('Sales Roster &amp; Quotas'!$G$6:$G$20,MATCH($B116,'Sales Roster &amp; Quotas'!$B$6:$B$20,0)),0)</f>
        <v/>
      </c>
      <c r="M116" s="149">
        <f>SUMIFS($K$5:$K$274,$B$5:$B$274,$B116,$G$5:$G$274,$G116,$H$5:$H$274,"New Business")</f>
        <v/>
      </c>
      <c r="N116" s="150">
        <f>IFERROR(M116/L116,0)</f>
        <v/>
      </c>
      <c r="O116" s="149">
        <f>MIN(M116,L116)</f>
        <v/>
      </c>
      <c r="P116" s="149">
        <f>MAX(MIN(M116,L116*1.25)-L116,0)</f>
        <v/>
      </c>
      <c r="Q116" s="149">
        <f>MAX(M116-L116*1.25,0)</f>
        <v/>
      </c>
      <c r="R116" s="148">
        <f>O116*'Commission Plan Rules'!$F$6+P116*'Commission Plan Rules'!$F$7+Q116*'Commission Plan Rules'!$F$8</f>
        <v/>
      </c>
      <c r="S116" s="151">
        <f>IF(H116="New Business",IFERROR((K116/M116)*R116,0),IF(H116="Upsell",K116*'Commission Plan Rules'!$F$9,IF(H116="Renewal",K116*'Commission Plan Rules'!$F$10,0)))</f>
        <v/>
      </c>
      <c r="T116" s="141">
        <f>COUNTIFS($F$5:$F$274,F116,$K$5:$K$274,"&gt;"&amp;K116)+1</f>
        <v/>
      </c>
      <c r="U116" s="141">
        <f>F116&amp;"|"&amp;T116</f>
        <v/>
      </c>
    </row>
    <row r="117" ht="15" customHeight="1" s="107">
      <c r="A117" s="130" t="inlineStr">
        <is>
          <t>D00179</t>
        </is>
      </c>
      <c r="B117" s="130" t="inlineStr">
        <is>
          <t>R010</t>
        </is>
      </c>
      <c r="C117" s="140">
        <f>IFERROR(INDEX('Sales Roster &amp; Quotas'!$C$6:$C$20,MATCH($B117,'Sales Roster &amp; Quotas'!$B$6:$B$20,0)),"")</f>
        <v/>
      </c>
      <c r="D117" s="140">
        <f>IFERROR(INDEX('Sales Roster &amp; Quotas'!$D$6:$D$20,MATCH($B117,'Sales Roster &amp; Quotas'!$B$6:$B$20,0)),"")</f>
        <v/>
      </c>
      <c r="E117" s="131" t="n">
        <v>46093</v>
      </c>
      <c r="F117" s="141">
        <f>TEXT(E117,"yyyy-mm")</f>
        <v/>
      </c>
      <c r="G117" s="141">
        <f>IF(MONTH(E117)&lt;=3,"Q1","Q2")</f>
        <v/>
      </c>
      <c r="H117" s="130" t="inlineStr">
        <is>
          <t>New Business</t>
        </is>
      </c>
      <c r="I117" s="130" t="inlineStr">
        <is>
          <t>Meadowbrook Agency Partners</t>
        </is>
      </c>
      <c r="J117" s="130" t="inlineStr">
        <is>
          <t>Policy Admin Core</t>
        </is>
      </c>
      <c r="K117" s="132" t="n">
        <v>90500</v>
      </c>
      <c r="L117" s="142">
        <f>IFERROR(INDEX('Sales Roster &amp; Quotas'!$G$6:$G$20,MATCH($B117,'Sales Roster &amp; Quotas'!$B$6:$B$20,0)),0)</f>
        <v/>
      </c>
      <c r="M117" s="143">
        <f>SUMIFS($K$5:$K$274,$B$5:$B$274,$B117,$G$5:$G$274,$G117,$H$5:$H$274,"New Business")</f>
        <v/>
      </c>
      <c r="N117" s="144">
        <f>IFERROR(M117/L117,0)</f>
        <v/>
      </c>
      <c r="O117" s="143">
        <f>MIN(M117,L117)</f>
        <v/>
      </c>
      <c r="P117" s="143">
        <f>MAX(MIN(M117,L117*1.25)-L117,0)</f>
        <v/>
      </c>
      <c r="Q117" s="143">
        <f>MAX(M117-L117*1.25,0)</f>
        <v/>
      </c>
      <c r="R117" s="142">
        <f>O117*'Commission Plan Rules'!$F$6+P117*'Commission Plan Rules'!$F$7+Q117*'Commission Plan Rules'!$F$8</f>
        <v/>
      </c>
      <c r="S117" s="145">
        <f>IF(H117="New Business",IFERROR((K117/M117)*R117,0),IF(H117="Upsell",K117*'Commission Plan Rules'!$F$9,IF(H117="Renewal",K117*'Commission Plan Rules'!$F$10,0)))</f>
        <v/>
      </c>
      <c r="T117" s="141">
        <f>COUNTIFS($F$5:$F$274,F117,$K$5:$K$274,"&gt;"&amp;K117)+1</f>
        <v/>
      </c>
      <c r="U117" s="141">
        <f>F117&amp;"|"&amp;T117</f>
        <v/>
      </c>
    </row>
    <row r="118" ht="15" customHeight="1" s="107">
      <c r="A118" s="133" t="inlineStr">
        <is>
          <t>D00005</t>
        </is>
      </c>
      <c r="B118" s="133" t="inlineStr">
        <is>
          <t>R001</t>
        </is>
      </c>
      <c r="C118" s="146">
        <f>IFERROR(INDEX('Sales Roster &amp; Quotas'!$C$6:$C$20,MATCH($B118,'Sales Roster &amp; Quotas'!$B$6:$B$20,0)),"")</f>
        <v/>
      </c>
      <c r="D118" s="146">
        <f>IFERROR(INDEX('Sales Roster &amp; Quotas'!$D$6:$D$20,MATCH($B118,'Sales Roster &amp; Quotas'!$B$6:$B$20,0)),"")</f>
        <v/>
      </c>
      <c r="E118" s="134" t="n">
        <v>46094</v>
      </c>
      <c r="F118" s="147">
        <f>TEXT(E118,"yyyy-mm")</f>
        <v/>
      </c>
      <c r="G118" s="147">
        <f>IF(MONTH(E118)&lt;=3,"Q1","Q2")</f>
        <v/>
      </c>
      <c r="H118" s="133" t="inlineStr">
        <is>
          <t>New Business</t>
        </is>
      </c>
      <c r="I118" s="133" t="inlineStr">
        <is>
          <t>Ironwood Risk Advisors</t>
        </is>
      </c>
      <c r="J118" s="133" t="inlineStr">
        <is>
          <t>Policy Admin Core</t>
        </is>
      </c>
      <c r="K118" s="135" t="n">
        <v>3000</v>
      </c>
      <c r="L118" s="148">
        <f>IFERROR(INDEX('Sales Roster &amp; Quotas'!$G$6:$G$20,MATCH($B118,'Sales Roster &amp; Quotas'!$B$6:$B$20,0)),0)</f>
        <v/>
      </c>
      <c r="M118" s="149">
        <f>SUMIFS($K$5:$K$274,$B$5:$B$274,$B118,$G$5:$G$274,$G118,$H$5:$H$274,"New Business")</f>
        <v/>
      </c>
      <c r="N118" s="150">
        <f>IFERROR(M118/L118,0)</f>
        <v/>
      </c>
      <c r="O118" s="149">
        <f>MIN(M118,L118)</f>
        <v/>
      </c>
      <c r="P118" s="149">
        <f>MAX(MIN(M118,L118*1.25)-L118,0)</f>
        <v/>
      </c>
      <c r="Q118" s="149">
        <f>MAX(M118-L118*1.25,0)</f>
        <v/>
      </c>
      <c r="R118" s="148">
        <f>O118*'Commission Plan Rules'!$F$6+P118*'Commission Plan Rules'!$F$7+Q118*'Commission Plan Rules'!$F$8</f>
        <v/>
      </c>
      <c r="S118" s="151">
        <f>IF(H118="New Business",IFERROR((K118/M118)*R118,0),IF(H118="Upsell",K118*'Commission Plan Rules'!$F$9,IF(H118="Renewal",K118*'Commission Plan Rules'!$F$10,0)))</f>
        <v/>
      </c>
      <c r="T118" s="141">
        <f>COUNTIFS($F$5:$F$274,F118,$K$5:$K$274,"&gt;"&amp;K118)+1</f>
        <v/>
      </c>
      <c r="U118" s="141">
        <f>F118&amp;"|"&amp;T118</f>
        <v/>
      </c>
    </row>
    <row r="119" ht="15" customHeight="1" s="107">
      <c r="A119" s="130" t="inlineStr">
        <is>
          <t>D00068</t>
        </is>
      </c>
      <c r="B119" s="130" t="inlineStr">
        <is>
          <t>R004</t>
        </is>
      </c>
      <c r="C119" s="140">
        <f>IFERROR(INDEX('Sales Roster &amp; Quotas'!$C$6:$C$20,MATCH($B119,'Sales Roster &amp; Quotas'!$B$6:$B$20,0)),"")</f>
        <v/>
      </c>
      <c r="D119" s="140">
        <f>IFERROR(INDEX('Sales Roster &amp; Quotas'!$D$6:$D$20,MATCH($B119,'Sales Roster &amp; Quotas'!$B$6:$B$20,0)),"")</f>
        <v/>
      </c>
      <c r="E119" s="131" t="n">
        <v>46094</v>
      </c>
      <c r="F119" s="141">
        <f>TEXT(E119,"yyyy-mm")</f>
        <v/>
      </c>
      <c r="G119" s="141">
        <f>IF(MONTH(E119)&lt;=3,"Q1","Q2")</f>
        <v/>
      </c>
      <c r="H119" s="130" t="inlineStr">
        <is>
          <t>New Business</t>
        </is>
      </c>
      <c r="I119" s="130" t="inlineStr">
        <is>
          <t>Redwood Underwriters</t>
        </is>
      </c>
      <c r="J119" s="130" t="inlineStr">
        <is>
          <t>Claims Module</t>
        </is>
      </c>
      <c r="K119" s="132" t="n">
        <v>17000</v>
      </c>
      <c r="L119" s="142">
        <f>IFERROR(INDEX('Sales Roster &amp; Quotas'!$G$6:$G$20,MATCH($B119,'Sales Roster &amp; Quotas'!$B$6:$B$20,0)),0)</f>
        <v/>
      </c>
      <c r="M119" s="143">
        <f>SUMIFS($K$5:$K$274,$B$5:$B$274,$B119,$G$5:$G$274,$G119,$H$5:$H$274,"New Business")</f>
        <v/>
      </c>
      <c r="N119" s="144">
        <f>IFERROR(M119/L119,0)</f>
        <v/>
      </c>
      <c r="O119" s="143">
        <f>MIN(M119,L119)</f>
        <v/>
      </c>
      <c r="P119" s="143">
        <f>MAX(MIN(M119,L119*1.25)-L119,0)</f>
        <v/>
      </c>
      <c r="Q119" s="143">
        <f>MAX(M119-L119*1.25,0)</f>
        <v/>
      </c>
      <c r="R119" s="142">
        <f>O119*'Commission Plan Rules'!$F$6+P119*'Commission Plan Rules'!$F$7+Q119*'Commission Plan Rules'!$F$8</f>
        <v/>
      </c>
      <c r="S119" s="145">
        <f>IF(H119="New Business",IFERROR((K119/M119)*R119,0),IF(H119="Upsell",K119*'Commission Plan Rules'!$F$9,IF(H119="Renewal",K119*'Commission Plan Rules'!$F$10,0)))</f>
        <v/>
      </c>
      <c r="T119" s="141">
        <f>COUNTIFS($F$5:$F$274,F119,$K$5:$K$274,"&gt;"&amp;K119)+1</f>
        <v/>
      </c>
      <c r="U119" s="141">
        <f>F119&amp;"|"&amp;T119</f>
        <v/>
      </c>
    </row>
    <row r="120" ht="15" customHeight="1" s="107">
      <c r="A120" s="133" t="inlineStr">
        <is>
          <t>D00026</t>
        </is>
      </c>
      <c r="B120" s="133" t="inlineStr">
        <is>
          <t>R002</t>
        </is>
      </c>
      <c r="C120" s="146">
        <f>IFERROR(INDEX('Sales Roster &amp; Quotas'!$C$6:$C$20,MATCH($B120,'Sales Roster &amp; Quotas'!$B$6:$B$20,0)),"")</f>
        <v/>
      </c>
      <c r="D120" s="146">
        <f>IFERROR(INDEX('Sales Roster &amp; Quotas'!$D$6:$D$20,MATCH($B120,'Sales Roster &amp; Quotas'!$B$6:$B$20,0)),"")</f>
        <v/>
      </c>
      <c r="E120" s="134" t="n">
        <v>46094</v>
      </c>
      <c r="F120" s="147">
        <f>TEXT(E120,"yyyy-mm")</f>
        <v/>
      </c>
      <c r="G120" s="147">
        <f>IF(MONTH(E120)&lt;=3,"Q1","Q2")</f>
        <v/>
      </c>
      <c r="H120" s="133" t="inlineStr">
        <is>
          <t>New Business</t>
        </is>
      </c>
      <c r="I120" s="133" t="inlineStr">
        <is>
          <t>Fieldstone Insurance Solutions</t>
        </is>
      </c>
      <c r="J120" s="133" t="inlineStr">
        <is>
          <t>Claims Module</t>
        </is>
      </c>
      <c r="K120" s="135" t="n">
        <v>43500</v>
      </c>
      <c r="L120" s="148">
        <f>IFERROR(INDEX('Sales Roster &amp; Quotas'!$G$6:$G$20,MATCH($B120,'Sales Roster &amp; Quotas'!$B$6:$B$20,0)),0)</f>
        <v/>
      </c>
      <c r="M120" s="149">
        <f>SUMIFS($K$5:$K$274,$B$5:$B$274,$B120,$G$5:$G$274,$G120,$H$5:$H$274,"New Business")</f>
        <v/>
      </c>
      <c r="N120" s="150">
        <f>IFERROR(M120/L120,0)</f>
        <v/>
      </c>
      <c r="O120" s="149">
        <f>MIN(M120,L120)</f>
        <v/>
      </c>
      <c r="P120" s="149">
        <f>MAX(MIN(M120,L120*1.25)-L120,0)</f>
        <v/>
      </c>
      <c r="Q120" s="149">
        <f>MAX(M120-L120*1.25,0)</f>
        <v/>
      </c>
      <c r="R120" s="148">
        <f>O120*'Commission Plan Rules'!$F$6+P120*'Commission Plan Rules'!$F$7+Q120*'Commission Plan Rules'!$F$8</f>
        <v/>
      </c>
      <c r="S120" s="151">
        <f>IF(H120="New Business",IFERROR((K120/M120)*R120,0),IF(H120="Upsell",K120*'Commission Plan Rules'!$F$9,IF(H120="Renewal",K120*'Commission Plan Rules'!$F$10,0)))</f>
        <v/>
      </c>
      <c r="T120" s="141">
        <f>COUNTIFS($F$5:$F$274,F120,$K$5:$K$274,"&gt;"&amp;K120)+1</f>
        <v/>
      </c>
      <c r="U120" s="141">
        <f>F120&amp;"|"&amp;T120</f>
        <v/>
      </c>
    </row>
    <row r="121" ht="15" customHeight="1" s="107">
      <c r="A121" s="130" t="inlineStr">
        <is>
          <t>D00195</t>
        </is>
      </c>
      <c r="B121" s="130" t="inlineStr">
        <is>
          <t>R011</t>
        </is>
      </c>
      <c r="C121" s="140">
        <f>IFERROR(INDEX('Sales Roster &amp; Quotas'!$C$6:$C$20,MATCH($B121,'Sales Roster &amp; Quotas'!$B$6:$B$20,0)),"")</f>
        <v/>
      </c>
      <c r="D121" s="140">
        <f>IFERROR(INDEX('Sales Roster &amp; Quotas'!$D$6:$D$20,MATCH($B121,'Sales Roster &amp; Quotas'!$B$6:$B$20,0)),"")</f>
        <v/>
      </c>
      <c r="E121" s="131" t="n">
        <v>46095</v>
      </c>
      <c r="F121" s="141">
        <f>TEXT(E121,"yyyy-mm")</f>
        <v/>
      </c>
      <c r="G121" s="141">
        <f>IF(MONTH(E121)&lt;=3,"Q1","Q2")</f>
        <v/>
      </c>
      <c r="H121" s="130" t="inlineStr">
        <is>
          <t>New Business</t>
        </is>
      </c>
      <c r="I121" s="130" t="inlineStr">
        <is>
          <t>Cedarline Coverage Partners</t>
        </is>
      </c>
      <c r="J121" s="130" t="inlineStr">
        <is>
          <t>Policy Admin Core</t>
        </is>
      </c>
      <c r="K121" s="132" t="n">
        <v>33000</v>
      </c>
      <c r="L121" s="142">
        <f>IFERROR(INDEX('Sales Roster &amp; Quotas'!$G$6:$G$20,MATCH($B121,'Sales Roster &amp; Quotas'!$B$6:$B$20,0)),0)</f>
        <v/>
      </c>
      <c r="M121" s="143">
        <f>SUMIFS($K$5:$K$274,$B$5:$B$274,$B121,$G$5:$G$274,$G121,$H$5:$H$274,"New Business")</f>
        <v/>
      </c>
      <c r="N121" s="144">
        <f>IFERROR(M121/L121,0)</f>
        <v/>
      </c>
      <c r="O121" s="143">
        <f>MIN(M121,L121)</f>
        <v/>
      </c>
      <c r="P121" s="143">
        <f>MAX(MIN(M121,L121*1.25)-L121,0)</f>
        <v/>
      </c>
      <c r="Q121" s="143">
        <f>MAX(M121-L121*1.25,0)</f>
        <v/>
      </c>
      <c r="R121" s="142">
        <f>O121*'Commission Plan Rules'!$F$6+P121*'Commission Plan Rules'!$F$7+Q121*'Commission Plan Rules'!$F$8</f>
        <v/>
      </c>
      <c r="S121" s="145">
        <f>IF(H121="New Business",IFERROR((K121/M121)*R121,0),IF(H121="Upsell",K121*'Commission Plan Rules'!$F$9,IF(H121="Renewal",K121*'Commission Plan Rules'!$F$10,0)))</f>
        <v/>
      </c>
      <c r="T121" s="141">
        <f>COUNTIFS($F$5:$F$274,F121,$K$5:$K$274,"&gt;"&amp;K121)+1</f>
        <v/>
      </c>
      <c r="U121" s="141">
        <f>F121&amp;"|"&amp;T121</f>
        <v/>
      </c>
    </row>
    <row r="122" ht="15" customHeight="1" s="107">
      <c r="A122" s="133" t="inlineStr">
        <is>
          <t>D00166</t>
        </is>
      </c>
      <c r="B122" s="133" t="inlineStr">
        <is>
          <t>R009</t>
        </is>
      </c>
      <c r="C122" s="146">
        <f>IFERROR(INDEX('Sales Roster &amp; Quotas'!$C$6:$C$20,MATCH($B122,'Sales Roster &amp; Quotas'!$B$6:$B$20,0)),"")</f>
        <v/>
      </c>
      <c r="D122" s="146">
        <f>IFERROR(INDEX('Sales Roster &amp; Quotas'!$D$6:$D$20,MATCH($B122,'Sales Roster &amp; Quotas'!$B$6:$B$20,0)),"")</f>
        <v/>
      </c>
      <c r="E122" s="134" t="n">
        <v>46095</v>
      </c>
      <c r="F122" s="147">
        <f>TEXT(E122,"yyyy-mm")</f>
        <v/>
      </c>
      <c r="G122" s="147">
        <f>IF(MONTH(E122)&lt;=3,"Q1","Q2")</f>
        <v/>
      </c>
      <c r="H122" s="133" t="inlineStr">
        <is>
          <t>Renewal</t>
        </is>
      </c>
      <c r="I122" s="133" t="inlineStr">
        <is>
          <t>Harborview Insurance Solutions</t>
        </is>
      </c>
      <c r="J122" s="133" t="inlineStr">
        <is>
          <t>Claims Module</t>
        </is>
      </c>
      <c r="K122" s="135" t="n">
        <v>33500</v>
      </c>
      <c r="L122" s="148">
        <f>IFERROR(INDEX('Sales Roster &amp; Quotas'!$G$6:$G$20,MATCH($B122,'Sales Roster &amp; Quotas'!$B$6:$B$20,0)),0)</f>
        <v/>
      </c>
      <c r="M122" s="149">
        <f>SUMIFS($K$5:$K$274,$B$5:$B$274,$B122,$G$5:$G$274,$G122,$H$5:$H$274,"New Business")</f>
        <v/>
      </c>
      <c r="N122" s="150">
        <f>IFERROR(M122/L122,0)</f>
        <v/>
      </c>
      <c r="O122" s="149">
        <f>MIN(M122,L122)</f>
        <v/>
      </c>
      <c r="P122" s="149">
        <f>MAX(MIN(M122,L122*1.25)-L122,0)</f>
        <v/>
      </c>
      <c r="Q122" s="149">
        <f>MAX(M122-L122*1.25,0)</f>
        <v/>
      </c>
      <c r="R122" s="148">
        <f>O122*'Commission Plan Rules'!$F$6+P122*'Commission Plan Rules'!$F$7+Q122*'Commission Plan Rules'!$F$8</f>
        <v/>
      </c>
      <c r="S122" s="151">
        <f>IF(H122="New Business",IFERROR((K122/M122)*R122,0),IF(H122="Upsell",K122*'Commission Plan Rules'!$F$9,IF(H122="Renewal",K122*'Commission Plan Rules'!$F$10,0)))</f>
        <v/>
      </c>
      <c r="T122" s="141">
        <f>COUNTIFS($F$5:$F$274,F122,$K$5:$K$274,"&gt;"&amp;K122)+1</f>
        <v/>
      </c>
      <c r="U122" s="141">
        <f>F122&amp;"|"&amp;T122</f>
        <v/>
      </c>
    </row>
    <row r="123" ht="15" customHeight="1" s="107">
      <c r="A123" s="130" t="inlineStr">
        <is>
          <t>D00113</t>
        </is>
      </c>
      <c r="B123" s="130" t="inlineStr">
        <is>
          <t>R006</t>
        </is>
      </c>
      <c r="C123" s="140">
        <f>IFERROR(INDEX('Sales Roster &amp; Quotas'!$C$6:$C$20,MATCH($B123,'Sales Roster &amp; Quotas'!$B$6:$B$20,0)),"")</f>
        <v/>
      </c>
      <c r="D123" s="140">
        <f>IFERROR(INDEX('Sales Roster &amp; Quotas'!$D$6:$D$20,MATCH($B123,'Sales Roster &amp; Quotas'!$B$6:$B$20,0)),"")</f>
        <v/>
      </c>
      <c r="E123" s="131" t="n">
        <v>46096</v>
      </c>
      <c r="F123" s="141">
        <f>TEXT(E123,"yyyy-mm")</f>
        <v/>
      </c>
      <c r="G123" s="141">
        <f>IF(MONTH(E123)&lt;=3,"Q1","Q2")</f>
        <v/>
      </c>
      <c r="H123" s="130" t="inlineStr">
        <is>
          <t>Renewal</t>
        </is>
      </c>
      <c r="I123" s="130" t="inlineStr">
        <is>
          <t>Millbrook Mutual Agency</t>
        </is>
      </c>
      <c r="J123" s="130" t="inlineStr">
        <is>
          <t>Claims Module</t>
        </is>
      </c>
      <c r="K123" s="132" t="n">
        <v>47000</v>
      </c>
      <c r="L123" s="142">
        <f>IFERROR(INDEX('Sales Roster &amp; Quotas'!$G$6:$G$20,MATCH($B123,'Sales Roster &amp; Quotas'!$B$6:$B$20,0)),0)</f>
        <v/>
      </c>
      <c r="M123" s="143">
        <f>SUMIFS($K$5:$K$274,$B$5:$B$274,$B123,$G$5:$G$274,$G123,$H$5:$H$274,"New Business")</f>
        <v/>
      </c>
      <c r="N123" s="144">
        <f>IFERROR(M123/L123,0)</f>
        <v/>
      </c>
      <c r="O123" s="143">
        <f>MIN(M123,L123)</f>
        <v/>
      </c>
      <c r="P123" s="143">
        <f>MAX(MIN(M123,L123*1.25)-L123,0)</f>
        <v/>
      </c>
      <c r="Q123" s="143">
        <f>MAX(M123-L123*1.25,0)</f>
        <v/>
      </c>
      <c r="R123" s="142">
        <f>O123*'Commission Plan Rules'!$F$6+P123*'Commission Plan Rules'!$F$7+Q123*'Commission Plan Rules'!$F$8</f>
        <v/>
      </c>
      <c r="S123" s="145">
        <f>IF(H123="New Business",IFERROR((K123/M123)*R123,0),IF(H123="Upsell",K123*'Commission Plan Rules'!$F$9,IF(H123="Renewal",K123*'Commission Plan Rules'!$F$10,0)))</f>
        <v/>
      </c>
      <c r="T123" s="141">
        <f>COUNTIFS($F$5:$F$274,F123,$K$5:$K$274,"&gt;"&amp;K123)+1</f>
        <v/>
      </c>
      <c r="U123" s="141">
        <f>F123&amp;"|"&amp;T123</f>
        <v/>
      </c>
    </row>
    <row r="124" ht="15" customHeight="1" s="107">
      <c r="A124" s="133" t="inlineStr">
        <is>
          <t>D00245</t>
        </is>
      </c>
      <c r="B124" s="133" t="inlineStr">
        <is>
          <t>R014</t>
        </is>
      </c>
      <c r="C124" s="146">
        <f>IFERROR(INDEX('Sales Roster &amp; Quotas'!$C$6:$C$20,MATCH($B124,'Sales Roster &amp; Quotas'!$B$6:$B$20,0)),"")</f>
        <v/>
      </c>
      <c r="D124" s="146">
        <f>IFERROR(INDEX('Sales Roster &amp; Quotas'!$D$6:$D$20,MATCH($B124,'Sales Roster &amp; Quotas'!$B$6:$B$20,0)),"")</f>
        <v/>
      </c>
      <c r="E124" s="134" t="n">
        <v>46097</v>
      </c>
      <c r="F124" s="147">
        <f>TEXT(E124,"yyyy-mm")</f>
        <v/>
      </c>
      <c r="G124" s="147">
        <f>IF(MONTH(E124)&lt;=3,"Q1","Q2")</f>
        <v/>
      </c>
      <c r="H124" s="133" t="inlineStr">
        <is>
          <t>New Business</t>
        </is>
      </c>
      <c r="I124" s="133" t="inlineStr">
        <is>
          <t>Northgate Underwriters</t>
        </is>
      </c>
      <c r="J124" s="133" t="inlineStr">
        <is>
          <t>Policy Admin Core</t>
        </is>
      </c>
      <c r="K124" s="135" t="n">
        <v>404000</v>
      </c>
      <c r="L124" s="148">
        <f>IFERROR(INDEX('Sales Roster &amp; Quotas'!$G$6:$G$20,MATCH($B124,'Sales Roster &amp; Quotas'!$B$6:$B$20,0)),0)</f>
        <v/>
      </c>
      <c r="M124" s="149">
        <f>SUMIFS($K$5:$K$274,$B$5:$B$274,$B124,$G$5:$G$274,$G124,$H$5:$H$274,"New Business")</f>
        <v/>
      </c>
      <c r="N124" s="150">
        <f>IFERROR(M124/L124,0)</f>
        <v/>
      </c>
      <c r="O124" s="149">
        <f>MIN(M124,L124)</f>
        <v/>
      </c>
      <c r="P124" s="149">
        <f>MAX(MIN(M124,L124*1.25)-L124,0)</f>
        <v/>
      </c>
      <c r="Q124" s="149">
        <f>MAX(M124-L124*1.25,0)</f>
        <v/>
      </c>
      <c r="R124" s="148">
        <f>O124*'Commission Plan Rules'!$F$6+P124*'Commission Plan Rules'!$F$7+Q124*'Commission Plan Rules'!$F$8</f>
        <v/>
      </c>
      <c r="S124" s="151">
        <f>IF(H124="New Business",IFERROR((K124/M124)*R124,0),IF(H124="Upsell",K124*'Commission Plan Rules'!$F$9,IF(H124="Renewal",K124*'Commission Plan Rules'!$F$10,0)))</f>
        <v/>
      </c>
      <c r="T124" s="141">
        <f>COUNTIFS($F$5:$F$274,F124,$K$5:$K$274,"&gt;"&amp;K124)+1</f>
        <v/>
      </c>
      <c r="U124" s="141">
        <f>F124&amp;"|"&amp;T124</f>
        <v/>
      </c>
    </row>
    <row r="125" ht="15" customHeight="1" s="107">
      <c r="A125" s="130" t="inlineStr">
        <is>
          <t>D00042</t>
        </is>
      </c>
      <c r="B125" s="130" t="inlineStr">
        <is>
          <t>R003</t>
        </is>
      </c>
      <c r="C125" s="140">
        <f>IFERROR(INDEX('Sales Roster &amp; Quotas'!$C$6:$C$20,MATCH($B125,'Sales Roster &amp; Quotas'!$B$6:$B$20,0)),"")</f>
        <v/>
      </c>
      <c r="D125" s="140">
        <f>IFERROR(INDEX('Sales Roster &amp; Quotas'!$D$6:$D$20,MATCH($B125,'Sales Roster &amp; Quotas'!$B$6:$B$20,0)),"")</f>
        <v/>
      </c>
      <c r="E125" s="131" t="n">
        <v>46098</v>
      </c>
      <c r="F125" s="141">
        <f>TEXT(E125,"yyyy-mm")</f>
        <v/>
      </c>
      <c r="G125" s="141">
        <f>IF(MONTH(E125)&lt;=3,"Q1","Q2")</f>
        <v/>
      </c>
      <c r="H125" s="130" t="inlineStr">
        <is>
          <t>New Business</t>
        </is>
      </c>
      <c r="I125" s="130" t="inlineStr">
        <is>
          <t>Granite Risk Advisors</t>
        </is>
      </c>
      <c r="J125" s="130" t="inlineStr">
        <is>
          <t>Policy Admin Core</t>
        </is>
      </c>
      <c r="K125" s="132" t="n">
        <v>3000</v>
      </c>
      <c r="L125" s="142">
        <f>IFERROR(INDEX('Sales Roster &amp; Quotas'!$G$6:$G$20,MATCH($B125,'Sales Roster &amp; Quotas'!$B$6:$B$20,0)),0)</f>
        <v/>
      </c>
      <c r="M125" s="143">
        <f>SUMIFS($K$5:$K$274,$B$5:$B$274,$B125,$G$5:$G$274,$G125,$H$5:$H$274,"New Business")</f>
        <v/>
      </c>
      <c r="N125" s="144">
        <f>IFERROR(M125/L125,0)</f>
        <v/>
      </c>
      <c r="O125" s="143">
        <f>MIN(M125,L125)</f>
        <v/>
      </c>
      <c r="P125" s="143">
        <f>MAX(MIN(M125,L125*1.25)-L125,0)</f>
        <v/>
      </c>
      <c r="Q125" s="143">
        <f>MAX(M125-L125*1.25,0)</f>
        <v/>
      </c>
      <c r="R125" s="142">
        <f>O125*'Commission Plan Rules'!$F$6+P125*'Commission Plan Rules'!$F$7+Q125*'Commission Plan Rules'!$F$8</f>
        <v/>
      </c>
      <c r="S125" s="145">
        <f>IF(H125="New Business",IFERROR((K125/M125)*R125,0),IF(H125="Upsell",K125*'Commission Plan Rules'!$F$9,IF(H125="Renewal",K125*'Commission Plan Rules'!$F$10,0)))</f>
        <v/>
      </c>
      <c r="T125" s="141">
        <f>COUNTIFS($F$5:$F$274,F125,$K$5:$K$274,"&gt;"&amp;K125)+1</f>
        <v/>
      </c>
      <c r="U125" s="141">
        <f>F125&amp;"|"&amp;T125</f>
        <v/>
      </c>
    </row>
    <row r="126" ht="15" customHeight="1" s="107">
      <c r="A126" s="133" t="inlineStr">
        <is>
          <t>D00049</t>
        </is>
      </c>
      <c r="B126" s="133" t="inlineStr">
        <is>
          <t>R003</t>
        </is>
      </c>
      <c r="C126" s="146">
        <f>IFERROR(INDEX('Sales Roster &amp; Quotas'!$C$6:$C$20,MATCH($B126,'Sales Roster &amp; Quotas'!$B$6:$B$20,0)),"")</f>
        <v/>
      </c>
      <c r="D126" s="146">
        <f>IFERROR(INDEX('Sales Roster &amp; Quotas'!$D$6:$D$20,MATCH($B126,'Sales Roster &amp; Quotas'!$B$6:$B$20,0)),"")</f>
        <v/>
      </c>
      <c r="E126" s="134" t="n">
        <v>46098</v>
      </c>
      <c r="F126" s="147">
        <f>TEXT(E126,"yyyy-mm")</f>
        <v/>
      </c>
      <c r="G126" s="147">
        <f>IF(MONTH(E126)&lt;=3,"Q1","Q2")</f>
        <v/>
      </c>
      <c r="H126" s="133" t="inlineStr">
        <is>
          <t>Renewal</t>
        </is>
      </c>
      <c r="I126" s="133" t="inlineStr">
        <is>
          <t>Ashford Insurance Brokers</t>
        </is>
      </c>
      <c r="J126" s="133" t="inlineStr">
        <is>
          <t>Policy Admin Core</t>
        </is>
      </c>
      <c r="K126" s="135" t="n">
        <v>19000</v>
      </c>
      <c r="L126" s="148">
        <f>IFERROR(INDEX('Sales Roster &amp; Quotas'!$G$6:$G$20,MATCH($B126,'Sales Roster &amp; Quotas'!$B$6:$B$20,0)),0)</f>
        <v/>
      </c>
      <c r="M126" s="149">
        <f>SUMIFS($K$5:$K$274,$B$5:$B$274,$B126,$G$5:$G$274,$G126,$H$5:$H$274,"New Business")</f>
        <v/>
      </c>
      <c r="N126" s="150">
        <f>IFERROR(M126/L126,0)</f>
        <v/>
      </c>
      <c r="O126" s="149">
        <f>MIN(M126,L126)</f>
        <v/>
      </c>
      <c r="P126" s="149">
        <f>MAX(MIN(M126,L126*1.25)-L126,0)</f>
        <v/>
      </c>
      <c r="Q126" s="149">
        <f>MAX(M126-L126*1.25,0)</f>
        <v/>
      </c>
      <c r="R126" s="148">
        <f>O126*'Commission Plan Rules'!$F$6+P126*'Commission Plan Rules'!$F$7+Q126*'Commission Plan Rules'!$F$8</f>
        <v/>
      </c>
      <c r="S126" s="151">
        <f>IF(H126="New Business",IFERROR((K126/M126)*R126,0),IF(H126="Upsell",K126*'Commission Plan Rules'!$F$9,IF(H126="Renewal",K126*'Commission Plan Rules'!$F$10,0)))</f>
        <v/>
      </c>
      <c r="T126" s="141">
        <f>COUNTIFS($F$5:$F$274,F126,$K$5:$K$274,"&gt;"&amp;K126)+1</f>
        <v/>
      </c>
      <c r="U126" s="141">
        <f>F126&amp;"|"&amp;T126</f>
        <v/>
      </c>
    </row>
    <row r="127" ht="15" customHeight="1" s="107">
      <c r="A127" s="130" t="inlineStr">
        <is>
          <t>D00258</t>
        </is>
      </c>
      <c r="B127" s="130" t="inlineStr">
        <is>
          <t>R015</t>
        </is>
      </c>
      <c r="C127" s="140">
        <f>IFERROR(INDEX('Sales Roster &amp; Quotas'!$C$6:$C$20,MATCH($B127,'Sales Roster &amp; Quotas'!$B$6:$B$20,0)),"")</f>
        <v/>
      </c>
      <c r="D127" s="140">
        <f>IFERROR(INDEX('Sales Roster &amp; Quotas'!$D$6:$D$20,MATCH($B127,'Sales Roster &amp; Quotas'!$B$6:$B$20,0)),"")</f>
        <v/>
      </c>
      <c r="E127" s="131" t="n">
        <v>46099</v>
      </c>
      <c r="F127" s="141">
        <f>TEXT(E127,"yyyy-mm")</f>
        <v/>
      </c>
      <c r="G127" s="141">
        <f>IF(MONTH(E127)&lt;=3,"Q1","Q2")</f>
        <v/>
      </c>
      <c r="H127" s="130" t="inlineStr">
        <is>
          <t>Upsell</t>
        </is>
      </c>
      <c r="I127" s="130" t="inlineStr">
        <is>
          <t>Prairie Underwriters</t>
        </is>
      </c>
      <c r="J127" s="130" t="inlineStr">
        <is>
          <t>Policy Admin Core</t>
        </is>
      </c>
      <c r="K127" s="132" t="n">
        <v>128000</v>
      </c>
      <c r="L127" s="142">
        <f>IFERROR(INDEX('Sales Roster &amp; Quotas'!$G$6:$G$20,MATCH($B127,'Sales Roster &amp; Quotas'!$B$6:$B$20,0)),0)</f>
        <v/>
      </c>
      <c r="M127" s="143">
        <f>SUMIFS($K$5:$K$274,$B$5:$B$274,$B127,$G$5:$G$274,$G127,$H$5:$H$274,"New Business")</f>
        <v/>
      </c>
      <c r="N127" s="144">
        <f>IFERROR(M127/L127,0)</f>
        <v/>
      </c>
      <c r="O127" s="143">
        <f>MIN(M127,L127)</f>
        <v/>
      </c>
      <c r="P127" s="143">
        <f>MAX(MIN(M127,L127*1.25)-L127,0)</f>
        <v/>
      </c>
      <c r="Q127" s="143">
        <f>MAX(M127-L127*1.25,0)</f>
        <v/>
      </c>
      <c r="R127" s="142">
        <f>O127*'Commission Plan Rules'!$F$6+P127*'Commission Plan Rules'!$F$7+Q127*'Commission Plan Rules'!$F$8</f>
        <v/>
      </c>
      <c r="S127" s="145">
        <f>IF(H127="New Business",IFERROR((K127/M127)*R127,0),IF(H127="Upsell",K127*'Commission Plan Rules'!$F$9,IF(H127="Renewal",K127*'Commission Plan Rules'!$F$10,0)))</f>
        <v/>
      </c>
      <c r="T127" s="141">
        <f>COUNTIFS($F$5:$F$274,F127,$K$5:$K$274,"&gt;"&amp;K127)+1</f>
        <v/>
      </c>
      <c r="U127" s="141">
        <f>F127&amp;"|"&amp;T127</f>
        <v/>
      </c>
    </row>
    <row r="128" ht="15" customHeight="1" s="107">
      <c r="A128" s="133" t="inlineStr">
        <is>
          <t>D00262</t>
        </is>
      </c>
      <c r="B128" s="133" t="inlineStr">
        <is>
          <t>R015</t>
        </is>
      </c>
      <c r="C128" s="146">
        <f>IFERROR(INDEX('Sales Roster &amp; Quotas'!$C$6:$C$20,MATCH($B128,'Sales Roster &amp; Quotas'!$B$6:$B$20,0)),"")</f>
        <v/>
      </c>
      <c r="D128" s="146">
        <f>IFERROR(INDEX('Sales Roster &amp; Quotas'!$D$6:$D$20,MATCH($B128,'Sales Roster &amp; Quotas'!$B$6:$B$20,0)),"")</f>
        <v/>
      </c>
      <c r="E128" s="134" t="n">
        <v>46099</v>
      </c>
      <c r="F128" s="147">
        <f>TEXT(E128,"yyyy-mm")</f>
        <v/>
      </c>
      <c r="G128" s="147">
        <f>IF(MONTH(E128)&lt;=3,"Q1","Q2")</f>
        <v/>
      </c>
      <c r="H128" s="133" t="inlineStr">
        <is>
          <t>Renewal</t>
        </is>
      </c>
      <c r="I128" s="133" t="inlineStr">
        <is>
          <t>Vantage Coverage Partners</t>
        </is>
      </c>
      <c r="J128" s="133" t="inlineStr">
        <is>
          <t>Policy Admin Core</t>
        </is>
      </c>
      <c r="K128" s="135" t="n">
        <v>24000</v>
      </c>
      <c r="L128" s="148">
        <f>IFERROR(INDEX('Sales Roster &amp; Quotas'!$G$6:$G$20,MATCH($B128,'Sales Roster &amp; Quotas'!$B$6:$B$20,0)),0)</f>
        <v/>
      </c>
      <c r="M128" s="149">
        <f>SUMIFS($K$5:$K$274,$B$5:$B$274,$B128,$G$5:$G$274,$G128,$H$5:$H$274,"New Business")</f>
        <v/>
      </c>
      <c r="N128" s="150">
        <f>IFERROR(M128/L128,0)</f>
        <v/>
      </c>
      <c r="O128" s="149">
        <f>MIN(M128,L128)</f>
        <v/>
      </c>
      <c r="P128" s="149">
        <f>MAX(MIN(M128,L128*1.25)-L128,0)</f>
        <v/>
      </c>
      <c r="Q128" s="149">
        <f>MAX(M128-L128*1.25,0)</f>
        <v/>
      </c>
      <c r="R128" s="148">
        <f>O128*'Commission Plan Rules'!$F$6+P128*'Commission Plan Rules'!$F$7+Q128*'Commission Plan Rules'!$F$8</f>
        <v/>
      </c>
      <c r="S128" s="151">
        <f>IF(H128="New Business",IFERROR((K128/M128)*R128,0),IF(H128="Upsell",K128*'Commission Plan Rules'!$F$9,IF(H128="Renewal",K128*'Commission Plan Rules'!$F$10,0)))</f>
        <v/>
      </c>
      <c r="T128" s="141">
        <f>COUNTIFS($F$5:$F$274,F128,$K$5:$K$274,"&gt;"&amp;K128)+1</f>
        <v/>
      </c>
      <c r="U128" s="141">
        <f>F128&amp;"|"&amp;T128</f>
        <v/>
      </c>
    </row>
    <row r="129" ht="15" customHeight="1" s="107">
      <c r="A129" s="130" t="inlineStr">
        <is>
          <t>D00260</t>
        </is>
      </c>
      <c r="B129" s="130" t="inlineStr">
        <is>
          <t>R015</t>
        </is>
      </c>
      <c r="C129" s="140">
        <f>IFERROR(INDEX('Sales Roster &amp; Quotas'!$C$6:$C$20,MATCH($B129,'Sales Roster &amp; Quotas'!$B$6:$B$20,0)),"")</f>
        <v/>
      </c>
      <c r="D129" s="140">
        <f>IFERROR(INDEX('Sales Roster &amp; Quotas'!$D$6:$D$20,MATCH($B129,'Sales Roster &amp; Quotas'!$B$6:$B$20,0)),"")</f>
        <v/>
      </c>
      <c r="E129" s="131" t="n">
        <v>46099</v>
      </c>
      <c r="F129" s="141">
        <f>TEXT(E129,"yyyy-mm")</f>
        <v/>
      </c>
      <c r="G129" s="141">
        <f>IF(MONTH(E129)&lt;=3,"Q1","Q2")</f>
        <v/>
      </c>
      <c r="H129" s="130" t="inlineStr">
        <is>
          <t>Upsell</t>
        </is>
      </c>
      <c r="I129" s="130" t="inlineStr">
        <is>
          <t>Overlook Underwriters</t>
        </is>
      </c>
      <c r="J129" s="130" t="inlineStr">
        <is>
          <t>Claims Module</t>
        </is>
      </c>
      <c r="K129" s="132" t="n">
        <v>80500</v>
      </c>
      <c r="L129" s="142">
        <f>IFERROR(INDEX('Sales Roster &amp; Quotas'!$G$6:$G$20,MATCH($B129,'Sales Roster &amp; Quotas'!$B$6:$B$20,0)),0)</f>
        <v/>
      </c>
      <c r="M129" s="143">
        <f>SUMIFS($K$5:$K$274,$B$5:$B$274,$B129,$G$5:$G$274,$G129,$H$5:$H$274,"New Business")</f>
        <v/>
      </c>
      <c r="N129" s="144">
        <f>IFERROR(M129/L129,0)</f>
        <v/>
      </c>
      <c r="O129" s="143">
        <f>MIN(M129,L129)</f>
        <v/>
      </c>
      <c r="P129" s="143">
        <f>MAX(MIN(M129,L129*1.25)-L129,0)</f>
        <v/>
      </c>
      <c r="Q129" s="143">
        <f>MAX(M129-L129*1.25,0)</f>
        <v/>
      </c>
      <c r="R129" s="142">
        <f>O129*'Commission Plan Rules'!$F$6+P129*'Commission Plan Rules'!$F$7+Q129*'Commission Plan Rules'!$F$8</f>
        <v/>
      </c>
      <c r="S129" s="145">
        <f>IF(H129="New Business",IFERROR((K129/M129)*R129,0),IF(H129="Upsell",K129*'Commission Plan Rules'!$F$9,IF(H129="Renewal",K129*'Commission Plan Rules'!$F$10,0)))</f>
        <v/>
      </c>
      <c r="T129" s="141">
        <f>COUNTIFS($F$5:$F$274,F129,$K$5:$K$274,"&gt;"&amp;K129)+1</f>
        <v/>
      </c>
      <c r="U129" s="141">
        <f>F129&amp;"|"&amp;T129</f>
        <v/>
      </c>
    </row>
    <row r="130" ht="15" customHeight="1" s="107">
      <c r="A130" s="133" t="inlineStr">
        <is>
          <t>D00180</t>
        </is>
      </c>
      <c r="B130" s="133" t="inlineStr">
        <is>
          <t>R010</t>
        </is>
      </c>
      <c r="C130" s="146">
        <f>IFERROR(INDEX('Sales Roster &amp; Quotas'!$C$6:$C$20,MATCH($B130,'Sales Roster &amp; Quotas'!$B$6:$B$20,0)),"")</f>
        <v/>
      </c>
      <c r="D130" s="146">
        <f>IFERROR(INDEX('Sales Roster &amp; Quotas'!$D$6:$D$20,MATCH($B130,'Sales Roster &amp; Quotas'!$B$6:$B$20,0)),"")</f>
        <v/>
      </c>
      <c r="E130" s="134" t="n">
        <v>46100</v>
      </c>
      <c r="F130" s="147">
        <f>TEXT(E130,"yyyy-mm")</f>
        <v/>
      </c>
      <c r="G130" s="147">
        <f>IF(MONTH(E130)&lt;=3,"Q1","Q2")</f>
        <v/>
      </c>
      <c r="H130" s="133" t="inlineStr">
        <is>
          <t>New Business</t>
        </is>
      </c>
      <c r="I130" s="133" t="inlineStr">
        <is>
          <t>Ironwood Insurance Group</t>
        </is>
      </c>
      <c r="J130" s="133" t="inlineStr">
        <is>
          <t>Policy Admin Core</t>
        </is>
      </c>
      <c r="K130" s="135" t="n">
        <v>28000</v>
      </c>
      <c r="L130" s="148">
        <f>IFERROR(INDEX('Sales Roster &amp; Quotas'!$G$6:$G$20,MATCH($B130,'Sales Roster &amp; Quotas'!$B$6:$B$20,0)),0)</f>
        <v/>
      </c>
      <c r="M130" s="149">
        <f>SUMIFS($K$5:$K$274,$B$5:$B$274,$B130,$G$5:$G$274,$G130,$H$5:$H$274,"New Business")</f>
        <v/>
      </c>
      <c r="N130" s="150">
        <f>IFERROR(M130/L130,0)</f>
        <v/>
      </c>
      <c r="O130" s="149">
        <f>MIN(M130,L130)</f>
        <v/>
      </c>
      <c r="P130" s="149">
        <f>MAX(MIN(M130,L130*1.25)-L130,0)</f>
        <v/>
      </c>
      <c r="Q130" s="149">
        <f>MAX(M130-L130*1.25,0)</f>
        <v/>
      </c>
      <c r="R130" s="148">
        <f>O130*'Commission Plan Rules'!$F$6+P130*'Commission Plan Rules'!$F$7+Q130*'Commission Plan Rules'!$F$8</f>
        <v/>
      </c>
      <c r="S130" s="151">
        <f>IF(H130="New Business",IFERROR((K130/M130)*R130,0),IF(H130="Upsell",K130*'Commission Plan Rules'!$F$9,IF(H130="Renewal",K130*'Commission Plan Rules'!$F$10,0)))</f>
        <v/>
      </c>
      <c r="T130" s="141">
        <f>COUNTIFS($F$5:$F$274,F130,$K$5:$K$274,"&gt;"&amp;K130)+1</f>
        <v/>
      </c>
      <c r="U130" s="141">
        <f>F130&amp;"|"&amp;T130</f>
        <v/>
      </c>
    </row>
    <row r="131" ht="15" customHeight="1" s="107">
      <c r="A131" s="130" t="inlineStr">
        <is>
          <t>D00201</t>
        </is>
      </c>
      <c r="B131" s="130" t="inlineStr">
        <is>
          <t>R011</t>
        </is>
      </c>
      <c r="C131" s="140">
        <f>IFERROR(INDEX('Sales Roster &amp; Quotas'!$C$6:$C$20,MATCH($B131,'Sales Roster &amp; Quotas'!$B$6:$B$20,0)),"")</f>
        <v/>
      </c>
      <c r="D131" s="140">
        <f>IFERROR(INDEX('Sales Roster &amp; Quotas'!$D$6:$D$20,MATCH($B131,'Sales Roster &amp; Quotas'!$B$6:$B$20,0)),"")</f>
        <v/>
      </c>
      <c r="E131" s="131" t="n">
        <v>46100</v>
      </c>
      <c r="F131" s="141">
        <f>TEXT(E131,"yyyy-mm")</f>
        <v/>
      </c>
      <c r="G131" s="141">
        <f>IF(MONTH(E131)&lt;=3,"Q1","Q2")</f>
        <v/>
      </c>
      <c r="H131" s="130" t="inlineStr">
        <is>
          <t>Upsell</t>
        </is>
      </c>
      <c r="I131" s="130" t="inlineStr">
        <is>
          <t>Stonebridge Underwriters</t>
        </is>
      </c>
      <c r="J131" s="130" t="inlineStr">
        <is>
          <t>Policy Admin Core</t>
        </is>
      </c>
      <c r="K131" s="132" t="n">
        <v>10000</v>
      </c>
      <c r="L131" s="142">
        <f>IFERROR(INDEX('Sales Roster &amp; Quotas'!$G$6:$G$20,MATCH($B131,'Sales Roster &amp; Quotas'!$B$6:$B$20,0)),0)</f>
        <v/>
      </c>
      <c r="M131" s="143">
        <f>SUMIFS($K$5:$K$274,$B$5:$B$274,$B131,$G$5:$G$274,$G131,$H$5:$H$274,"New Business")</f>
        <v/>
      </c>
      <c r="N131" s="144">
        <f>IFERROR(M131/L131,0)</f>
        <v/>
      </c>
      <c r="O131" s="143">
        <f>MIN(M131,L131)</f>
        <v/>
      </c>
      <c r="P131" s="143">
        <f>MAX(MIN(M131,L131*1.25)-L131,0)</f>
        <v/>
      </c>
      <c r="Q131" s="143">
        <f>MAX(M131-L131*1.25,0)</f>
        <v/>
      </c>
      <c r="R131" s="142">
        <f>O131*'Commission Plan Rules'!$F$6+P131*'Commission Plan Rules'!$F$7+Q131*'Commission Plan Rules'!$F$8</f>
        <v/>
      </c>
      <c r="S131" s="145">
        <f>IF(H131="New Business",IFERROR((K131/M131)*R131,0),IF(H131="Upsell",K131*'Commission Plan Rules'!$F$9,IF(H131="Renewal",K131*'Commission Plan Rules'!$F$10,0)))</f>
        <v/>
      </c>
      <c r="T131" s="141">
        <f>COUNTIFS($F$5:$F$274,F131,$K$5:$K$274,"&gt;"&amp;K131)+1</f>
        <v/>
      </c>
      <c r="U131" s="141">
        <f>F131&amp;"|"&amp;T131</f>
        <v/>
      </c>
    </row>
    <row r="132" ht="15" customHeight="1" s="107">
      <c r="A132" s="133" t="inlineStr">
        <is>
          <t>D00162</t>
        </is>
      </c>
      <c r="B132" s="133" t="inlineStr">
        <is>
          <t>R009</t>
        </is>
      </c>
      <c r="C132" s="146">
        <f>IFERROR(INDEX('Sales Roster &amp; Quotas'!$C$6:$C$20,MATCH($B132,'Sales Roster &amp; Quotas'!$B$6:$B$20,0)),"")</f>
        <v/>
      </c>
      <c r="D132" s="146">
        <f>IFERROR(INDEX('Sales Roster &amp; Quotas'!$D$6:$D$20,MATCH($B132,'Sales Roster &amp; Quotas'!$B$6:$B$20,0)),"")</f>
        <v/>
      </c>
      <c r="E132" s="134" t="n">
        <v>46101</v>
      </c>
      <c r="F132" s="147">
        <f>TEXT(E132,"yyyy-mm")</f>
        <v/>
      </c>
      <c r="G132" s="147">
        <f>IF(MONTH(E132)&lt;=3,"Q1","Q2")</f>
        <v/>
      </c>
      <c r="H132" s="133" t="inlineStr">
        <is>
          <t>New Business</t>
        </is>
      </c>
      <c r="I132" s="133" t="inlineStr">
        <is>
          <t>Beacon Insurance Solutions</t>
        </is>
      </c>
      <c r="J132" s="133" t="inlineStr">
        <is>
          <t>Client Portal</t>
        </is>
      </c>
      <c r="K132" s="135" t="n">
        <v>117500</v>
      </c>
      <c r="L132" s="148">
        <f>IFERROR(INDEX('Sales Roster &amp; Quotas'!$G$6:$G$20,MATCH($B132,'Sales Roster &amp; Quotas'!$B$6:$B$20,0)),0)</f>
        <v/>
      </c>
      <c r="M132" s="149">
        <f>SUMIFS($K$5:$K$274,$B$5:$B$274,$B132,$G$5:$G$274,$G132,$H$5:$H$274,"New Business")</f>
        <v/>
      </c>
      <c r="N132" s="150">
        <f>IFERROR(M132/L132,0)</f>
        <v/>
      </c>
      <c r="O132" s="149">
        <f>MIN(M132,L132)</f>
        <v/>
      </c>
      <c r="P132" s="149">
        <f>MAX(MIN(M132,L132*1.25)-L132,0)</f>
        <v/>
      </c>
      <c r="Q132" s="149">
        <f>MAX(M132-L132*1.25,0)</f>
        <v/>
      </c>
      <c r="R132" s="148">
        <f>O132*'Commission Plan Rules'!$F$6+P132*'Commission Plan Rules'!$F$7+Q132*'Commission Plan Rules'!$F$8</f>
        <v/>
      </c>
      <c r="S132" s="151">
        <f>IF(H132="New Business",IFERROR((K132/M132)*R132,0),IF(H132="Upsell",K132*'Commission Plan Rules'!$F$9,IF(H132="Renewal",K132*'Commission Plan Rules'!$F$10,0)))</f>
        <v/>
      </c>
      <c r="T132" s="141">
        <f>COUNTIFS($F$5:$F$274,F132,$K$5:$K$274,"&gt;"&amp;K132)+1</f>
        <v/>
      </c>
      <c r="U132" s="141">
        <f>F132&amp;"|"&amp;T132</f>
        <v/>
      </c>
    </row>
    <row r="133" ht="15" customHeight="1" s="107">
      <c r="A133" s="130" t="inlineStr">
        <is>
          <t>D00010</t>
        </is>
      </c>
      <c r="B133" s="130" t="inlineStr">
        <is>
          <t>R001</t>
        </is>
      </c>
      <c r="C133" s="140">
        <f>IFERROR(INDEX('Sales Roster &amp; Quotas'!$C$6:$C$20,MATCH($B133,'Sales Roster &amp; Quotas'!$B$6:$B$20,0)),"")</f>
        <v/>
      </c>
      <c r="D133" s="140">
        <f>IFERROR(INDEX('Sales Roster &amp; Quotas'!$D$6:$D$20,MATCH($B133,'Sales Roster &amp; Quotas'!$B$6:$B$20,0)),"")</f>
        <v/>
      </c>
      <c r="E133" s="131" t="n">
        <v>46102</v>
      </c>
      <c r="F133" s="141">
        <f>TEXT(E133,"yyyy-mm")</f>
        <v/>
      </c>
      <c r="G133" s="141">
        <f>IF(MONTH(E133)&lt;=3,"Q1","Q2")</f>
        <v/>
      </c>
      <c r="H133" s="130" t="inlineStr">
        <is>
          <t>Renewal</t>
        </is>
      </c>
      <c r="I133" s="130" t="inlineStr">
        <is>
          <t>Pinnacle Risk Advisors</t>
        </is>
      </c>
      <c r="J133" s="130" t="inlineStr">
        <is>
          <t>Policy Admin Core</t>
        </is>
      </c>
      <c r="K133" s="132" t="n">
        <v>17000</v>
      </c>
      <c r="L133" s="142">
        <f>IFERROR(INDEX('Sales Roster &amp; Quotas'!$G$6:$G$20,MATCH($B133,'Sales Roster &amp; Quotas'!$B$6:$B$20,0)),0)</f>
        <v/>
      </c>
      <c r="M133" s="143">
        <f>SUMIFS($K$5:$K$274,$B$5:$B$274,$B133,$G$5:$G$274,$G133,$H$5:$H$274,"New Business")</f>
        <v/>
      </c>
      <c r="N133" s="144">
        <f>IFERROR(M133/L133,0)</f>
        <v/>
      </c>
      <c r="O133" s="143">
        <f>MIN(M133,L133)</f>
        <v/>
      </c>
      <c r="P133" s="143">
        <f>MAX(MIN(M133,L133*1.25)-L133,0)</f>
        <v/>
      </c>
      <c r="Q133" s="143">
        <f>MAX(M133-L133*1.25,0)</f>
        <v/>
      </c>
      <c r="R133" s="142">
        <f>O133*'Commission Plan Rules'!$F$6+P133*'Commission Plan Rules'!$F$7+Q133*'Commission Plan Rules'!$F$8</f>
        <v/>
      </c>
      <c r="S133" s="145">
        <f>IF(H133="New Business",IFERROR((K133/M133)*R133,0),IF(H133="Upsell",K133*'Commission Plan Rules'!$F$9,IF(H133="Renewal",K133*'Commission Plan Rules'!$F$10,0)))</f>
        <v/>
      </c>
      <c r="T133" s="141">
        <f>COUNTIFS($F$5:$F$274,F133,$K$5:$K$274,"&gt;"&amp;K133)+1</f>
        <v/>
      </c>
      <c r="U133" s="141">
        <f>F133&amp;"|"&amp;T133</f>
        <v/>
      </c>
    </row>
    <row r="134" ht="15" customHeight="1" s="107">
      <c r="A134" s="133" t="inlineStr">
        <is>
          <t>D00011</t>
        </is>
      </c>
      <c r="B134" s="133" t="inlineStr">
        <is>
          <t>R001</t>
        </is>
      </c>
      <c r="C134" s="146">
        <f>IFERROR(INDEX('Sales Roster &amp; Quotas'!$C$6:$C$20,MATCH($B134,'Sales Roster &amp; Quotas'!$B$6:$B$20,0)),"")</f>
        <v/>
      </c>
      <c r="D134" s="146">
        <f>IFERROR(INDEX('Sales Roster &amp; Quotas'!$D$6:$D$20,MATCH($B134,'Sales Roster &amp; Quotas'!$B$6:$B$20,0)),"")</f>
        <v/>
      </c>
      <c r="E134" s="134" t="n">
        <v>46102</v>
      </c>
      <c r="F134" s="147">
        <f>TEXT(E134,"yyyy-mm")</f>
        <v/>
      </c>
      <c r="G134" s="147">
        <f>IF(MONTH(E134)&lt;=3,"Q1","Q2")</f>
        <v/>
      </c>
      <c r="H134" s="133" t="inlineStr">
        <is>
          <t>Renewal</t>
        </is>
      </c>
      <c r="I134" s="133" t="inlineStr">
        <is>
          <t>Anchor Coverage Partners</t>
        </is>
      </c>
      <c r="J134" s="133" t="inlineStr">
        <is>
          <t>Policy Admin Core</t>
        </is>
      </c>
      <c r="K134" s="135" t="n">
        <v>8500</v>
      </c>
      <c r="L134" s="148">
        <f>IFERROR(INDEX('Sales Roster &amp; Quotas'!$G$6:$G$20,MATCH($B134,'Sales Roster &amp; Quotas'!$B$6:$B$20,0)),0)</f>
        <v/>
      </c>
      <c r="M134" s="149">
        <f>SUMIFS($K$5:$K$274,$B$5:$B$274,$B134,$G$5:$G$274,$G134,$H$5:$H$274,"New Business")</f>
        <v/>
      </c>
      <c r="N134" s="150">
        <f>IFERROR(M134/L134,0)</f>
        <v/>
      </c>
      <c r="O134" s="149">
        <f>MIN(M134,L134)</f>
        <v/>
      </c>
      <c r="P134" s="149">
        <f>MAX(MIN(M134,L134*1.25)-L134,0)</f>
        <v/>
      </c>
      <c r="Q134" s="149">
        <f>MAX(M134-L134*1.25,0)</f>
        <v/>
      </c>
      <c r="R134" s="148">
        <f>O134*'Commission Plan Rules'!$F$6+P134*'Commission Plan Rules'!$F$7+Q134*'Commission Plan Rules'!$F$8</f>
        <v/>
      </c>
      <c r="S134" s="151">
        <f>IF(H134="New Business",IFERROR((K134/M134)*R134,0),IF(H134="Upsell",K134*'Commission Plan Rules'!$F$9,IF(H134="Renewal",K134*'Commission Plan Rules'!$F$10,0)))</f>
        <v/>
      </c>
      <c r="T134" s="141">
        <f>COUNTIFS($F$5:$F$274,F134,$K$5:$K$274,"&gt;"&amp;K134)+1</f>
        <v/>
      </c>
      <c r="U134" s="141">
        <f>F134&amp;"|"&amp;T134</f>
        <v/>
      </c>
    </row>
    <row r="135" ht="15" customHeight="1" s="107">
      <c r="A135" s="130" t="inlineStr">
        <is>
          <t>D00143</t>
        </is>
      </c>
      <c r="B135" s="130" t="inlineStr">
        <is>
          <t>R008</t>
        </is>
      </c>
      <c r="C135" s="140">
        <f>IFERROR(INDEX('Sales Roster &amp; Quotas'!$C$6:$C$20,MATCH($B135,'Sales Roster &amp; Quotas'!$B$6:$B$20,0)),"")</f>
        <v/>
      </c>
      <c r="D135" s="140">
        <f>IFERROR(INDEX('Sales Roster &amp; Quotas'!$D$6:$D$20,MATCH($B135,'Sales Roster &amp; Quotas'!$B$6:$B$20,0)),"")</f>
        <v/>
      </c>
      <c r="E135" s="131" t="n">
        <v>46103</v>
      </c>
      <c r="F135" s="141">
        <f>TEXT(E135,"yyyy-mm")</f>
        <v/>
      </c>
      <c r="G135" s="141">
        <f>IF(MONTH(E135)&lt;=3,"Q1","Q2")</f>
        <v/>
      </c>
      <c r="H135" s="130" t="inlineStr">
        <is>
          <t>New Business</t>
        </is>
      </c>
      <c r="I135" s="130" t="inlineStr">
        <is>
          <t>Sterling Agency Partners</t>
        </is>
      </c>
      <c r="J135" s="130" t="inlineStr">
        <is>
          <t>Policy Admin Core</t>
        </is>
      </c>
      <c r="K135" s="132" t="n">
        <v>50000</v>
      </c>
      <c r="L135" s="142">
        <f>IFERROR(INDEX('Sales Roster &amp; Quotas'!$G$6:$G$20,MATCH($B135,'Sales Roster &amp; Quotas'!$B$6:$B$20,0)),0)</f>
        <v/>
      </c>
      <c r="M135" s="143">
        <f>SUMIFS($K$5:$K$274,$B$5:$B$274,$B135,$G$5:$G$274,$G135,$H$5:$H$274,"New Business")</f>
        <v/>
      </c>
      <c r="N135" s="144">
        <f>IFERROR(M135/L135,0)</f>
        <v/>
      </c>
      <c r="O135" s="143">
        <f>MIN(M135,L135)</f>
        <v/>
      </c>
      <c r="P135" s="143">
        <f>MAX(MIN(M135,L135*1.25)-L135,0)</f>
        <v/>
      </c>
      <c r="Q135" s="143">
        <f>MAX(M135-L135*1.25,0)</f>
        <v/>
      </c>
      <c r="R135" s="142">
        <f>O135*'Commission Plan Rules'!$F$6+P135*'Commission Plan Rules'!$F$7+Q135*'Commission Plan Rules'!$F$8</f>
        <v/>
      </c>
      <c r="S135" s="145">
        <f>IF(H135="New Business",IFERROR((K135/M135)*R135,0),IF(H135="Upsell",K135*'Commission Plan Rules'!$F$9,IF(H135="Renewal",K135*'Commission Plan Rules'!$F$10,0)))</f>
        <v/>
      </c>
      <c r="T135" s="141">
        <f>COUNTIFS($F$5:$F$274,F135,$K$5:$K$274,"&gt;"&amp;K135)+1</f>
        <v/>
      </c>
      <c r="U135" s="141">
        <f>F135&amp;"|"&amp;T135</f>
        <v/>
      </c>
    </row>
    <row r="136" ht="15" customHeight="1" s="107">
      <c r="A136" s="133" t="inlineStr">
        <is>
          <t>D00204</t>
        </is>
      </c>
      <c r="B136" s="133" t="inlineStr">
        <is>
          <t>R011</t>
        </is>
      </c>
      <c r="C136" s="146">
        <f>IFERROR(INDEX('Sales Roster &amp; Quotas'!$C$6:$C$20,MATCH($B136,'Sales Roster &amp; Quotas'!$B$6:$B$20,0)),"")</f>
        <v/>
      </c>
      <c r="D136" s="146">
        <f>IFERROR(INDEX('Sales Roster &amp; Quotas'!$D$6:$D$20,MATCH($B136,'Sales Roster &amp; Quotas'!$B$6:$B$20,0)),"")</f>
        <v/>
      </c>
      <c r="E136" s="134" t="n">
        <v>46103</v>
      </c>
      <c r="F136" s="147">
        <f>TEXT(E136,"yyyy-mm")</f>
        <v/>
      </c>
      <c r="G136" s="147">
        <f>IF(MONTH(E136)&lt;=3,"Q1","Q2")</f>
        <v/>
      </c>
      <c r="H136" s="133" t="inlineStr">
        <is>
          <t>Renewal</t>
        </is>
      </c>
      <c r="I136" s="133" t="inlineStr">
        <is>
          <t>Meadowbrook Insurance Group</t>
        </is>
      </c>
      <c r="J136" s="133" t="inlineStr">
        <is>
          <t>Client Portal</t>
        </is>
      </c>
      <c r="K136" s="135" t="n">
        <v>2000</v>
      </c>
      <c r="L136" s="148">
        <f>IFERROR(INDEX('Sales Roster &amp; Quotas'!$G$6:$G$20,MATCH($B136,'Sales Roster &amp; Quotas'!$B$6:$B$20,0)),0)</f>
        <v/>
      </c>
      <c r="M136" s="149">
        <f>SUMIFS($K$5:$K$274,$B$5:$B$274,$B136,$G$5:$G$274,$G136,$H$5:$H$274,"New Business")</f>
        <v/>
      </c>
      <c r="N136" s="150">
        <f>IFERROR(M136/L136,0)</f>
        <v/>
      </c>
      <c r="O136" s="149">
        <f>MIN(M136,L136)</f>
        <v/>
      </c>
      <c r="P136" s="149">
        <f>MAX(MIN(M136,L136*1.25)-L136,0)</f>
        <v/>
      </c>
      <c r="Q136" s="149">
        <f>MAX(M136-L136*1.25,0)</f>
        <v/>
      </c>
      <c r="R136" s="148">
        <f>O136*'Commission Plan Rules'!$F$6+P136*'Commission Plan Rules'!$F$7+Q136*'Commission Plan Rules'!$F$8</f>
        <v/>
      </c>
      <c r="S136" s="151">
        <f>IF(H136="New Business",IFERROR((K136/M136)*R136,0),IF(H136="Upsell",K136*'Commission Plan Rules'!$F$9,IF(H136="Renewal",K136*'Commission Plan Rules'!$F$10,0)))</f>
        <v/>
      </c>
      <c r="T136" s="141">
        <f>COUNTIFS($F$5:$F$274,F136,$K$5:$K$274,"&gt;"&amp;K136)+1</f>
        <v/>
      </c>
      <c r="U136" s="141">
        <f>F136&amp;"|"&amp;T136</f>
        <v/>
      </c>
    </row>
    <row r="137" ht="15" customHeight="1" s="107">
      <c r="A137" s="130" t="inlineStr">
        <is>
          <t>D00029</t>
        </is>
      </c>
      <c r="B137" s="130" t="inlineStr">
        <is>
          <t>R002</t>
        </is>
      </c>
      <c r="C137" s="140">
        <f>IFERROR(INDEX('Sales Roster &amp; Quotas'!$C$6:$C$20,MATCH($B137,'Sales Roster &amp; Quotas'!$B$6:$B$20,0)),"")</f>
        <v/>
      </c>
      <c r="D137" s="140">
        <f>IFERROR(INDEX('Sales Roster &amp; Quotas'!$D$6:$D$20,MATCH($B137,'Sales Roster &amp; Quotas'!$B$6:$B$20,0)),"")</f>
        <v/>
      </c>
      <c r="E137" s="131" t="n">
        <v>46103</v>
      </c>
      <c r="F137" s="141">
        <f>TEXT(E137,"yyyy-mm")</f>
        <v/>
      </c>
      <c r="G137" s="141">
        <f>IF(MONTH(E137)&lt;=3,"Q1","Q2")</f>
        <v/>
      </c>
      <c r="H137" s="130" t="inlineStr">
        <is>
          <t>New Business</t>
        </is>
      </c>
      <c r="I137" s="130" t="inlineStr">
        <is>
          <t>Beacon Underwriters</t>
        </is>
      </c>
      <c r="J137" s="130" t="inlineStr">
        <is>
          <t>Analytics Add-On</t>
        </is>
      </c>
      <c r="K137" s="132" t="n">
        <v>31500</v>
      </c>
      <c r="L137" s="142">
        <f>IFERROR(INDEX('Sales Roster &amp; Quotas'!$G$6:$G$20,MATCH($B137,'Sales Roster &amp; Quotas'!$B$6:$B$20,0)),0)</f>
        <v/>
      </c>
      <c r="M137" s="143">
        <f>SUMIFS($K$5:$K$274,$B$5:$B$274,$B137,$G$5:$G$274,$G137,$H$5:$H$274,"New Business")</f>
        <v/>
      </c>
      <c r="N137" s="144">
        <f>IFERROR(M137/L137,0)</f>
        <v/>
      </c>
      <c r="O137" s="143">
        <f>MIN(M137,L137)</f>
        <v/>
      </c>
      <c r="P137" s="143">
        <f>MAX(MIN(M137,L137*1.25)-L137,0)</f>
        <v/>
      </c>
      <c r="Q137" s="143">
        <f>MAX(M137-L137*1.25,0)</f>
        <v/>
      </c>
      <c r="R137" s="142">
        <f>O137*'Commission Plan Rules'!$F$6+P137*'Commission Plan Rules'!$F$7+Q137*'Commission Plan Rules'!$F$8</f>
        <v/>
      </c>
      <c r="S137" s="145">
        <f>IF(H137="New Business",IFERROR((K137/M137)*R137,0),IF(H137="Upsell",K137*'Commission Plan Rules'!$F$9,IF(H137="Renewal",K137*'Commission Plan Rules'!$F$10,0)))</f>
        <v/>
      </c>
      <c r="T137" s="141">
        <f>COUNTIFS($F$5:$F$274,F137,$K$5:$K$274,"&gt;"&amp;K137)+1</f>
        <v/>
      </c>
      <c r="U137" s="141">
        <f>F137&amp;"|"&amp;T137</f>
        <v/>
      </c>
    </row>
    <row r="138" ht="15" customHeight="1" s="107">
      <c r="A138" s="133" t="inlineStr">
        <is>
          <t>D00182</t>
        </is>
      </c>
      <c r="B138" s="133" t="inlineStr">
        <is>
          <t>R010</t>
        </is>
      </c>
      <c r="C138" s="146">
        <f>IFERROR(INDEX('Sales Roster &amp; Quotas'!$C$6:$C$20,MATCH($B138,'Sales Roster &amp; Quotas'!$B$6:$B$20,0)),"")</f>
        <v/>
      </c>
      <c r="D138" s="146">
        <f>IFERROR(INDEX('Sales Roster &amp; Quotas'!$D$6:$D$20,MATCH($B138,'Sales Roster &amp; Quotas'!$B$6:$B$20,0)),"")</f>
        <v/>
      </c>
      <c r="E138" s="134" t="n">
        <v>46103</v>
      </c>
      <c r="F138" s="147">
        <f>TEXT(E138,"yyyy-mm")</f>
        <v/>
      </c>
      <c r="G138" s="147">
        <f>IF(MONTH(E138)&lt;=3,"Q1","Q2")</f>
        <v/>
      </c>
      <c r="H138" s="133" t="inlineStr">
        <is>
          <t>New Business</t>
        </is>
      </c>
      <c r="I138" s="133" t="inlineStr">
        <is>
          <t>Lakeside Insurance Brokers</t>
        </is>
      </c>
      <c r="J138" s="133" t="inlineStr">
        <is>
          <t>Policy Admin Core</t>
        </is>
      </c>
      <c r="K138" s="135" t="n">
        <v>10500</v>
      </c>
      <c r="L138" s="148">
        <f>IFERROR(INDEX('Sales Roster &amp; Quotas'!$G$6:$G$20,MATCH($B138,'Sales Roster &amp; Quotas'!$B$6:$B$20,0)),0)</f>
        <v/>
      </c>
      <c r="M138" s="149">
        <f>SUMIFS($K$5:$K$274,$B$5:$B$274,$B138,$G$5:$G$274,$G138,$H$5:$H$274,"New Business")</f>
        <v/>
      </c>
      <c r="N138" s="150">
        <f>IFERROR(M138/L138,0)</f>
        <v/>
      </c>
      <c r="O138" s="149">
        <f>MIN(M138,L138)</f>
        <v/>
      </c>
      <c r="P138" s="149">
        <f>MAX(MIN(M138,L138*1.25)-L138,0)</f>
        <v/>
      </c>
      <c r="Q138" s="149">
        <f>MAX(M138-L138*1.25,0)</f>
        <v/>
      </c>
      <c r="R138" s="148">
        <f>O138*'Commission Plan Rules'!$F$6+P138*'Commission Plan Rules'!$F$7+Q138*'Commission Plan Rules'!$F$8</f>
        <v/>
      </c>
      <c r="S138" s="151">
        <f>IF(H138="New Business",IFERROR((K138/M138)*R138,0),IF(H138="Upsell",K138*'Commission Plan Rules'!$F$9,IF(H138="Renewal",K138*'Commission Plan Rules'!$F$10,0)))</f>
        <v/>
      </c>
      <c r="T138" s="141">
        <f>COUNTIFS($F$5:$F$274,F138,$K$5:$K$274,"&gt;"&amp;K138)+1</f>
        <v/>
      </c>
      <c r="U138" s="141">
        <f>F138&amp;"|"&amp;T138</f>
        <v/>
      </c>
    </row>
    <row r="139" ht="15" customHeight="1" s="107">
      <c r="A139" s="130" t="inlineStr">
        <is>
          <t>D00051</t>
        </is>
      </c>
      <c r="B139" s="130" t="inlineStr">
        <is>
          <t>R003</t>
        </is>
      </c>
      <c r="C139" s="140">
        <f>IFERROR(INDEX('Sales Roster &amp; Quotas'!$C$6:$C$20,MATCH($B139,'Sales Roster &amp; Quotas'!$B$6:$B$20,0)),"")</f>
        <v/>
      </c>
      <c r="D139" s="140">
        <f>IFERROR(INDEX('Sales Roster &amp; Quotas'!$D$6:$D$20,MATCH($B139,'Sales Roster &amp; Quotas'!$B$6:$B$20,0)),"")</f>
        <v/>
      </c>
      <c r="E139" s="131" t="n">
        <v>46104</v>
      </c>
      <c r="F139" s="141">
        <f>TEXT(E139,"yyyy-mm")</f>
        <v/>
      </c>
      <c r="G139" s="141">
        <f>IF(MONTH(E139)&lt;=3,"Q1","Q2")</f>
        <v/>
      </c>
      <c r="H139" s="130" t="inlineStr">
        <is>
          <t>Renewal</t>
        </is>
      </c>
      <c r="I139" s="130" t="inlineStr">
        <is>
          <t>Fieldstone Agency Partners</t>
        </is>
      </c>
      <c r="J139" s="130" t="inlineStr">
        <is>
          <t>Policy Admin Core</t>
        </is>
      </c>
      <c r="K139" s="132" t="n">
        <v>52500</v>
      </c>
      <c r="L139" s="142">
        <f>IFERROR(INDEX('Sales Roster &amp; Quotas'!$G$6:$G$20,MATCH($B139,'Sales Roster &amp; Quotas'!$B$6:$B$20,0)),0)</f>
        <v/>
      </c>
      <c r="M139" s="143">
        <f>SUMIFS($K$5:$K$274,$B$5:$B$274,$B139,$G$5:$G$274,$G139,$H$5:$H$274,"New Business")</f>
        <v/>
      </c>
      <c r="N139" s="144">
        <f>IFERROR(M139/L139,0)</f>
        <v/>
      </c>
      <c r="O139" s="143">
        <f>MIN(M139,L139)</f>
        <v/>
      </c>
      <c r="P139" s="143">
        <f>MAX(MIN(M139,L139*1.25)-L139,0)</f>
        <v/>
      </c>
      <c r="Q139" s="143">
        <f>MAX(M139-L139*1.25,0)</f>
        <v/>
      </c>
      <c r="R139" s="142">
        <f>O139*'Commission Plan Rules'!$F$6+P139*'Commission Plan Rules'!$F$7+Q139*'Commission Plan Rules'!$F$8</f>
        <v/>
      </c>
      <c r="S139" s="145">
        <f>IF(H139="New Business",IFERROR((K139/M139)*R139,0),IF(H139="Upsell",K139*'Commission Plan Rules'!$F$9,IF(H139="Renewal",K139*'Commission Plan Rules'!$F$10,0)))</f>
        <v/>
      </c>
      <c r="T139" s="141">
        <f>COUNTIFS($F$5:$F$274,F139,$K$5:$K$274,"&gt;"&amp;K139)+1</f>
        <v/>
      </c>
      <c r="U139" s="141">
        <f>F139&amp;"|"&amp;T139</f>
        <v/>
      </c>
    </row>
    <row r="140" ht="15" customHeight="1" s="107">
      <c r="A140" s="133" t="inlineStr">
        <is>
          <t>D00237</t>
        </is>
      </c>
      <c r="B140" s="133" t="inlineStr">
        <is>
          <t>R013</t>
        </is>
      </c>
      <c r="C140" s="146">
        <f>IFERROR(INDEX('Sales Roster &amp; Quotas'!$C$6:$C$20,MATCH($B140,'Sales Roster &amp; Quotas'!$B$6:$B$20,0)),"")</f>
        <v/>
      </c>
      <c r="D140" s="146">
        <f>IFERROR(INDEX('Sales Roster &amp; Quotas'!$D$6:$D$20,MATCH($B140,'Sales Roster &amp; Quotas'!$B$6:$B$20,0)),"")</f>
        <v/>
      </c>
      <c r="E140" s="134" t="n">
        <v>46104</v>
      </c>
      <c r="F140" s="147">
        <f>TEXT(E140,"yyyy-mm")</f>
        <v/>
      </c>
      <c r="G140" s="147">
        <f>IF(MONTH(E140)&lt;=3,"Q1","Q2")</f>
        <v/>
      </c>
      <c r="H140" s="133" t="inlineStr">
        <is>
          <t>Renewal</t>
        </is>
      </c>
      <c r="I140" s="133" t="inlineStr">
        <is>
          <t>Beacon Insurance Group</t>
        </is>
      </c>
      <c r="J140" s="133" t="inlineStr">
        <is>
          <t>Policy Admin Core</t>
        </is>
      </c>
      <c r="K140" s="135" t="n">
        <v>151500</v>
      </c>
      <c r="L140" s="148">
        <f>IFERROR(INDEX('Sales Roster &amp; Quotas'!$G$6:$G$20,MATCH($B140,'Sales Roster &amp; Quotas'!$B$6:$B$20,0)),0)</f>
        <v/>
      </c>
      <c r="M140" s="149">
        <f>SUMIFS($K$5:$K$274,$B$5:$B$274,$B140,$G$5:$G$274,$G140,$H$5:$H$274,"New Business")</f>
        <v/>
      </c>
      <c r="N140" s="150">
        <f>IFERROR(M140/L140,0)</f>
        <v/>
      </c>
      <c r="O140" s="149">
        <f>MIN(M140,L140)</f>
        <v/>
      </c>
      <c r="P140" s="149">
        <f>MAX(MIN(M140,L140*1.25)-L140,0)</f>
        <v/>
      </c>
      <c r="Q140" s="149">
        <f>MAX(M140-L140*1.25,0)</f>
        <v/>
      </c>
      <c r="R140" s="148">
        <f>O140*'Commission Plan Rules'!$F$6+P140*'Commission Plan Rules'!$F$7+Q140*'Commission Plan Rules'!$F$8</f>
        <v/>
      </c>
      <c r="S140" s="151">
        <f>IF(H140="New Business",IFERROR((K140/M140)*R140,0),IF(H140="Upsell",K140*'Commission Plan Rules'!$F$9,IF(H140="Renewal",K140*'Commission Plan Rules'!$F$10,0)))</f>
        <v/>
      </c>
      <c r="T140" s="141">
        <f>COUNTIFS($F$5:$F$274,F140,$K$5:$K$274,"&gt;"&amp;K140)+1</f>
        <v/>
      </c>
      <c r="U140" s="141">
        <f>F140&amp;"|"&amp;T140</f>
        <v/>
      </c>
    </row>
    <row r="141" ht="15" customHeight="1" s="107">
      <c r="A141" s="130" t="inlineStr">
        <is>
          <t>D00246</t>
        </is>
      </c>
      <c r="B141" s="130" t="inlineStr">
        <is>
          <t>R014</t>
        </is>
      </c>
      <c r="C141" s="140">
        <f>IFERROR(INDEX('Sales Roster &amp; Quotas'!$C$6:$C$20,MATCH($B141,'Sales Roster &amp; Quotas'!$B$6:$B$20,0)),"")</f>
        <v/>
      </c>
      <c r="D141" s="140">
        <f>IFERROR(INDEX('Sales Roster &amp; Quotas'!$D$6:$D$20,MATCH($B141,'Sales Roster &amp; Quotas'!$B$6:$B$20,0)),"")</f>
        <v/>
      </c>
      <c r="E141" s="131" t="n">
        <v>46104</v>
      </c>
      <c r="F141" s="141">
        <f>TEXT(E141,"yyyy-mm")</f>
        <v/>
      </c>
      <c r="G141" s="141">
        <f>IF(MONTH(E141)&lt;=3,"Q1","Q2")</f>
        <v/>
      </c>
      <c r="H141" s="130" t="inlineStr">
        <is>
          <t>New Business</t>
        </is>
      </c>
      <c r="I141" s="130" t="inlineStr">
        <is>
          <t>Fieldstone Coverage Partners</t>
        </is>
      </c>
      <c r="J141" s="130" t="inlineStr">
        <is>
          <t>Policy Admin Core</t>
        </is>
      </c>
      <c r="K141" s="132" t="n">
        <v>100500</v>
      </c>
      <c r="L141" s="142">
        <f>IFERROR(INDEX('Sales Roster &amp; Quotas'!$G$6:$G$20,MATCH($B141,'Sales Roster &amp; Quotas'!$B$6:$B$20,0)),0)</f>
        <v/>
      </c>
      <c r="M141" s="143">
        <f>SUMIFS($K$5:$K$274,$B$5:$B$274,$B141,$G$5:$G$274,$G141,$H$5:$H$274,"New Business")</f>
        <v/>
      </c>
      <c r="N141" s="144">
        <f>IFERROR(M141/L141,0)</f>
        <v/>
      </c>
      <c r="O141" s="143">
        <f>MIN(M141,L141)</f>
        <v/>
      </c>
      <c r="P141" s="143">
        <f>MAX(MIN(M141,L141*1.25)-L141,0)</f>
        <v/>
      </c>
      <c r="Q141" s="143">
        <f>MAX(M141-L141*1.25,0)</f>
        <v/>
      </c>
      <c r="R141" s="142">
        <f>O141*'Commission Plan Rules'!$F$6+P141*'Commission Plan Rules'!$F$7+Q141*'Commission Plan Rules'!$F$8</f>
        <v/>
      </c>
      <c r="S141" s="145">
        <f>IF(H141="New Business",IFERROR((K141/M141)*R141,0),IF(H141="Upsell",K141*'Commission Plan Rules'!$F$9,IF(H141="Renewal",K141*'Commission Plan Rules'!$F$10,0)))</f>
        <v/>
      </c>
      <c r="T141" s="141">
        <f>COUNTIFS($F$5:$F$274,F141,$K$5:$K$274,"&gt;"&amp;K141)+1</f>
        <v/>
      </c>
      <c r="U141" s="141">
        <f>F141&amp;"|"&amp;T141</f>
        <v/>
      </c>
    </row>
    <row r="142" ht="15" customHeight="1" s="107">
      <c r="A142" s="133" t="inlineStr">
        <is>
          <t>D00045</t>
        </is>
      </c>
      <c r="B142" s="133" t="inlineStr">
        <is>
          <t>R003</t>
        </is>
      </c>
      <c r="C142" s="146">
        <f>IFERROR(INDEX('Sales Roster &amp; Quotas'!$C$6:$C$20,MATCH($B142,'Sales Roster &amp; Quotas'!$B$6:$B$20,0)),"")</f>
        <v/>
      </c>
      <c r="D142" s="146">
        <f>IFERROR(INDEX('Sales Roster &amp; Quotas'!$D$6:$D$20,MATCH($B142,'Sales Roster &amp; Quotas'!$B$6:$B$20,0)),"")</f>
        <v/>
      </c>
      <c r="E142" s="134" t="n">
        <v>46105</v>
      </c>
      <c r="F142" s="147">
        <f>TEXT(E142,"yyyy-mm")</f>
        <v/>
      </c>
      <c r="G142" s="147">
        <f>IF(MONTH(E142)&lt;=3,"Q1","Q2")</f>
        <v/>
      </c>
      <c r="H142" s="133" t="inlineStr">
        <is>
          <t>New Business</t>
        </is>
      </c>
      <c r="I142" s="133" t="inlineStr">
        <is>
          <t>Sterling Insurance Solutions</t>
        </is>
      </c>
      <c r="J142" s="133" t="inlineStr">
        <is>
          <t>Analytics Add-On</t>
        </is>
      </c>
      <c r="K142" s="135" t="n">
        <v>30000</v>
      </c>
      <c r="L142" s="148">
        <f>IFERROR(INDEX('Sales Roster &amp; Quotas'!$G$6:$G$20,MATCH($B142,'Sales Roster &amp; Quotas'!$B$6:$B$20,0)),0)</f>
        <v/>
      </c>
      <c r="M142" s="149">
        <f>SUMIFS($K$5:$K$274,$B$5:$B$274,$B142,$G$5:$G$274,$G142,$H$5:$H$274,"New Business")</f>
        <v/>
      </c>
      <c r="N142" s="150">
        <f>IFERROR(M142/L142,0)</f>
        <v/>
      </c>
      <c r="O142" s="149">
        <f>MIN(M142,L142)</f>
        <v/>
      </c>
      <c r="P142" s="149">
        <f>MAX(MIN(M142,L142*1.25)-L142,0)</f>
        <v/>
      </c>
      <c r="Q142" s="149">
        <f>MAX(M142-L142*1.25,0)</f>
        <v/>
      </c>
      <c r="R142" s="148">
        <f>O142*'Commission Plan Rules'!$F$6+P142*'Commission Plan Rules'!$F$7+Q142*'Commission Plan Rules'!$F$8</f>
        <v/>
      </c>
      <c r="S142" s="151">
        <f>IF(H142="New Business",IFERROR((K142/M142)*R142,0),IF(H142="Upsell",K142*'Commission Plan Rules'!$F$9,IF(H142="Renewal",K142*'Commission Plan Rules'!$F$10,0)))</f>
        <v/>
      </c>
      <c r="T142" s="141">
        <f>COUNTIFS($F$5:$F$274,F142,$K$5:$K$274,"&gt;"&amp;K142)+1</f>
        <v/>
      </c>
      <c r="U142" s="141">
        <f>F142&amp;"|"&amp;T142</f>
        <v/>
      </c>
    </row>
    <row r="143" ht="15" customHeight="1" s="107">
      <c r="A143" s="130" t="inlineStr">
        <is>
          <t>D00046</t>
        </is>
      </c>
      <c r="B143" s="130" t="inlineStr">
        <is>
          <t>R003</t>
        </is>
      </c>
      <c r="C143" s="140">
        <f>IFERROR(INDEX('Sales Roster &amp; Quotas'!$C$6:$C$20,MATCH($B143,'Sales Roster &amp; Quotas'!$B$6:$B$20,0)),"")</f>
        <v/>
      </c>
      <c r="D143" s="140">
        <f>IFERROR(INDEX('Sales Roster &amp; Quotas'!$D$6:$D$20,MATCH($B143,'Sales Roster &amp; Quotas'!$B$6:$B$20,0)),"")</f>
        <v/>
      </c>
      <c r="E143" s="131" t="n">
        <v>46105</v>
      </c>
      <c r="F143" s="141">
        <f>TEXT(E143,"yyyy-mm")</f>
        <v/>
      </c>
      <c r="G143" s="141">
        <f>IF(MONTH(E143)&lt;=3,"Q1","Q2")</f>
        <v/>
      </c>
      <c r="H143" s="130" t="inlineStr">
        <is>
          <t>Upsell</t>
        </is>
      </c>
      <c r="I143" s="130" t="inlineStr">
        <is>
          <t>Northgate Agency Partners</t>
        </is>
      </c>
      <c r="J143" s="130" t="inlineStr">
        <is>
          <t>Policy Admin Core</t>
        </is>
      </c>
      <c r="K143" s="132" t="n">
        <v>10500</v>
      </c>
      <c r="L143" s="142">
        <f>IFERROR(INDEX('Sales Roster &amp; Quotas'!$G$6:$G$20,MATCH($B143,'Sales Roster &amp; Quotas'!$B$6:$B$20,0)),0)</f>
        <v/>
      </c>
      <c r="M143" s="143">
        <f>SUMIFS($K$5:$K$274,$B$5:$B$274,$B143,$G$5:$G$274,$G143,$H$5:$H$274,"New Business")</f>
        <v/>
      </c>
      <c r="N143" s="144">
        <f>IFERROR(M143/L143,0)</f>
        <v/>
      </c>
      <c r="O143" s="143">
        <f>MIN(M143,L143)</f>
        <v/>
      </c>
      <c r="P143" s="143">
        <f>MAX(MIN(M143,L143*1.25)-L143,0)</f>
        <v/>
      </c>
      <c r="Q143" s="143">
        <f>MAX(M143-L143*1.25,0)</f>
        <v/>
      </c>
      <c r="R143" s="142">
        <f>O143*'Commission Plan Rules'!$F$6+P143*'Commission Plan Rules'!$F$7+Q143*'Commission Plan Rules'!$F$8</f>
        <v/>
      </c>
      <c r="S143" s="145">
        <f>IF(H143="New Business",IFERROR((K143/M143)*R143,0),IF(H143="Upsell",K143*'Commission Plan Rules'!$F$9,IF(H143="Renewal",K143*'Commission Plan Rules'!$F$10,0)))</f>
        <v/>
      </c>
      <c r="T143" s="141">
        <f>COUNTIFS($F$5:$F$274,F143,$K$5:$K$274,"&gt;"&amp;K143)+1</f>
        <v/>
      </c>
      <c r="U143" s="141">
        <f>F143&amp;"|"&amp;T143</f>
        <v/>
      </c>
    </row>
    <row r="144" ht="15" customHeight="1" s="107">
      <c r="A144" s="133" t="inlineStr">
        <is>
          <t>D00050</t>
        </is>
      </c>
      <c r="B144" s="133" t="inlineStr">
        <is>
          <t>R003</t>
        </is>
      </c>
      <c r="C144" s="146">
        <f>IFERROR(INDEX('Sales Roster &amp; Quotas'!$C$6:$C$20,MATCH($B144,'Sales Roster &amp; Quotas'!$B$6:$B$20,0)),"")</f>
        <v/>
      </c>
      <c r="D144" s="146">
        <f>IFERROR(INDEX('Sales Roster &amp; Quotas'!$D$6:$D$20,MATCH($B144,'Sales Roster &amp; Quotas'!$B$6:$B$20,0)),"")</f>
        <v/>
      </c>
      <c r="E144" s="134" t="n">
        <v>46105</v>
      </c>
      <c r="F144" s="147">
        <f>TEXT(E144,"yyyy-mm")</f>
        <v/>
      </c>
      <c r="G144" s="147">
        <f>IF(MONTH(E144)&lt;=3,"Q1","Q2")</f>
        <v/>
      </c>
      <c r="H144" s="133" t="inlineStr">
        <is>
          <t>Renewal</t>
        </is>
      </c>
      <c r="I144" s="133" t="inlineStr">
        <is>
          <t>Windham Insurance Solutions</t>
        </is>
      </c>
      <c r="J144" s="133" t="inlineStr">
        <is>
          <t>Policy Admin Core</t>
        </is>
      </c>
      <c r="K144" s="135" t="n">
        <v>1500</v>
      </c>
      <c r="L144" s="148">
        <f>IFERROR(INDEX('Sales Roster &amp; Quotas'!$G$6:$G$20,MATCH($B144,'Sales Roster &amp; Quotas'!$B$6:$B$20,0)),0)</f>
        <v/>
      </c>
      <c r="M144" s="149">
        <f>SUMIFS($K$5:$K$274,$B$5:$B$274,$B144,$G$5:$G$274,$G144,$H$5:$H$274,"New Business")</f>
        <v/>
      </c>
      <c r="N144" s="150">
        <f>IFERROR(M144/L144,0)</f>
        <v/>
      </c>
      <c r="O144" s="149">
        <f>MIN(M144,L144)</f>
        <v/>
      </c>
      <c r="P144" s="149">
        <f>MAX(MIN(M144,L144*1.25)-L144,0)</f>
        <v/>
      </c>
      <c r="Q144" s="149">
        <f>MAX(M144-L144*1.25,0)</f>
        <v/>
      </c>
      <c r="R144" s="148">
        <f>O144*'Commission Plan Rules'!$F$6+P144*'Commission Plan Rules'!$F$7+Q144*'Commission Plan Rules'!$F$8</f>
        <v/>
      </c>
      <c r="S144" s="151">
        <f>IF(H144="New Business",IFERROR((K144/M144)*R144,0),IF(H144="Upsell",K144*'Commission Plan Rules'!$F$9,IF(H144="Renewal",K144*'Commission Plan Rules'!$F$10,0)))</f>
        <v/>
      </c>
      <c r="T144" s="141">
        <f>COUNTIFS($F$5:$F$274,F144,$K$5:$K$274,"&gt;"&amp;K144)+1</f>
        <v/>
      </c>
      <c r="U144" s="141">
        <f>F144&amp;"|"&amp;T144</f>
        <v/>
      </c>
    </row>
    <row r="145" ht="15" customHeight="1" s="107">
      <c r="A145" s="130" t="inlineStr">
        <is>
          <t>D00134</t>
        </is>
      </c>
      <c r="B145" s="130" t="inlineStr">
        <is>
          <t>R007</t>
        </is>
      </c>
      <c r="C145" s="140">
        <f>IFERROR(INDEX('Sales Roster &amp; Quotas'!$C$6:$C$20,MATCH($B145,'Sales Roster &amp; Quotas'!$B$6:$B$20,0)),"")</f>
        <v/>
      </c>
      <c r="D145" s="140">
        <f>IFERROR(INDEX('Sales Roster &amp; Quotas'!$D$6:$D$20,MATCH($B145,'Sales Roster &amp; Quotas'!$B$6:$B$20,0)),"")</f>
        <v/>
      </c>
      <c r="E145" s="131" t="n">
        <v>46106</v>
      </c>
      <c r="F145" s="141">
        <f>TEXT(E145,"yyyy-mm")</f>
        <v/>
      </c>
      <c r="G145" s="141">
        <f>IF(MONTH(E145)&lt;=3,"Q1","Q2")</f>
        <v/>
      </c>
      <c r="H145" s="130" t="inlineStr">
        <is>
          <t>Renewal</t>
        </is>
      </c>
      <c r="I145" s="130" t="inlineStr">
        <is>
          <t>Northgate Insurance Brokers</t>
        </is>
      </c>
      <c r="J145" s="130" t="inlineStr">
        <is>
          <t>Analytics Add-On</t>
        </is>
      </c>
      <c r="K145" s="132" t="n">
        <v>14000</v>
      </c>
      <c r="L145" s="142">
        <f>IFERROR(INDEX('Sales Roster &amp; Quotas'!$G$6:$G$20,MATCH($B145,'Sales Roster &amp; Quotas'!$B$6:$B$20,0)),0)</f>
        <v/>
      </c>
      <c r="M145" s="143">
        <f>SUMIFS($K$5:$K$274,$B$5:$B$274,$B145,$G$5:$G$274,$G145,$H$5:$H$274,"New Business")</f>
        <v/>
      </c>
      <c r="N145" s="144">
        <f>IFERROR(M145/L145,0)</f>
        <v/>
      </c>
      <c r="O145" s="143">
        <f>MIN(M145,L145)</f>
        <v/>
      </c>
      <c r="P145" s="143">
        <f>MAX(MIN(M145,L145*1.25)-L145,0)</f>
        <v/>
      </c>
      <c r="Q145" s="143">
        <f>MAX(M145-L145*1.25,0)</f>
        <v/>
      </c>
      <c r="R145" s="142">
        <f>O145*'Commission Plan Rules'!$F$6+P145*'Commission Plan Rules'!$F$7+Q145*'Commission Plan Rules'!$F$8</f>
        <v/>
      </c>
      <c r="S145" s="145">
        <f>IF(H145="New Business",IFERROR((K145/M145)*R145,0),IF(H145="Upsell",K145*'Commission Plan Rules'!$F$9,IF(H145="Renewal",K145*'Commission Plan Rules'!$F$10,0)))</f>
        <v/>
      </c>
      <c r="T145" s="141">
        <f>COUNTIFS($F$5:$F$274,F145,$K$5:$K$274,"&gt;"&amp;K145)+1</f>
        <v/>
      </c>
      <c r="U145" s="141">
        <f>F145&amp;"|"&amp;T145</f>
        <v/>
      </c>
    </row>
    <row r="146" ht="15" customHeight="1" s="107">
      <c r="A146" s="133" t="inlineStr">
        <is>
          <t>D00111</t>
        </is>
      </c>
      <c r="B146" s="133" t="inlineStr">
        <is>
          <t>R006</t>
        </is>
      </c>
      <c r="C146" s="146">
        <f>IFERROR(INDEX('Sales Roster &amp; Quotas'!$C$6:$C$20,MATCH($B146,'Sales Roster &amp; Quotas'!$B$6:$B$20,0)),"")</f>
        <v/>
      </c>
      <c r="D146" s="146">
        <f>IFERROR(INDEX('Sales Roster &amp; Quotas'!$D$6:$D$20,MATCH($B146,'Sales Roster &amp; Quotas'!$B$6:$B$20,0)),"")</f>
        <v/>
      </c>
      <c r="E146" s="134" t="n">
        <v>46106</v>
      </c>
      <c r="F146" s="147">
        <f>TEXT(E146,"yyyy-mm")</f>
        <v/>
      </c>
      <c r="G146" s="147">
        <f>IF(MONTH(E146)&lt;=3,"Q1","Q2")</f>
        <v/>
      </c>
      <c r="H146" s="133" t="inlineStr">
        <is>
          <t>Renewal</t>
        </is>
      </c>
      <c r="I146" s="133" t="inlineStr">
        <is>
          <t>Northgate Mutual Agency</t>
        </is>
      </c>
      <c r="J146" s="133" t="inlineStr">
        <is>
          <t>Claims Module</t>
        </is>
      </c>
      <c r="K146" s="135" t="n">
        <v>30500</v>
      </c>
      <c r="L146" s="148">
        <f>IFERROR(INDEX('Sales Roster &amp; Quotas'!$G$6:$G$20,MATCH($B146,'Sales Roster &amp; Quotas'!$B$6:$B$20,0)),0)</f>
        <v/>
      </c>
      <c r="M146" s="149">
        <f>SUMIFS($K$5:$K$274,$B$5:$B$274,$B146,$G$5:$G$274,$G146,$H$5:$H$274,"New Business")</f>
        <v/>
      </c>
      <c r="N146" s="150">
        <f>IFERROR(M146/L146,0)</f>
        <v/>
      </c>
      <c r="O146" s="149">
        <f>MIN(M146,L146)</f>
        <v/>
      </c>
      <c r="P146" s="149">
        <f>MAX(MIN(M146,L146*1.25)-L146,0)</f>
        <v/>
      </c>
      <c r="Q146" s="149">
        <f>MAX(M146-L146*1.25,0)</f>
        <v/>
      </c>
      <c r="R146" s="148">
        <f>O146*'Commission Plan Rules'!$F$6+P146*'Commission Plan Rules'!$F$7+Q146*'Commission Plan Rules'!$F$8</f>
        <v/>
      </c>
      <c r="S146" s="151">
        <f>IF(H146="New Business",IFERROR((K146/M146)*R146,0),IF(H146="Upsell",K146*'Commission Plan Rules'!$F$9,IF(H146="Renewal",K146*'Commission Plan Rules'!$F$10,0)))</f>
        <v/>
      </c>
      <c r="T146" s="141">
        <f>COUNTIFS($F$5:$F$274,F146,$K$5:$K$274,"&gt;"&amp;K146)+1</f>
        <v/>
      </c>
      <c r="U146" s="141">
        <f>F146&amp;"|"&amp;T146</f>
        <v/>
      </c>
    </row>
    <row r="147" ht="15" customHeight="1" s="107">
      <c r="A147" s="130" t="inlineStr">
        <is>
          <t>D00203</t>
        </is>
      </c>
      <c r="B147" s="130" t="inlineStr">
        <is>
          <t>R011</t>
        </is>
      </c>
      <c r="C147" s="140">
        <f>IFERROR(INDEX('Sales Roster &amp; Quotas'!$C$6:$C$20,MATCH($B147,'Sales Roster &amp; Quotas'!$B$6:$B$20,0)),"")</f>
        <v/>
      </c>
      <c r="D147" s="140">
        <f>IFERROR(INDEX('Sales Roster &amp; Quotas'!$D$6:$D$20,MATCH($B147,'Sales Roster &amp; Quotas'!$B$6:$B$20,0)),"")</f>
        <v/>
      </c>
      <c r="E147" s="131" t="n">
        <v>46108</v>
      </c>
      <c r="F147" s="141">
        <f>TEXT(E147,"yyyy-mm")</f>
        <v/>
      </c>
      <c r="G147" s="141">
        <f>IF(MONTH(E147)&lt;=3,"Q1","Q2")</f>
        <v/>
      </c>
      <c r="H147" s="130" t="inlineStr">
        <is>
          <t>Renewal</t>
        </is>
      </c>
      <c r="I147" s="130" t="inlineStr">
        <is>
          <t>Windham Coverage Partners</t>
        </is>
      </c>
      <c r="J147" s="130" t="inlineStr">
        <is>
          <t>Claims Module</t>
        </is>
      </c>
      <c r="K147" s="132" t="n">
        <v>28000</v>
      </c>
      <c r="L147" s="142">
        <f>IFERROR(INDEX('Sales Roster &amp; Quotas'!$G$6:$G$20,MATCH($B147,'Sales Roster &amp; Quotas'!$B$6:$B$20,0)),0)</f>
        <v/>
      </c>
      <c r="M147" s="143">
        <f>SUMIFS($K$5:$K$274,$B$5:$B$274,$B147,$G$5:$G$274,$G147,$H$5:$H$274,"New Business")</f>
        <v/>
      </c>
      <c r="N147" s="144">
        <f>IFERROR(M147/L147,0)</f>
        <v/>
      </c>
      <c r="O147" s="143">
        <f>MIN(M147,L147)</f>
        <v/>
      </c>
      <c r="P147" s="143">
        <f>MAX(MIN(M147,L147*1.25)-L147,0)</f>
        <v/>
      </c>
      <c r="Q147" s="143">
        <f>MAX(M147-L147*1.25,0)</f>
        <v/>
      </c>
      <c r="R147" s="142">
        <f>O147*'Commission Plan Rules'!$F$6+P147*'Commission Plan Rules'!$F$7+Q147*'Commission Plan Rules'!$F$8</f>
        <v/>
      </c>
      <c r="S147" s="145">
        <f>IF(H147="New Business",IFERROR((K147/M147)*R147,0),IF(H147="Upsell",K147*'Commission Plan Rules'!$F$9,IF(H147="Renewal",K147*'Commission Plan Rules'!$F$10,0)))</f>
        <v/>
      </c>
      <c r="T147" s="141">
        <f>COUNTIFS($F$5:$F$274,F147,$K$5:$K$274,"&gt;"&amp;K147)+1</f>
        <v/>
      </c>
      <c r="U147" s="141">
        <f>F147&amp;"|"&amp;T147</f>
        <v/>
      </c>
    </row>
    <row r="148" ht="15" customHeight="1" s="107">
      <c r="A148" s="133" t="inlineStr">
        <is>
          <t>D00032</t>
        </is>
      </c>
      <c r="B148" s="133" t="inlineStr">
        <is>
          <t>R002</t>
        </is>
      </c>
      <c r="C148" s="146">
        <f>IFERROR(INDEX('Sales Roster &amp; Quotas'!$C$6:$C$20,MATCH($B148,'Sales Roster &amp; Quotas'!$B$6:$B$20,0)),"")</f>
        <v/>
      </c>
      <c r="D148" s="146">
        <f>IFERROR(INDEX('Sales Roster &amp; Quotas'!$D$6:$D$20,MATCH($B148,'Sales Roster &amp; Quotas'!$B$6:$B$20,0)),"")</f>
        <v/>
      </c>
      <c r="E148" s="134" t="n">
        <v>46108</v>
      </c>
      <c r="F148" s="147">
        <f>TEXT(E148,"yyyy-mm")</f>
        <v/>
      </c>
      <c r="G148" s="147">
        <f>IF(MONTH(E148)&lt;=3,"Q1","Q2")</f>
        <v/>
      </c>
      <c r="H148" s="133" t="inlineStr">
        <is>
          <t>Renewal</t>
        </is>
      </c>
      <c r="I148" s="133" t="inlineStr">
        <is>
          <t>Vantage Risk Advisors</t>
        </is>
      </c>
      <c r="J148" s="133" t="inlineStr">
        <is>
          <t>Analytics Add-On</t>
        </is>
      </c>
      <c r="K148" s="135" t="n">
        <v>1500</v>
      </c>
      <c r="L148" s="148">
        <f>IFERROR(INDEX('Sales Roster &amp; Quotas'!$G$6:$G$20,MATCH($B148,'Sales Roster &amp; Quotas'!$B$6:$B$20,0)),0)</f>
        <v/>
      </c>
      <c r="M148" s="149">
        <f>SUMIFS($K$5:$K$274,$B$5:$B$274,$B148,$G$5:$G$274,$G148,$H$5:$H$274,"New Business")</f>
        <v/>
      </c>
      <c r="N148" s="150">
        <f>IFERROR(M148/L148,0)</f>
        <v/>
      </c>
      <c r="O148" s="149">
        <f>MIN(M148,L148)</f>
        <v/>
      </c>
      <c r="P148" s="149">
        <f>MAX(MIN(M148,L148*1.25)-L148,0)</f>
        <v/>
      </c>
      <c r="Q148" s="149">
        <f>MAX(M148-L148*1.25,0)</f>
        <v/>
      </c>
      <c r="R148" s="148">
        <f>O148*'Commission Plan Rules'!$F$6+P148*'Commission Plan Rules'!$F$7+Q148*'Commission Plan Rules'!$F$8</f>
        <v/>
      </c>
      <c r="S148" s="151">
        <f>IF(H148="New Business",IFERROR((K148/M148)*R148,0),IF(H148="Upsell",K148*'Commission Plan Rules'!$F$9,IF(H148="Renewal",K148*'Commission Plan Rules'!$F$10,0)))</f>
        <v/>
      </c>
      <c r="T148" s="141">
        <f>COUNTIFS($F$5:$F$274,F148,$K$5:$K$274,"&gt;"&amp;K148)+1</f>
        <v/>
      </c>
      <c r="U148" s="141">
        <f>F148&amp;"|"&amp;T148</f>
        <v/>
      </c>
    </row>
    <row r="149" ht="15" customHeight="1" s="107">
      <c r="A149" s="130" t="inlineStr">
        <is>
          <t>D00261</t>
        </is>
      </c>
      <c r="B149" s="130" t="inlineStr">
        <is>
          <t>R015</t>
        </is>
      </c>
      <c r="C149" s="140">
        <f>IFERROR(INDEX('Sales Roster &amp; Quotas'!$C$6:$C$20,MATCH($B149,'Sales Roster &amp; Quotas'!$B$6:$B$20,0)),"")</f>
        <v/>
      </c>
      <c r="D149" s="140">
        <f>IFERROR(INDEX('Sales Roster &amp; Quotas'!$D$6:$D$20,MATCH($B149,'Sales Roster &amp; Quotas'!$B$6:$B$20,0)),"")</f>
        <v/>
      </c>
      <c r="E149" s="131" t="n">
        <v>46108</v>
      </c>
      <c r="F149" s="141">
        <f>TEXT(E149,"yyyy-mm")</f>
        <v/>
      </c>
      <c r="G149" s="141">
        <f>IF(MONTH(E149)&lt;=3,"Q1","Q2")</f>
        <v/>
      </c>
      <c r="H149" s="130" t="inlineStr">
        <is>
          <t>Renewal</t>
        </is>
      </c>
      <c r="I149" s="130" t="inlineStr">
        <is>
          <t>Cedarline Risk Advisors</t>
        </is>
      </c>
      <c r="J149" s="130" t="inlineStr">
        <is>
          <t>Policy Admin Core</t>
        </is>
      </c>
      <c r="K149" s="132" t="n">
        <v>141000</v>
      </c>
      <c r="L149" s="142">
        <f>IFERROR(INDEX('Sales Roster &amp; Quotas'!$G$6:$G$20,MATCH($B149,'Sales Roster &amp; Quotas'!$B$6:$B$20,0)),0)</f>
        <v/>
      </c>
      <c r="M149" s="143">
        <f>SUMIFS($K$5:$K$274,$B$5:$B$274,$B149,$G$5:$G$274,$G149,$H$5:$H$274,"New Business")</f>
        <v/>
      </c>
      <c r="N149" s="144">
        <f>IFERROR(M149/L149,0)</f>
        <v/>
      </c>
      <c r="O149" s="143">
        <f>MIN(M149,L149)</f>
        <v/>
      </c>
      <c r="P149" s="143">
        <f>MAX(MIN(M149,L149*1.25)-L149,0)</f>
        <v/>
      </c>
      <c r="Q149" s="143">
        <f>MAX(M149-L149*1.25,0)</f>
        <v/>
      </c>
      <c r="R149" s="142">
        <f>O149*'Commission Plan Rules'!$F$6+P149*'Commission Plan Rules'!$F$7+Q149*'Commission Plan Rules'!$F$8</f>
        <v/>
      </c>
      <c r="S149" s="145">
        <f>IF(H149="New Business",IFERROR((K149/M149)*R149,0),IF(H149="Upsell",K149*'Commission Plan Rules'!$F$9,IF(H149="Renewal",K149*'Commission Plan Rules'!$F$10,0)))</f>
        <v/>
      </c>
      <c r="T149" s="141">
        <f>COUNTIFS($F$5:$F$274,F149,$K$5:$K$274,"&gt;"&amp;K149)+1</f>
        <v/>
      </c>
      <c r="U149" s="141">
        <f>F149&amp;"|"&amp;T149</f>
        <v/>
      </c>
    </row>
    <row r="150" ht="15" customHeight="1" s="107">
      <c r="A150" s="133" t="inlineStr">
        <is>
          <t>D00254</t>
        </is>
      </c>
      <c r="B150" s="133" t="inlineStr">
        <is>
          <t>R014</t>
        </is>
      </c>
      <c r="C150" s="146">
        <f>IFERROR(INDEX('Sales Roster &amp; Quotas'!$C$6:$C$20,MATCH($B150,'Sales Roster &amp; Quotas'!$B$6:$B$20,0)),"")</f>
        <v/>
      </c>
      <c r="D150" s="146">
        <f>IFERROR(INDEX('Sales Roster &amp; Quotas'!$D$6:$D$20,MATCH($B150,'Sales Roster &amp; Quotas'!$B$6:$B$20,0)),"")</f>
        <v/>
      </c>
      <c r="E150" s="134" t="n">
        <v>46114</v>
      </c>
      <c r="F150" s="147">
        <f>TEXT(E150,"yyyy-mm")</f>
        <v/>
      </c>
      <c r="G150" s="147">
        <f>IF(MONTH(E150)&lt;=3,"Q1","Q2")</f>
        <v/>
      </c>
      <c r="H150" s="133" t="inlineStr">
        <is>
          <t>Renewal</t>
        </is>
      </c>
      <c r="I150" s="133" t="inlineStr">
        <is>
          <t>Granite Coverage Partners</t>
        </is>
      </c>
      <c r="J150" s="133" t="inlineStr">
        <is>
          <t>Policy Admin Core</t>
        </is>
      </c>
      <c r="K150" s="135" t="n">
        <v>147500</v>
      </c>
      <c r="L150" s="148">
        <f>IFERROR(INDEX('Sales Roster &amp; Quotas'!$G$6:$G$20,MATCH($B150,'Sales Roster &amp; Quotas'!$B$6:$B$20,0)),0)</f>
        <v/>
      </c>
      <c r="M150" s="149">
        <f>SUMIFS($K$5:$K$274,$B$5:$B$274,$B150,$G$5:$G$274,$G150,$H$5:$H$274,"New Business")</f>
        <v/>
      </c>
      <c r="N150" s="150">
        <f>IFERROR(M150/L150,0)</f>
        <v/>
      </c>
      <c r="O150" s="149">
        <f>MIN(M150,L150)</f>
        <v/>
      </c>
      <c r="P150" s="149">
        <f>MAX(MIN(M150,L150*1.25)-L150,0)</f>
        <v/>
      </c>
      <c r="Q150" s="149">
        <f>MAX(M150-L150*1.25,0)</f>
        <v/>
      </c>
      <c r="R150" s="148">
        <f>O150*'Commission Plan Rules'!$F$6+P150*'Commission Plan Rules'!$F$7+Q150*'Commission Plan Rules'!$F$8</f>
        <v/>
      </c>
      <c r="S150" s="151">
        <f>IF(H150="New Business",IFERROR((K150/M150)*R150,0),IF(H150="Upsell",K150*'Commission Plan Rules'!$F$9,IF(H150="Renewal",K150*'Commission Plan Rules'!$F$10,0)))</f>
        <v/>
      </c>
      <c r="T150" s="141">
        <f>COUNTIFS($F$5:$F$274,F150,$K$5:$K$274,"&gt;"&amp;K150)+1</f>
        <v/>
      </c>
      <c r="U150" s="141">
        <f>F150&amp;"|"&amp;T150</f>
        <v/>
      </c>
    </row>
    <row r="151" ht="15" customHeight="1" s="107">
      <c r="A151" s="130" t="inlineStr">
        <is>
          <t>D00136</t>
        </is>
      </c>
      <c r="B151" s="130" t="inlineStr">
        <is>
          <t>R007</t>
        </is>
      </c>
      <c r="C151" s="140">
        <f>IFERROR(INDEX('Sales Roster &amp; Quotas'!$C$6:$C$20,MATCH($B151,'Sales Roster &amp; Quotas'!$B$6:$B$20,0)),"")</f>
        <v/>
      </c>
      <c r="D151" s="140">
        <f>IFERROR(INDEX('Sales Roster &amp; Quotas'!$D$6:$D$20,MATCH($B151,'Sales Roster &amp; Quotas'!$B$6:$B$20,0)),"")</f>
        <v/>
      </c>
      <c r="E151" s="131" t="n">
        <v>46114</v>
      </c>
      <c r="F151" s="141">
        <f>TEXT(E151,"yyyy-mm")</f>
        <v/>
      </c>
      <c r="G151" s="141">
        <f>IF(MONTH(E151)&lt;=3,"Q1","Q2")</f>
        <v/>
      </c>
      <c r="H151" s="130" t="inlineStr">
        <is>
          <t>New Business</t>
        </is>
      </c>
      <c r="I151" s="130" t="inlineStr">
        <is>
          <t>Overlook Insurance Solutions</t>
        </is>
      </c>
      <c r="J151" s="130" t="inlineStr">
        <is>
          <t>Policy Admin Core</t>
        </is>
      </c>
      <c r="K151" s="132" t="n">
        <v>51000</v>
      </c>
      <c r="L151" s="142">
        <f>IFERROR(INDEX('Sales Roster &amp; Quotas'!$G$6:$G$20,MATCH($B151,'Sales Roster &amp; Quotas'!$B$6:$B$20,0)),0)</f>
        <v/>
      </c>
      <c r="M151" s="143">
        <f>SUMIFS($K$5:$K$274,$B$5:$B$274,$B151,$G$5:$G$274,$G151,$H$5:$H$274,"New Business")</f>
        <v/>
      </c>
      <c r="N151" s="144">
        <f>IFERROR(M151/L151,0)</f>
        <v/>
      </c>
      <c r="O151" s="143">
        <f>MIN(M151,L151)</f>
        <v/>
      </c>
      <c r="P151" s="143">
        <f>MAX(MIN(M151,L151*1.25)-L151,0)</f>
        <v/>
      </c>
      <c r="Q151" s="143">
        <f>MAX(M151-L151*1.25,0)</f>
        <v/>
      </c>
      <c r="R151" s="142">
        <f>O151*'Commission Plan Rules'!$F$6+P151*'Commission Plan Rules'!$F$7+Q151*'Commission Plan Rules'!$F$8</f>
        <v/>
      </c>
      <c r="S151" s="145">
        <f>IF(H151="New Business",IFERROR((K151/M151)*R151,0),IF(H151="Upsell",K151*'Commission Plan Rules'!$F$9,IF(H151="Renewal",K151*'Commission Plan Rules'!$F$10,0)))</f>
        <v/>
      </c>
      <c r="T151" s="141">
        <f>COUNTIFS($F$5:$F$274,F151,$K$5:$K$274,"&gt;"&amp;K151)+1</f>
        <v/>
      </c>
      <c r="U151" s="141">
        <f>F151&amp;"|"&amp;T151</f>
        <v/>
      </c>
    </row>
    <row r="152" ht="15" customHeight="1" s="107">
      <c r="A152" s="133" t="inlineStr">
        <is>
          <t>D00076</t>
        </is>
      </c>
      <c r="B152" s="133" t="inlineStr">
        <is>
          <t>R004</t>
        </is>
      </c>
      <c r="C152" s="146">
        <f>IFERROR(INDEX('Sales Roster &amp; Quotas'!$C$6:$C$20,MATCH($B152,'Sales Roster &amp; Quotas'!$B$6:$B$20,0)),"")</f>
        <v/>
      </c>
      <c r="D152" s="146">
        <f>IFERROR(INDEX('Sales Roster &amp; Quotas'!$D$6:$D$20,MATCH($B152,'Sales Roster &amp; Quotas'!$B$6:$B$20,0)),"")</f>
        <v/>
      </c>
      <c r="E152" s="134" t="n">
        <v>46115</v>
      </c>
      <c r="F152" s="147">
        <f>TEXT(E152,"yyyy-mm")</f>
        <v/>
      </c>
      <c r="G152" s="147">
        <f>IF(MONTH(E152)&lt;=3,"Q1","Q2")</f>
        <v/>
      </c>
      <c r="H152" s="133" t="inlineStr">
        <is>
          <t>New Business</t>
        </is>
      </c>
      <c r="I152" s="133" t="inlineStr">
        <is>
          <t>Vantage Coverage Partners</t>
        </is>
      </c>
      <c r="J152" s="133" t="inlineStr">
        <is>
          <t>Client Portal</t>
        </is>
      </c>
      <c r="K152" s="135" t="n">
        <v>23000</v>
      </c>
      <c r="L152" s="148">
        <f>IFERROR(INDEX('Sales Roster &amp; Quotas'!$G$6:$G$20,MATCH($B152,'Sales Roster &amp; Quotas'!$B$6:$B$20,0)),0)</f>
        <v/>
      </c>
      <c r="M152" s="149">
        <f>SUMIFS($K$5:$K$274,$B$5:$B$274,$B152,$G$5:$G$274,$G152,$H$5:$H$274,"New Business")</f>
        <v/>
      </c>
      <c r="N152" s="150">
        <f>IFERROR(M152/L152,0)</f>
        <v/>
      </c>
      <c r="O152" s="149">
        <f>MIN(M152,L152)</f>
        <v/>
      </c>
      <c r="P152" s="149">
        <f>MAX(MIN(M152,L152*1.25)-L152,0)</f>
        <v/>
      </c>
      <c r="Q152" s="149">
        <f>MAX(M152-L152*1.25,0)</f>
        <v/>
      </c>
      <c r="R152" s="148">
        <f>O152*'Commission Plan Rules'!$F$6+P152*'Commission Plan Rules'!$F$7+Q152*'Commission Plan Rules'!$F$8</f>
        <v/>
      </c>
      <c r="S152" s="151">
        <f>IF(H152="New Business",IFERROR((K152/M152)*R152,0),IF(H152="Upsell",K152*'Commission Plan Rules'!$F$9,IF(H152="Renewal",K152*'Commission Plan Rules'!$F$10,0)))</f>
        <v/>
      </c>
      <c r="T152" s="141">
        <f>COUNTIFS($F$5:$F$274,F152,$K$5:$K$274,"&gt;"&amp;K152)+1</f>
        <v/>
      </c>
      <c r="U152" s="141">
        <f>F152&amp;"|"&amp;T152</f>
        <v/>
      </c>
    </row>
    <row r="153" ht="15" customHeight="1" s="107">
      <c r="A153" s="130" t="inlineStr">
        <is>
          <t>D00114</t>
        </is>
      </c>
      <c r="B153" s="130" t="inlineStr">
        <is>
          <t>R006</t>
        </is>
      </c>
      <c r="C153" s="140">
        <f>IFERROR(INDEX('Sales Roster &amp; Quotas'!$C$6:$C$20,MATCH($B153,'Sales Roster &amp; Quotas'!$B$6:$B$20,0)),"")</f>
        <v/>
      </c>
      <c r="D153" s="140">
        <f>IFERROR(INDEX('Sales Roster &amp; Quotas'!$D$6:$D$20,MATCH($B153,'Sales Roster &amp; Quotas'!$B$6:$B$20,0)),"")</f>
        <v/>
      </c>
      <c r="E153" s="131" t="n">
        <v>46115</v>
      </c>
      <c r="F153" s="141">
        <f>TEXT(E153,"yyyy-mm")</f>
        <v/>
      </c>
      <c r="G153" s="141">
        <f>IF(MONTH(E153)&lt;=3,"Q1","Q2")</f>
        <v/>
      </c>
      <c r="H153" s="130" t="inlineStr">
        <is>
          <t>New Business</t>
        </is>
      </c>
      <c r="I153" s="130" t="inlineStr">
        <is>
          <t>Cedarline Coverage Partners</t>
        </is>
      </c>
      <c r="J153" s="130" t="inlineStr">
        <is>
          <t>Policy Admin Core</t>
        </is>
      </c>
      <c r="K153" s="132" t="n">
        <v>35500</v>
      </c>
      <c r="L153" s="142">
        <f>IFERROR(INDEX('Sales Roster &amp; Quotas'!$G$6:$G$20,MATCH($B153,'Sales Roster &amp; Quotas'!$B$6:$B$20,0)),0)</f>
        <v/>
      </c>
      <c r="M153" s="143">
        <f>SUMIFS($K$5:$K$274,$B$5:$B$274,$B153,$G$5:$G$274,$G153,$H$5:$H$274,"New Business")</f>
        <v/>
      </c>
      <c r="N153" s="144">
        <f>IFERROR(M153/L153,0)</f>
        <v/>
      </c>
      <c r="O153" s="143">
        <f>MIN(M153,L153)</f>
        <v/>
      </c>
      <c r="P153" s="143">
        <f>MAX(MIN(M153,L153*1.25)-L153,0)</f>
        <v/>
      </c>
      <c r="Q153" s="143">
        <f>MAX(M153-L153*1.25,0)</f>
        <v/>
      </c>
      <c r="R153" s="142">
        <f>O153*'Commission Plan Rules'!$F$6+P153*'Commission Plan Rules'!$F$7+Q153*'Commission Plan Rules'!$F$8</f>
        <v/>
      </c>
      <c r="S153" s="145">
        <f>IF(H153="New Business",IFERROR((K153/M153)*R153,0),IF(H153="Upsell",K153*'Commission Plan Rules'!$F$9,IF(H153="Renewal",K153*'Commission Plan Rules'!$F$10,0)))</f>
        <v/>
      </c>
      <c r="T153" s="141">
        <f>COUNTIFS($F$5:$F$274,F153,$K$5:$K$274,"&gt;"&amp;K153)+1</f>
        <v/>
      </c>
      <c r="U153" s="141">
        <f>F153&amp;"|"&amp;T153</f>
        <v/>
      </c>
    </row>
    <row r="154" ht="15" customHeight="1" s="107">
      <c r="A154" s="133" t="inlineStr">
        <is>
          <t>D00137</t>
        </is>
      </c>
      <c r="B154" s="133" t="inlineStr">
        <is>
          <t>R007</t>
        </is>
      </c>
      <c r="C154" s="146">
        <f>IFERROR(INDEX('Sales Roster &amp; Quotas'!$C$6:$C$20,MATCH($B154,'Sales Roster &amp; Quotas'!$B$6:$B$20,0)),"")</f>
        <v/>
      </c>
      <c r="D154" s="146">
        <f>IFERROR(INDEX('Sales Roster &amp; Quotas'!$D$6:$D$20,MATCH($B154,'Sales Roster &amp; Quotas'!$B$6:$B$20,0)),"")</f>
        <v/>
      </c>
      <c r="E154" s="134" t="n">
        <v>46115</v>
      </c>
      <c r="F154" s="147">
        <f>TEXT(E154,"yyyy-mm")</f>
        <v/>
      </c>
      <c r="G154" s="147">
        <f>IF(MONTH(E154)&lt;=3,"Q1","Q2")</f>
        <v/>
      </c>
      <c r="H154" s="133" t="inlineStr">
        <is>
          <t>New Business</t>
        </is>
      </c>
      <c r="I154" s="133" t="inlineStr">
        <is>
          <t>Summit Agency Partners</t>
        </is>
      </c>
      <c r="J154" s="133" t="inlineStr">
        <is>
          <t>Policy Admin Core</t>
        </is>
      </c>
      <c r="K154" s="135" t="n">
        <v>9500</v>
      </c>
      <c r="L154" s="148">
        <f>IFERROR(INDEX('Sales Roster &amp; Quotas'!$G$6:$G$20,MATCH($B154,'Sales Roster &amp; Quotas'!$B$6:$B$20,0)),0)</f>
        <v/>
      </c>
      <c r="M154" s="149">
        <f>SUMIFS($K$5:$K$274,$B$5:$B$274,$B154,$G$5:$G$274,$G154,$H$5:$H$274,"New Business")</f>
        <v/>
      </c>
      <c r="N154" s="150">
        <f>IFERROR(M154/L154,0)</f>
        <v/>
      </c>
      <c r="O154" s="149">
        <f>MIN(M154,L154)</f>
        <v/>
      </c>
      <c r="P154" s="149">
        <f>MAX(MIN(M154,L154*1.25)-L154,0)</f>
        <v/>
      </c>
      <c r="Q154" s="149">
        <f>MAX(M154-L154*1.25,0)</f>
        <v/>
      </c>
      <c r="R154" s="148">
        <f>O154*'Commission Plan Rules'!$F$6+P154*'Commission Plan Rules'!$F$7+Q154*'Commission Plan Rules'!$F$8</f>
        <v/>
      </c>
      <c r="S154" s="151">
        <f>IF(H154="New Business",IFERROR((K154/M154)*R154,0),IF(H154="Upsell",K154*'Commission Plan Rules'!$F$9,IF(H154="Renewal",K154*'Commission Plan Rules'!$F$10,0)))</f>
        <v/>
      </c>
      <c r="T154" s="141">
        <f>COUNTIFS($F$5:$F$274,F154,$K$5:$K$274,"&gt;"&amp;K154)+1</f>
        <v/>
      </c>
      <c r="U154" s="141">
        <f>F154&amp;"|"&amp;T154</f>
        <v/>
      </c>
    </row>
    <row r="155" ht="15" customHeight="1" s="107">
      <c r="A155" s="130" t="inlineStr">
        <is>
          <t>D00240</t>
        </is>
      </c>
      <c r="B155" s="130" t="inlineStr">
        <is>
          <t>R013</t>
        </is>
      </c>
      <c r="C155" s="140">
        <f>IFERROR(INDEX('Sales Roster &amp; Quotas'!$C$6:$C$20,MATCH($B155,'Sales Roster &amp; Quotas'!$B$6:$B$20,0)),"")</f>
        <v/>
      </c>
      <c r="D155" s="140">
        <f>IFERROR(INDEX('Sales Roster &amp; Quotas'!$D$6:$D$20,MATCH($B155,'Sales Roster &amp; Quotas'!$B$6:$B$20,0)),"")</f>
        <v/>
      </c>
      <c r="E155" s="131" t="n">
        <v>46116</v>
      </c>
      <c r="F155" s="141">
        <f>TEXT(E155,"yyyy-mm")</f>
        <v/>
      </c>
      <c r="G155" s="141">
        <f>IF(MONTH(E155)&lt;=3,"Q1","Q2")</f>
        <v/>
      </c>
      <c r="H155" s="130" t="inlineStr">
        <is>
          <t>Upsell</t>
        </is>
      </c>
      <c r="I155" s="130" t="inlineStr">
        <is>
          <t>Granite Agency Partners</t>
        </is>
      </c>
      <c r="J155" s="130" t="inlineStr">
        <is>
          <t>Claims Module</t>
        </is>
      </c>
      <c r="K155" s="132" t="n">
        <v>121500</v>
      </c>
      <c r="L155" s="142">
        <f>IFERROR(INDEX('Sales Roster &amp; Quotas'!$G$6:$G$20,MATCH($B155,'Sales Roster &amp; Quotas'!$B$6:$B$20,0)),0)</f>
        <v/>
      </c>
      <c r="M155" s="143">
        <f>SUMIFS($K$5:$K$274,$B$5:$B$274,$B155,$G$5:$G$274,$G155,$H$5:$H$274,"New Business")</f>
        <v/>
      </c>
      <c r="N155" s="144">
        <f>IFERROR(M155/L155,0)</f>
        <v/>
      </c>
      <c r="O155" s="143">
        <f>MIN(M155,L155)</f>
        <v/>
      </c>
      <c r="P155" s="143">
        <f>MAX(MIN(M155,L155*1.25)-L155,0)</f>
        <v/>
      </c>
      <c r="Q155" s="143">
        <f>MAX(M155-L155*1.25,0)</f>
        <v/>
      </c>
      <c r="R155" s="142">
        <f>O155*'Commission Plan Rules'!$F$6+P155*'Commission Plan Rules'!$F$7+Q155*'Commission Plan Rules'!$F$8</f>
        <v/>
      </c>
      <c r="S155" s="145">
        <f>IF(H155="New Business",IFERROR((K155/M155)*R155,0),IF(H155="Upsell",K155*'Commission Plan Rules'!$F$9,IF(H155="Renewal",K155*'Commission Plan Rules'!$F$10,0)))</f>
        <v/>
      </c>
      <c r="T155" s="141">
        <f>COUNTIFS($F$5:$F$274,F155,$K$5:$K$274,"&gt;"&amp;K155)+1</f>
        <v/>
      </c>
      <c r="U155" s="141">
        <f>F155&amp;"|"&amp;T155</f>
        <v/>
      </c>
    </row>
    <row r="156" ht="15" customHeight="1" s="107">
      <c r="A156" s="133" t="inlineStr">
        <is>
          <t>D00017</t>
        </is>
      </c>
      <c r="B156" s="133" t="inlineStr">
        <is>
          <t>R001</t>
        </is>
      </c>
      <c r="C156" s="146">
        <f>IFERROR(INDEX('Sales Roster &amp; Quotas'!$C$6:$C$20,MATCH($B156,'Sales Roster &amp; Quotas'!$B$6:$B$20,0)),"")</f>
        <v/>
      </c>
      <c r="D156" s="146">
        <f>IFERROR(INDEX('Sales Roster &amp; Quotas'!$D$6:$D$20,MATCH($B156,'Sales Roster &amp; Quotas'!$B$6:$B$20,0)),"")</f>
        <v/>
      </c>
      <c r="E156" s="134" t="n">
        <v>46116</v>
      </c>
      <c r="F156" s="147">
        <f>TEXT(E156,"yyyy-mm")</f>
        <v/>
      </c>
      <c r="G156" s="147">
        <f>IF(MONTH(E156)&lt;=3,"Q1","Q2")</f>
        <v/>
      </c>
      <c r="H156" s="133" t="inlineStr">
        <is>
          <t>New Business</t>
        </is>
      </c>
      <c r="I156" s="133" t="inlineStr">
        <is>
          <t>Pinnacle Risk Advisors</t>
        </is>
      </c>
      <c r="J156" s="133" t="inlineStr">
        <is>
          <t>Policy Admin Core</t>
        </is>
      </c>
      <c r="K156" s="135" t="n">
        <v>3000</v>
      </c>
      <c r="L156" s="148">
        <f>IFERROR(INDEX('Sales Roster &amp; Quotas'!$G$6:$G$20,MATCH($B156,'Sales Roster &amp; Quotas'!$B$6:$B$20,0)),0)</f>
        <v/>
      </c>
      <c r="M156" s="149">
        <f>SUMIFS($K$5:$K$274,$B$5:$B$274,$B156,$G$5:$G$274,$G156,$H$5:$H$274,"New Business")</f>
        <v/>
      </c>
      <c r="N156" s="150">
        <f>IFERROR(M156/L156,0)</f>
        <v/>
      </c>
      <c r="O156" s="149">
        <f>MIN(M156,L156)</f>
        <v/>
      </c>
      <c r="P156" s="149">
        <f>MAX(MIN(M156,L156*1.25)-L156,0)</f>
        <v/>
      </c>
      <c r="Q156" s="149">
        <f>MAX(M156-L156*1.25,0)</f>
        <v/>
      </c>
      <c r="R156" s="148">
        <f>O156*'Commission Plan Rules'!$F$6+P156*'Commission Plan Rules'!$F$7+Q156*'Commission Plan Rules'!$F$8</f>
        <v/>
      </c>
      <c r="S156" s="151">
        <f>IF(H156="New Business",IFERROR((K156/M156)*R156,0),IF(H156="Upsell",K156*'Commission Plan Rules'!$F$9,IF(H156="Renewal",K156*'Commission Plan Rules'!$F$10,0)))</f>
        <v/>
      </c>
      <c r="T156" s="141">
        <f>COUNTIFS($F$5:$F$274,F156,$K$5:$K$274,"&gt;"&amp;K156)+1</f>
        <v/>
      </c>
      <c r="U156" s="141">
        <f>F156&amp;"|"&amp;T156</f>
        <v/>
      </c>
    </row>
    <row r="157" ht="15" customHeight="1" s="107">
      <c r="A157" s="130" t="inlineStr">
        <is>
          <t>D00226</t>
        </is>
      </c>
      <c r="B157" s="130" t="inlineStr">
        <is>
          <t>R012</t>
        </is>
      </c>
      <c r="C157" s="140">
        <f>IFERROR(INDEX('Sales Roster &amp; Quotas'!$C$6:$C$20,MATCH($B157,'Sales Roster &amp; Quotas'!$B$6:$B$20,0)),"")</f>
        <v/>
      </c>
      <c r="D157" s="140">
        <f>IFERROR(INDEX('Sales Roster &amp; Quotas'!$D$6:$D$20,MATCH($B157,'Sales Roster &amp; Quotas'!$B$6:$B$20,0)),"")</f>
        <v/>
      </c>
      <c r="E157" s="131" t="n">
        <v>46116</v>
      </c>
      <c r="F157" s="141">
        <f>TEXT(E157,"yyyy-mm")</f>
        <v/>
      </c>
      <c r="G157" s="141">
        <f>IF(MONTH(E157)&lt;=3,"Q1","Q2")</f>
        <v/>
      </c>
      <c r="H157" s="130" t="inlineStr">
        <is>
          <t>New Business</t>
        </is>
      </c>
      <c r="I157" s="130" t="inlineStr">
        <is>
          <t>Ironwood Risk Advisors</t>
        </is>
      </c>
      <c r="J157" s="130" t="inlineStr">
        <is>
          <t>Claims Module</t>
        </is>
      </c>
      <c r="K157" s="132" t="n">
        <v>35000</v>
      </c>
      <c r="L157" s="142">
        <f>IFERROR(INDEX('Sales Roster &amp; Quotas'!$G$6:$G$20,MATCH($B157,'Sales Roster &amp; Quotas'!$B$6:$B$20,0)),0)</f>
        <v/>
      </c>
      <c r="M157" s="143">
        <f>SUMIFS($K$5:$K$274,$B$5:$B$274,$B157,$G$5:$G$274,$G157,$H$5:$H$274,"New Business")</f>
        <v/>
      </c>
      <c r="N157" s="144">
        <f>IFERROR(M157/L157,0)</f>
        <v/>
      </c>
      <c r="O157" s="143">
        <f>MIN(M157,L157)</f>
        <v/>
      </c>
      <c r="P157" s="143">
        <f>MAX(MIN(M157,L157*1.25)-L157,0)</f>
        <v/>
      </c>
      <c r="Q157" s="143">
        <f>MAX(M157-L157*1.25,0)</f>
        <v/>
      </c>
      <c r="R157" s="142">
        <f>O157*'Commission Plan Rules'!$F$6+P157*'Commission Plan Rules'!$F$7+Q157*'Commission Plan Rules'!$F$8</f>
        <v/>
      </c>
      <c r="S157" s="145">
        <f>IF(H157="New Business",IFERROR((K157/M157)*R157,0),IF(H157="Upsell",K157*'Commission Plan Rules'!$F$9,IF(H157="Renewal",K157*'Commission Plan Rules'!$F$10,0)))</f>
        <v/>
      </c>
      <c r="T157" s="141">
        <f>COUNTIFS($F$5:$F$274,F157,$K$5:$K$274,"&gt;"&amp;K157)+1</f>
        <v/>
      </c>
      <c r="U157" s="141">
        <f>F157&amp;"|"&amp;T157</f>
        <v/>
      </c>
    </row>
    <row r="158" ht="15" customHeight="1" s="107">
      <c r="A158" s="133" t="inlineStr">
        <is>
          <t>D00213</t>
        </is>
      </c>
      <c r="B158" s="133" t="inlineStr">
        <is>
          <t>R011</t>
        </is>
      </c>
      <c r="C158" s="146">
        <f>IFERROR(INDEX('Sales Roster &amp; Quotas'!$C$6:$C$20,MATCH($B158,'Sales Roster &amp; Quotas'!$B$6:$B$20,0)),"")</f>
        <v/>
      </c>
      <c r="D158" s="146">
        <f>IFERROR(INDEX('Sales Roster &amp; Quotas'!$D$6:$D$20,MATCH($B158,'Sales Roster &amp; Quotas'!$B$6:$B$20,0)),"")</f>
        <v/>
      </c>
      <c r="E158" s="134" t="n">
        <v>46117</v>
      </c>
      <c r="F158" s="147">
        <f>TEXT(E158,"yyyy-mm")</f>
        <v/>
      </c>
      <c r="G158" s="147">
        <f>IF(MONTH(E158)&lt;=3,"Q1","Q2")</f>
        <v/>
      </c>
      <c r="H158" s="133" t="inlineStr">
        <is>
          <t>Renewal</t>
        </is>
      </c>
      <c r="I158" s="133" t="inlineStr">
        <is>
          <t>Highmark Insurance Group</t>
        </is>
      </c>
      <c r="J158" s="133" t="inlineStr">
        <is>
          <t>Policy Admin Core</t>
        </is>
      </c>
      <c r="K158" s="135" t="n">
        <v>49000</v>
      </c>
      <c r="L158" s="148">
        <f>IFERROR(INDEX('Sales Roster &amp; Quotas'!$G$6:$G$20,MATCH($B158,'Sales Roster &amp; Quotas'!$B$6:$B$20,0)),0)</f>
        <v/>
      </c>
      <c r="M158" s="149">
        <f>SUMIFS($K$5:$K$274,$B$5:$B$274,$B158,$G$5:$G$274,$G158,$H$5:$H$274,"New Business")</f>
        <v/>
      </c>
      <c r="N158" s="150">
        <f>IFERROR(M158/L158,0)</f>
        <v/>
      </c>
      <c r="O158" s="149">
        <f>MIN(M158,L158)</f>
        <v/>
      </c>
      <c r="P158" s="149">
        <f>MAX(MIN(M158,L158*1.25)-L158,0)</f>
        <v/>
      </c>
      <c r="Q158" s="149">
        <f>MAX(M158-L158*1.25,0)</f>
        <v/>
      </c>
      <c r="R158" s="148">
        <f>O158*'Commission Plan Rules'!$F$6+P158*'Commission Plan Rules'!$F$7+Q158*'Commission Plan Rules'!$F$8</f>
        <v/>
      </c>
      <c r="S158" s="151">
        <f>IF(H158="New Business",IFERROR((K158/M158)*R158,0),IF(H158="Upsell",K158*'Commission Plan Rules'!$F$9,IF(H158="Renewal",K158*'Commission Plan Rules'!$F$10,0)))</f>
        <v/>
      </c>
      <c r="T158" s="141">
        <f>COUNTIFS($F$5:$F$274,F158,$K$5:$K$274,"&gt;"&amp;K158)+1</f>
        <v/>
      </c>
      <c r="U158" s="141">
        <f>F158&amp;"|"&amp;T158</f>
        <v/>
      </c>
    </row>
    <row r="159" ht="15" customHeight="1" s="107">
      <c r="A159" s="130" t="inlineStr">
        <is>
          <t>D00153</t>
        </is>
      </c>
      <c r="B159" s="130" t="inlineStr">
        <is>
          <t>R008</t>
        </is>
      </c>
      <c r="C159" s="140">
        <f>IFERROR(INDEX('Sales Roster &amp; Quotas'!$C$6:$C$20,MATCH($B159,'Sales Roster &amp; Quotas'!$B$6:$B$20,0)),"")</f>
        <v/>
      </c>
      <c r="D159" s="140">
        <f>IFERROR(INDEX('Sales Roster &amp; Quotas'!$D$6:$D$20,MATCH($B159,'Sales Roster &amp; Quotas'!$B$6:$B$20,0)),"")</f>
        <v/>
      </c>
      <c r="E159" s="131" t="n">
        <v>46117</v>
      </c>
      <c r="F159" s="141">
        <f>TEXT(E159,"yyyy-mm")</f>
        <v/>
      </c>
      <c r="G159" s="141">
        <f>IF(MONTH(E159)&lt;=3,"Q1","Q2")</f>
        <v/>
      </c>
      <c r="H159" s="130" t="inlineStr">
        <is>
          <t>Upsell</t>
        </is>
      </c>
      <c r="I159" s="130" t="inlineStr">
        <is>
          <t>Stonebridge Agency Partners</t>
        </is>
      </c>
      <c r="J159" s="130" t="inlineStr">
        <is>
          <t>Policy Admin Core</t>
        </is>
      </c>
      <c r="K159" s="132" t="n">
        <v>25000</v>
      </c>
      <c r="L159" s="142">
        <f>IFERROR(INDEX('Sales Roster &amp; Quotas'!$G$6:$G$20,MATCH($B159,'Sales Roster &amp; Quotas'!$B$6:$B$20,0)),0)</f>
        <v/>
      </c>
      <c r="M159" s="143">
        <f>SUMIFS($K$5:$K$274,$B$5:$B$274,$B159,$G$5:$G$274,$G159,$H$5:$H$274,"New Business")</f>
        <v/>
      </c>
      <c r="N159" s="144">
        <f>IFERROR(M159/L159,0)</f>
        <v/>
      </c>
      <c r="O159" s="143">
        <f>MIN(M159,L159)</f>
        <v/>
      </c>
      <c r="P159" s="143">
        <f>MAX(MIN(M159,L159*1.25)-L159,0)</f>
        <v/>
      </c>
      <c r="Q159" s="143">
        <f>MAX(M159-L159*1.25,0)</f>
        <v/>
      </c>
      <c r="R159" s="142">
        <f>O159*'Commission Plan Rules'!$F$6+P159*'Commission Plan Rules'!$F$7+Q159*'Commission Plan Rules'!$F$8</f>
        <v/>
      </c>
      <c r="S159" s="145">
        <f>IF(H159="New Business",IFERROR((K159/M159)*R159,0),IF(H159="Upsell",K159*'Commission Plan Rules'!$F$9,IF(H159="Renewal",K159*'Commission Plan Rules'!$F$10,0)))</f>
        <v/>
      </c>
      <c r="T159" s="141">
        <f>COUNTIFS($F$5:$F$274,F159,$K$5:$K$274,"&gt;"&amp;K159)+1</f>
        <v/>
      </c>
      <c r="U159" s="141">
        <f>F159&amp;"|"&amp;T159</f>
        <v/>
      </c>
    </row>
    <row r="160" ht="15" customHeight="1" s="107">
      <c r="A160" s="133" t="inlineStr">
        <is>
          <t>D00173</t>
        </is>
      </c>
      <c r="B160" s="133" t="inlineStr">
        <is>
          <t>R009</t>
        </is>
      </c>
      <c r="C160" s="146">
        <f>IFERROR(INDEX('Sales Roster &amp; Quotas'!$C$6:$C$20,MATCH($B160,'Sales Roster &amp; Quotas'!$B$6:$B$20,0)),"")</f>
        <v/>
      </c>
      <c r="D160" s="146">
        <f>IFERROR(INDEX('Sales Roster &amp; Quotas'!$D$6:$D$20,MATCH($B160,'Sales Roster &amp; Quotas'!$B$6:$B$20,0)),"")</f>
        <v/>
      </c>
      <c r="E160" s="134" t="n">
        <v>46117</v>
      </c>
      <c r="F160" s="147">
        <f>TEXT(E160,"yyyy-mm")</f>
        <v/>
      </c>
      <c r="G160" s="147">
        <f>IF(MONTH(E160)&lt;=3,"Q1","Q2")</f>
        <v/>
      </c>
      <c r="H160" s="133" t="inlineStr">
        <is>
          <t>Upsell</t>
        </is>
      </c>
      <c r="I160" s="133" t="inlineStr">
        <is>
          <t>Summit Insurance Group</t>
        </is>
      </c>
      <c r="J160" s="133" t="inlineStr">
        <is>
          <t>Analytics Add-On</t>
        </is>
      </c>
      <c r="K160" s="135" t="n">
        <v>44500</v>
      </c>
      <c r="L160" s="148">
        <f>IFERROR(INDEX('Sales Roster &amp; Quotas'!$G$6:$G$20,MATCH($B160,'Sales Roster &amp; Quotas'!$B$6:$B$20,0)),0)</f>
        <v/>
      </c>
      <c r="M160" s="149">
        <f>SUMIFS($K$5:$K$274,$B$5:$B$274,$B160,$G$5:$G$274,$G160,$H$5:$H$274,"New Business")</f>
        <v/>
      </c>
      <c r="N160" s="150">
        <f>IFERROR(M160/L160,0)</f>
        <v/>
      </c>
      <c r="O160" s="149">
        <f>MIN(M160,L160)</f>
        <v/>
      </c>
      <c r="P160" s="149">
        <f>MAX(MIN(M160,L160*1.25)-L160,0)</f>
        <v/>
      </c>
      <c r="Q160" s="149">
        <f>MAX(M160-L160*1.25,0)</f>
        <v/>
      </c>
      <c r="R160" s="148">
        <f>O160*'Commission Plan Rules'!$F$6+P160*'Commission Plan Rules'!$F$7+Q160*'Commission Plan Rules'!$F$8</f>
        <v/>
      </c>
      <c r="S160" s="151">
        <f>IF(H160="New Business",IFERROR((K160/M160)*R160,0),IF(H160="Upsell",K160*'Commission Plan Rules'!$F$9,IF(H160="Renewal",K160*'Commission Plan Rules'!$F$10,0)))</f>
        <v/>
      </c>
      <c r="T160" s="141">
        <f>COUNTIFS($F$5:$F$274,F160,$K$5:$K$274,"&gt;"&amp;K160)+1</f>
        <v/>
      </c>
      <c r="U160" s="141">
        <f>F160&amp;"|"&amp;T160</f>
        <v/>
      </c>
    </row>
    <row r="161" ht="15" customHeight="1" s="107">
      <c r="A161" s="130" t="inlineStr">
        <is>
          <t>D00060</t>
        </is>
      </c>
      <c r="B161" s="130" t="inlineStr">
        <is>
          <t>R003</t>
        </is>
      </c>
      <c r="C161" s="140">
        <f>IFERROR(INDEX('Sales Roster &amp; Quotas'!$C$6:$C$20,MATCH($B161,'Sales Roster &amp; Quotas'!$B$6:$B$20,0)),"")</f>
        <v/>
      </c>
      <c r="D161" s="140">
        <f>IFERROR(INDEX('Sales Roster &amp; Quotas'!$D$6:$D$20,MATCH($B161,'Sales Roster &amp; Quotas'!$B$6:$B$20,0)),"")</f>
        <v/>
      </c>
      <c r="E161" s="131" t="n">
        <v>46118</v>
      </c>
      <c r="F161" s="141">
        <f>TEXT(E161,"yyyy-mm")</f>
        <v/>
      </c>
      <c r="G161" s="141">
        <f>IF(MONTH(E161)&lt;=3,"Q1","Q2")</f>
        <v/>
      </c>
      <c r="H161" s="130" t="inlineStr">
        <is>
          <t>Renewal</t>
        </is>
      </c>
      <c r="I161" s="130" t="inlineStr">
        <is>
          <t>Harborview Insurance Brokers</t>
        </is>
      </c>
      <c r="J161" s="130" t="inlineStr">
        <is>
          <t>Policy Admin Core</t>
        </is>
      </c>
      <c r="K161" s="132" t="n">
        <v>22000</v>
      </c>
      <c r="L161" s="142">
        <f>IFERROR(INDEX('Sales Roster &amp; Quotas'!$G$6:$G$20,MATCH($B161,'Sales Roster &amp; Quotas'!$B$6:$B$20,0)),0)</f>
        <v/>
      </c>
      <c r="M161" s="143">
        <f>SUMIFS($K$5:$K$274,$B$5:$B$274,$B161,$G$5:$G$274,$G161,$H$5:$H$274,"New Business")</f>
        <v/>
      </c>
      <c r="N161" s="144">
        <f>IFERROR(M161/L161,0)</f>
        <v/>
      </c>
      <c r="O161" s="143">
        <f>MIN(M161,L161)</f>
        <v/>
      </c>
      <c r="P161" s="143">
        <f>MAX(MIN(M161,L161*1.25)-L161,0)</f>
        <v/>
      </c>
      <c r="Q161" s="143">
        <f>MAX(M161-L161*1.25,0)</f>
        <v/>
      </c>
      <c r="R161" s="142">
        <f>O161*'Commission Plan Rules'!$F$6+P161*'Commission Plan Rules'!$F$7+Q161*'Commission Plan Rules'!$F$8</f>
        <v/>
      </c>
      <c r="S161" s="145">
        <f>IF(H161="New Business",IFERROR((K161/M161)*R161,0),IF(H161="Upsell",K161*'Commission Plan Rules'!$F$9,IF(H161="Renewal",K161*'Commission Plan Rules'!$F$10,0)))</f>
        <v/>
      </c>
      <c r="T161" s="141">
        <f>COUNTIFS($F$5:$F$274,F161,$K$5:$K$274,"&gt;"&amp;K161)+1</f>
        <v/>
      </c>
      <c r="U161" s="141">
        <f>F161&amp;"|"&amp;T161</f>
        <v/>
      </c>
    </row>
    <row r="162" ht="15" customHeight="1" s="107">
      <c r="A162" s="133" t="inlineStr">
        <is>
          <t>D00241</t>
        </is>
      </c>
      <c r="B162" s="133" t="inlineStr">
        <is>
          <t>R013</t>
        </is>
      </c>
      <c r="C162" s="146">
        <f>IFERROR(INDEX('Sales Roster &amp; Quotas'!$C$6:$C$20,MATCH($B162,'Sales Roster &amp; Quotas'!$B$6:$B$20,0)),"")</f>
        <v/>
      </c>
      <c r="D162" s="146">
        <f>IFERROR(INDEX('Sales Roster &amp; Quotas'!$D$6:$D$20,MATCH($B162,'Sales Roster &amp; Quotas'!$B$6:$B$20,0)),"")</f>
        <v/>
      </c>
      <c r="E162" s="134" t="n">
        <v>46120</v>
      </c>
      <c r="F162" s="147">
        <f>TEXT(E162,"yyyy-mm")</f>
        <v/>
      </c>
      <c r="G162" s="147">
        <f>IF(MONTH(E162)&lt;=3,"Q1","Q2")</f>
        <v/>
      </c>
      <c r="H162" s="133" t="inlineStr">
        <is>
          <t>Upsell</t>
        </is>
      </c>
      <c r="I162" s="133" t="inlineStr">
        <is>
          <t>Summit Underwriters</t>
        </is>
      </c>
      <c r="J162" s="133" t="inlineStr">
        <is>
          <t>Analytics Add-On</t>
        </is>
      </c>
      <c r="K162" s="135" t="n">
        <v>70500</v>
      </c>
      <c r="L162" s="148">
        <f>IFERROR(INDEX('Sales Roster &amp; Quotas'!$G$6:$G$20,MATCH($B162,'Sales Roster &amp; Quotas'!$B$6:$B$20,0)),0)</f>
        <v/>
      </c>
      <c r="M162" s="149">
        <f>SUMIFS($K$5:$K$274,$B$5:$B$274,$B162,$G$5:$G$274,$G162,$H$5:$H$274,"New Business")</f>
        <v/>
      </c>
      <c r="N162" s="150">
        <f>IFERROR(M162/L162,0)</f>
        <v/>
      </c>
      <c r="O162" s="149">
        <f>MIN(M162,L162)</f>
        <v/>
      </c>
      <c r="P162" s="149">
        <f>MAX(MIN(M162,L162*1.25)-L162,0)</f>
        <v/>
      </c>
      <c r="Q162" s="149">
        <f>MAX(M162-L162*1.25,0)</f>
        <v/>
      </c>
      <c r="R162" s="148">
        <f>O162*'Commission Plan Rules'!$F$6+P162*'Commission Plan Rules'!$F$7+Q162*'Commission Plan Rules'!$F$8</f>
        <v/>
      </c>
      <c r="S162" s="151">
        <f>IF(H162="New Business",IFERROR((K162/M162)*R162,0),IF(H162="Upsell",K162*'Commission Plan Rules'!$F$9,IF(H162="Renewal",K162*'Commission Plan Rules'!$F$10,0)))</f>
        <v/>
      </c>
      <c r="T162" s="141">
        <f>COUNTIFS($F$5:$F$274,F162,$K$5:$K$274,"&gt;"&amp;K162)+1</f>
        <v/>
      </c>
      <c r="U162" s="141">
        <f>F162&amp;"|"&amp;T162</f>
        <v/>
      </c>
    </row>
    <row r="163" ht="15" customHeight="1" s="107">
      <c r="A163" s="130" t="inlineStr">
        <is>
          <t>D00059</t>
        </is>
      </c>
      <c r="B163" s="130" t="inlineStr">
        <is>
          <t>R003</t>
        </is>
      </c>
      <c r="C163" s="140">
        <f>IFERROR(INDEX('Sales Roster &amp; Quotas'!$C$6:$C$20,MATCH($B163,'Sales Roster &amp; Quotas'!$B$6:$B$20,0)),"")</f>
        <v/>
      </c>
      <c r="D163" s="140">
        <f>IFERROR(INDEX('Sales Roster &amp; Quotas'!$D$6:$D$20,MATCH($B163,'Sales Roster &amp; Quotas'!$B$6:$B$20,0)),"")</f>
        <v/>
      </c>
      <c r="E163" s="131" t="n">
        <v>46120</v>
      </c>
      <c r="F163" s="141">
        <f>TEXT(E163,"yyyy-mm")</f>
        <v/>
      </c>
      <c r="G163" s="141">
        <f>IF(MONTH(E163)&lt;=3,"Q1","Q2")</f>
        <v/>
      </c>
      <c r="H163" s="130" t="inlineStr">
        <is>
          <t>Renewal</t>
        </is>
      </c>
      <c r="I163" s="130" t="inlineStr">
        <is>
          <t>Summit Insurance Group</t>
        </is>
      </c>
      <c r="J163" s="130" t="inlineStr">
        <is>
          <t>Claims Module</t>
        </is>
      </c>
      <c r="K163" s="132" t="n">
        <v>11000</v>
      </c>
      <c r="L163" s="142">
        <f>IFERROR(INDEX('Sales Roster &amp; Quotas'!$G$6:$G$20,MATCH($B163,'Sales Roster &amp; Quotas'!$B$6:$B$20,0)),0)</f>
        <v/>
      </c>
      <c r="M163" s="143">
        <f>SUMIFS($K$5:$K$274,$B$5:$B$274,$B163,$G$5:$G$274,$G163,$H$5:$H$274,"New Business")</f>
        <v/>
      </c>
      <c r="N163" s="144">
        <f>IFERROR(M163/L163,0)</f>
        <v/>
      </c>
      <c r="O163" s="143">
        <f>MIN(M163,L163)</f>
        <v/>
      </c>
      <c r="P163" s="143">
        <f>MAX(MIN(M163,L163*1.25)-L163,0)</f>
        <v/>
      </c>
      <c r="Q163" s="143">
        <f>MAX(M163-L163*1.25,0)</f>
        <v/>
      </c>
      <c r="R163" s="142">
        <f>O163*'Commission Plan Rules'!$F$6+P163*'Commission Plan Rules'!$F$7+Q163*'Commission Plan Rules'!$F$8</f>
        <v/>
      </c>
      <c r="S163" s="145">
        <f>IF(H163="New Business",IFERROR((K163/M163)*R163,0),IF(H163="Upsell",K163*'Commission Plan Rules'!$F$9,IF(H163="Renewal",K163*'Commission Plan Rules'!$F$10,0)))</f>
        <v/>
      </c>
      <c r="T163" s="141">
        <f>COUNTIFS($F$5:$F$274,F163,$K$5:$K$274,"&gt;"&amp;K163)+1</f>
        <v/>
      </c>
      <c r="U163" s="141">
        <f>F163&amp;"|"&amp;T163</f>
        <v/>
      </c>
    </row>
    <row r="164" ht="15" customHeight="1" s="107">
      <c r="A164" s="133" t="inlineStr">
        <is>
          <t>D00122</t>
        </is>
      </c>
      <c r="B164" s="133" t="inlineStr">
        <is>
          <t>R006</t>
        </is>
      </c>
      <c r="C164" s="146">
        <f>IFERROR(INDEX('Sales Roster &amp; Quotas'!$C$6:$C$20,MATCH($B164,'Sales Roster &amp; Quotas'!$B$6:$B$20,0)),"")</f>
        <v/>
      </c>
      <c r="D164" s="146">
        <f>IFERROR(INDEX('Sales Roster &amp; Quotas'!$D$6:$D$20,MATCH($B164,'Sales Roster &amp; Quotas'!$B$6:$B$20,0)),"")</f>
        <v/>
      </c>
      <c r="E164" s="134" t="n">
        <v>46120</v>
      </c>
      <c r="F164" s="147">
        <f>TEXT(E164,"yyyy-mm")</f>
        <v/>
      </c>
      <c r="G164" s="147">
        <f>IF(MONTH(E164)&lt;=3,"Q1","Q2")</f>
        <v/>
      </c>
      <c r="H164" s="133" t="inlineStr">
        <is>
          <t>Renewal</t>
        </is>
      </c>
      <c r="I164" s="133" t="inlineStr">
        <is>
          <t>Cedarline Underwriters</t>
        </is>
      </c>
      <c r="J164" s="133" t="inlineStr">
        <is>
          <t>Analytics Add-On</t>
        </is>
      </c>
      <c r="K164" s="135" t="n">
        <v>12500</v>
      </c>
      <c r="L164" s="148">
        <f>IFERROR(INDEX('Sales Roster &amp; Quotas'!$G$6:$G$20,MATCH($B164,'Sales Roster &amp; Quotas'!$B$6:$B$20,0)),0)</f>
        <v/>
      </c>
      <c r="M164" s="149">
        <f>SUMIFS($K$5:$K$274,$B$5:$B$274,$B164,$G$5:$G$274,$G164,$H$5:$H$274,"New Business")</f>
        <v/>
      </c>
      <c r="N164" s="150">
        <f>IFERROR(M164/L164,0)</f>
        <v/>
      </c>
      <c r="O164" s="149">
        <f>MIN(M164,L164)</f>
        <v/>
      </c>
      <c r="P164" s="149">
        <f>MAX(MIN(M164,L164*1.25)-L164,0)</f>
        <v/>
      </c>
      <c r="Q164" s="149">
        <f>MAX(M164-L164*1.25,0)</f>
        <v/>
      </c>
      <c r="R164" s="148">
        <f>O164*'Commission Plan Rules'!$F$6+P164*'Commission Plan Rules'!$F$7+Q164*'Commission Plan Rules'!$F$8</f>
        <v/>
      </c>
      <c r="S164" s="151">
        <f>IF(H164="New Business",IFERROR((K164/M164)*R164,0),IF(H164="Upsell",K164*'Commission Plan Rules'!$F$9,IF(H164="Renewal",K164*'Commission Plan Rules'!$F$10,0)))</f>
        <v/>
      </c>
      <c r="T164" s="141">
        <f>COUNTIFS($F$5:$F$274,F164,$K$5:$K$274,"&gt;"&amp;K164)+1</f>
        <v/>
      </c>
      <c r="U164" s="141">
        <f>F164&amp;"|"&amp;T164</f>
        <v/>
      </c>
    </row>
    <row r="165" ht="15" customHeight="1" s="107">
      <c r="A165" s="130" t="inlineStr">
        <is>
          <t>D00079</t>
        </is>
      </c>
      <c r="B165" s="130" t="inlineStr">
        <is>
          <t>R004</t>
        </is>
      </c>
      <c r="C165" s="140">
        <f>IFERROR(INDEX('Sales Roster &amp; Quotas'!$C$6:$C$20,MATCH($B165,'Sales Roster &amp; Quotas'!$B$6:$B$20,0)),"")</f>
        <v/>
      </c>
      <c r="D165" s="140">
        <f>IFERROR(INDEX('Sales Roster &amp; Quotas'!$D$6:$D$20,MATCH($B165,'Sales Roster &amp; Quotas'!$B$6:$B$20,0)),"")</f>
        <v/>
      </c>
      <c r="E165" s="131" t="n">
        <v>46121</v>
      </c>
      <c r="F165" s="141">
        <f>TEXT(E165,"yyyy-mm")</f>
        <v/>
      </c>
      <c r="G165" s="141">
        <f>IF(MONTH(E165)&lt;=3,"Q1","Q2")</f>
        <v/>
      </c>
      <c r="H165" s="130" t="inlineStr">
        <is>
          <t>Renewal</t>
        </is>
      </c>
      <c r="I165" s="130" t="inlineStr">
        <is>
          <t>Cedarline Insurance Solutions</t>
        </is>
      </c>
      <c r="J165" s="130" t="inlineStr">
        <is>
          <t>Claims Module</t>
        </is>
      </c>
      <c r="K165" s="132" t="n">
        <v>17000</v>
      </c>
      <c r="L165" s="142">
        <f>IFERROR(INDEX('Sales Roster &amp; Quotas'!$G$6:$G$20,MATCH($B165,'Sales Roster &amp; Quotas'!$B$6:$B$20,0)),0)</f>
        <v/>
      </c>
      <c r="M165" s="143">
        <f>SUMIFS($K$5:$K$274,$B$5:$B$274,$B165,$G$5:$G$274,$G165,$H$5:$H$274,"New Business")</f>
        <v/>
      </c>
      <c r="N165" s="144">
        <f>IFERROR(M165/L165,0)</f>
        <v/>
      </c>
      <c r="O165" s="143">
        <f>MIN(M165,L165)</f>
        <v/>
      </c>
      <c r="P165" s="143">
        <f>MAX(MIN(M165,L165*1.25)-L165,0)</f>
        <v/>
      </c>
      <c r="Q165" s="143">
        <f>MAX(M165-L165*1.25,0)</f>
        <v/>
      </c>
      <c r="R165" s="142">
        <f>O165*'Commission Plan Rules'!$F$6+P165*'Commission Plan Rules'!$F$7+Q165*'Commission Plan Rules'!$F$8</f>
        <v/>
      </c>
      <c r="S165" s="145">
        <f>IF(H165="New Business",IFERROR((K165/M165)*R165,0),IF(H165="Upsell",K165*'Commission Plan Rules'!$F$9,IF(H165="Renewal",K165*'Commission Plan Rules'!$F$10,0)))</f>
        <v/>
      </c>
      <c r="T165" s="141">
        <f>COUNTIFS($F$5:$F$274,F165,$K$5:$K$274,"&gt;"&amp;K165)+1</f>
        <v/>
      </c>
      <c r="U165" s="141">
        <f>F165&amp;"|"&amp;T165</f>
        <v/>
      </c>
    </row>
    <row r="166" ht="15" customHeight="1" s="107">
      <c r="A166" s="133" t="inlineStr">
        <is>
          <t>D00211</t>
        </is>
      </c>
      <c r="B166" s="133" t="inlineStr">
        <is>
          <t>R011</t>
        </is>
      </c>
      <c r="C166" s="146">
        <f>IFERROR(INDEX('Sales Roster &amp; Quotas'!$C$6:$C$20,MATCH($B166,'Sales Roster &amp; Quotas'!$B$6:$B$20,0)),"")</f>
        <v/>
      </c>
      <c r="D166" s="146">
        <f>IFERROR(INDEX('Sales Roster &amp; Quotas'!$D$6:$D$20,MATCH($B166,'Sales Roster &amp; Quotas'!$B$6:$B$20,0)),"")</f>
        <v/>
      </c>
      <c r="E166" s="134" t="n">
        <v>46122</v>
      </c>
      <c r="F166" s="147">
        <f>TEXT(E166,"yyyy-mm")</f>
        <v/>
      </c>
      <c r="G166" s="147">
        <f>IF(MONTH(E166)&lt;=3,"Q1","Q2")</f>
        <v/>
      </c>
      <c r="H166" s="133" t="inlineStr">
        <is>
          <t>Upsell</t>
        </is>
      </c>
      <c r="I166" s="133" t="inlineStr">
        <is>
          <t>Meadowbrook Underwriters</t>
        </is>
      </c>
      <c r="J166" s="133" t="inlineStr">
        <is>
          <t>Policy Admin Core</t>
        </is>
      </c>
      <c r="K166" s="135" t="n">
        <v>26500</v>
      </c>
      <c r="L166" s="148">
        <f>IFERROR(INDEX('Sales Roster &amp; Quotas'!$G$6:$G$20,MATCH($B166,'Sales Roster &amp; Quotas'!$B$6:$B$20,0)),0)</f>
        <v/>
      </c>
      <c r="M166" s="149">
        <f>SUMIFS($K$5:$K$274,$B$5:$B$274,$B166,$G$5:$G$274,$G166,$H$5:$H$274,"New Business")</f>
        <v/>
      </c>
      <c r="N166" s="150">
        <f>IFERROR(M166/L166,0)</f>
        <v/>
      </c>
      <c r="O166" s="149">
        <f>MIN(M166,L166)</f>
        <v/>
      </c>
      <c r="P166" s="149">
        <f>MAX(MIN(M166,L166*1.25)-L166,0)</f>
        <v/>
      </c>
      <c r="Q166" s="149">
        <f>MAX(M166-L166*1.25,0)</f>
        <v/>
      </c>
      <c r="R166" s="148">
        <f>O166*'Commission Plan Rules'!$F$6+P166*'Commission Plan Rules'!$F$7+Q166*'Commission Plan Rules'!$F$8</f>
        <v/>
      </c>
      <c r="S166" s="151">
        <f>IF(H166="New Business",IFERROR((K166/M166)*R166,0),IF(H166="Upsell",K166*'Commission Plan Rules'!$F$9,IF(H166="Renewal",K166*'Commission Plan Rules'!$F$10,0)))</f>
        <v/>
      </c>
      <c r="T166" s="141">
        <f>COUNTIFS($F$5:$F$274,F166,$K$5:$K$274,"&gt;"&amp;K166)+1</f>
        <v/>
      </c>
      <c r="U166" s="141">
        <f>F166&amp;"|"&amp;T166</f>
        <v/>
      </c>
    </row>
    <row r="167" ht="15" customHeight="1" s="107">
      <c r="A167" s="130" t="inlineStr">
        <is>
          <t>D00021</t>
        </is>
      </c>
      <c r="B167" s="130" t="inlineStr">
        <is>
          <t>R001</t>
        </is>
      </c>
      <c r="C167" s="140">
        <f>IFERROR(INDEX('Sales Roster &amp; Quotas'!$C$6:$C$20,MATCH($B167,'Sales Roster &amp; Quotas'!$B$6:$B$20,0)),"")</f>
        <v/>
      </c>
      <c r="D167" s="140">
        <f>IFERROR(INDEX('Sales Roster &amp; Quotas'!$D$6:$D$20,MATCH($B167,'Sales Roster &amp; Quotas'!$B$6:$B$20,0)),"")</f>
        <v/>
      </c>
      <c r="E167" s="131" t="n">
        <v>46122</v>
      </c>
      <c r="F167" s="141">
        <f>TEXT(E167,"yyyy-mm")</f>
        <v/>
      </c>
      <c r="G167" s="141">
        <f>IF(MONTH(E167)&lt;=3,"Q1","Q2")</f>
        <v/>
      </c>
      <c r="H167" s="130" t="inlineStr">
        <is>
          <t>Upsell</t>
        </is>
      </c>
      <c r="I167" s="130" t="inlineStr">
        <is>
          <t>Redwood Insurance Group</t>
        </is>
      </c>
      <c r="J167" s="130" t="inlineStr">
        <is>
          <t>Analytics Add-On</t>
        </is>
      </c>
      <c r="K167" s="132" t="n">
        <v>27500</v>
      </c>
      <c r="L167" s="142">
        <f>IFERROR(INDEX('Sales Roster &amp; Quotas'!$G$6:$G$20,MATCH($B167,'Sales Roster &amp; Quotas'!$B$6:$B$20,0)),0)</f>
        <v/>
      </c>
      <c r="M167" s="143">
        <f>SUMIFS($K$5:$K$274,$B$5:$B$274,$B167,$G$5:$G$274,$G167,$H$5:$H$274,"New Business")</f>
        <v/>
      </c>
      <c r="N167" s="144">
        <f>IFERROR(M167/L167,0)</f>
        <v/>
      </c>
      <c r="O167" s="143">
        <f>MIN(M167,L167)</f>
        <v/>
      </c>
      <c r="P167" s="143">
        <f>MAX(MIN(M167,L167*1.25)-L167,0)</f>
        <v/>
      </c>
      <c r="Q167" s="143">
        <f>MAX(M167-L167*1.25,0)</f>
        <v/>
      </c>
      <c r="R167" s="142">
        <f>O167*'Commission Plan Rules'!$F$6+P167*'Commission Plan Rules'!$F$7+Q167*'Commission Plan Rules'!$F$8</f>
        <v/>
      </c>
      <c r="S167" s="145">
        <f>IF(H167="New Business",IFERROR((K167/M167)*R167,0),IF(H167="Upsell",K167*'Commission Plan Rules'!$F$9,IF(H167="Renewal",K167*'Commission Plan Rules'!$F$10,0)))</f>
        <v/>
      </c>
      <c r="T167" s="141">
        <f>COUNTIFS($F$5:$F$274,F167,$K$5:$K$274,"&gt;"&amp;K167)+1</f>
        <v/>
      </c>
      <c r="U167" s="141">
        <f>F167&amp;"|"&amp;T167</f>
        <v/>
      </c>
    </row>
    <row r="168" ht="15" customHeight="1" s="107">
      <c r="A168" s="133" t="inlineStr">
        <is>
          <t>D00119</t>
        </is>
      </c>
      <c r="B168" s="133" t="inlineStr">
        <is>
          <t>R006</t>
        </is>
      </c>
      <c r="C168" s="146">
        <f>IFERROR(INDEX('Sales Roster &amp; Quotas'!$C$6:$C$20,MATCH($B168,'Sales Roster &amp; Quotas'!$B$6:$B$20,0)),"")</f>
        <v/>
      </c>
      <c r="D168" s="146">
        <f>IFERROR(INDEX('Sales Roster &amp; Quotas'!$D$6:$D$20,MATCH($B168,'Sales Roster &amp; Quotas'!$B$6:$B$20,0)),"")</f>
        <v/>
      </c>
      <c r="E168" s="134" t="n">
        <v>46123</v>
      </c>
      <c r="F168" s="147">
        <f>TEXT(E168,"yyyy-mm")</f>
        <v/>
      </c>
      <c r="G168" s="147">
        <f>IF(MONTH(E168)&lt;=3,"Q1","Q2")</f>
        <v/>
      </c>
      <c r="H168" s="133" t="inlineStr">
        <is>
          <t>Upsell</t>
        </is>
      </c>
      <c r="I168" s="133" t="inlineStr">
        <is>
          <t>Redwood Coverage Partners</t>
        </is>
      </c>
      <c r="J168" s="133" t="inlineStr">
        <is>
          <t>Analytics Add-On</t>
        </is>
      </c>
      <c r="K168" s="135" t="n">
        <v>31000</v>
      </c>
      <c r="L168" s="148">
        <f>IFERROR(INDEX('Sales Roster &amp; Quotas'!$G$6:$G$20,MATCH($B168,'Sales Roster &amp; Quotas'!$B$6:$B$20,0)),0)</f>
        <v/>
      </c>
      <c r="M168" s="149">
        <f>SUMIFS($K$5:$K$274,$B$5:$B$274,$B168,$G$5:$G$274,$G168,$H$5:$H$274,"New Business")</f>
        <v/>
      </c>
      <c r="N168" s="150">
        <f>IFERROR(M168/L168,0)</f>
        <v/>
      </c>
      <c r="O168" s="149">
        <f>MIN(M168,L168)</f>
        <v/>
      </c>
      <c r="P168" s="149">
        <f>MAX(MIN(M168,L168*1.25)-L168,0)</f>
        <v/>
      </c>
      <c r="Q168" s="149">
        <f>MAX(M168-L168*1.25,0)</f>
        <v/>
      </c>
      <c r="R168" s="148">
        <f>O168*'Commission Plan Rules'!$F$6+P168*'Commission Plan Rules'!$F$7+Q168*'Commission Plan Rules'!$F$8</f>
        <v/>
      </c>
      <c r="S168" s="151">
        <f>IF(H168="New Business",IFERROR((K168/M168)*R168,0),IF(H168="Upsell",K168*'Commission Plan Rules'!$F$9,IF(H168="Renewal",K168*'Commission Plan Rules'!$F$10,0)))</f>
        <v/>
      </c>
      <c r="T168" s="141">
        <f>COUNTIFS($F$5:$F$274,F168,$K$5:$K$274,"&gt;"&amp;K168)+1</f>
        <v/>
      </c>
      <c r="U168" s="141">
        <f>F168&amp;"|"&amp;T168</f>
        <v/>
      </c>
    </row>
    <row r="169" ht="15" customHeight="1" s="107">
      <c r="A169" s="130" t="inlineStr">
        <is>
          <t>D00266</t>
        </is>
      </c>
      <c r="B169" s="130" t="inlineStr">
        <is>
          <t>R015</t>
        </is>
      </c>
      <c r="C169" s="140">
        <f>IFERROR(INDEX('Sales Roster &amp; Quotas'!$C$6:$C$20,MATCH($B169,'Sales Roster &amp; Quotas'!$B$6:$B$20,0)),"")</f>
        <v/>
      </c>
      <c r="D169" s="140">
        <f>IFERROR(INDEX('Sales Roster &amp; Quotas'!$D$6:$D$20,MATCH($B169,'Sales Roster &amp; Quotas'!$B$6:$B$20,0)),"")</f>
        <v/>
      </c>
      <c r="E169" s="131" t="n">
        <v>46125</v>
      </c>
      <c r="F169" s="141">
        <f>TEXT(E169,"yyyy-mm")</f>
        <v/>
      </c>
      <c r="G169" s="141">
        <f>IF(MONTH(E169)&lt;=3,"Q1","Q2")</f>
        <v/>
      </c>
      <c r="H169" s="130" t="inlineStr">
        <is>
          <t>New Business</t>
        </is>
      </c>
      <c r="I169" s="130" t="inlineStr">
        <is>
          <t>Lakeside Insurance Group</t>
        </is>
      </c>
      <c r="J169" s="130" t="inlineStr">
        <is>
          <t>Policy Admin Core</t>
        </is>
      </c>
      <c r="K169" s="132" t="n">
        <v>428500</v>
      </c>
      <c r="L169" s="142">
        <f>IFERROR(INDEX('Sales Roster &amp; Quotas'!$G$6:$G$20,MATCH($B169,'Sales Roster &amp; Quotas'!$B$6:$B$20,0)),0)</f>
        <v/>
      </c>
      <c r="M169" s="143">
        <f>SUMIFS($K$5:$K$274,$B$5:$B$274,$B169,$G$5:$G$274,$G169,$H$5:$H$274,"New Business")</f>
        <v/>
      </c>
      <c r="N169" s="144">
        <f>IFERROR(M169/L169,0)</f>
        <v/>
      </c>
      <c r="O169" s="143">
        <f>MIN(M169,L169)</f>
        <v/>
      </c>
      <c r="P169" s="143">
        <f>MAX(MIN(M169,L169*1.25)-L169,0)</f>
        <v/>
      </c>
      <c r="Q169" s="143">
        <f>MAX(M169-L169*1.25,0)</f>
        <v/>
      </c>
      <c r="R169" s="142">
        <f>O169*'Commission Plan Rules'!$F$6+P169*'Commission Plan Rules'!$F$7+Q169*'Commission Plan Rules'!$F$8</f>
        <v/>
      </c>
      <c r="S169" s="145">
        <f>IF(H169="New Business",IFERROR((K169/M169)*R169,0),IF(H169="Upsell",K169*'Commission Plan Rules'!$F$9,IF(H169="Renewal",K169*'Commission Plan Rules'!$F$10,0)))</f>
        <v/>
      </c>
      <c r="T169" s="141">
        <f>COUNTIFS($F$5:$F$274,F169,$K$5:$K$274,"&gt;"&amp;K169)+1</f>
        <v/>
      </c>
      <c r="U169" s="141">
        <f>F169&amp;"|"&amp;T169</f>
        <v/>
      </c>
    </row>
    <row r="170" ht="15" customHeight="1" s="107">
      <c r="A170" s="133" t="inlineStr">
        <is>
          <t>D00116</t>
        </is>
      </c>
      <c r="B170" s="133" t="inlineStr">
        <is>
          <t>R006</t>
        </is>
      </c>
      <c r="C170" s="146">
        <f>IFERROR(INDEX('Sales Roster &amp; Quotas'!$C$6:$C$20,MATCH($B170,'Sales Roster &amp; Quotas'!$B$6:$B$20,0)),"")</f>
        <v/>
      </c>
      <c r="D170" s="146">
        <f>IFERROR(INDEX('Sales Roster &amp; Quotas'!$D$6:$D$20,MATCH($B170,'Sales Roster &amp; Quotas'!$B$6:$B$20,0)),"")</f>
        <v/>
      </c>
      <c r="E170" s="134" t="n">
        <v>46125</v>
      </c>
      <c r="F170" s="147">
        <f>TEXT(E170,"yyyy-mm")</f>
        <v/>
      </c>
      <c r="G170" s="147">
        <f>IF(MONTH(E170)&lt;=3,"Q1","Q2")</f>
        <v/>
      </c>
      <c r="H170" s="133" t="inlineStr">
        <is>
          <t>New Business</t>
        </is>
      </c>
      <c r="I170" s="133" t="inlineStr">
        <is>
          <t>Coastal Coverage Partners</t>
        </is>
      </c>
      <c r="J170" s="133" t="inlineStr">
        <is>
          <t>Policy Admin Core</t>
        </is>
      </c>
      <c r="K170" s="135" t="n">
        <v>40000</v>
      </c>
      <c r="L170" s="148">
        <f>IFERROR(INDEX('Sales Roster &amp; Quotas'!$G$6:$G$20,MATCH($B170,'Sales Roster &amp; Quotas'!$B$6:$B$20,0)),0)</f>
        <v/>
      </c>
      <c r="M170" s="149">
        <f>SUMIFS($K$5:$K$274,$B$5:$B$274,$B170,$G$5:$G$274,$G170,$H$5:$H$274,"New Business")</f>
        <v/>
      </c>
      <c r="N170" s="150">
        <f>IFERROR(M170/L170,0)</f>
        <v/>
      </c>
      <c r="O170" s="149">
        <f>MIN(M170,L170)</f>
        <v/>
      </c>
      <c r="P170" s="149">
        <f>MAX(MIN(M170,L170*1.25)-L170,0)</f>
        <v/>
      </c>
      <c r="Q170" s="149">
        <f>MAX(M170-L170*1.25,0)</f>
        <v/>
      </c>
      <c r="R170" s="148">
        <f>O170*'Commission Plan Rules'!$F$6+P170*'Commission Plan Rules'!$F$7+Q170*'Commission Plan Rules'!$F$8</f>
        <v/>
      </c>
      <c r="S170" s="151">
        <f>IF(H170="New Business",IFERROR((K170/M170)*R170,0),IF(H170="Upsell",K170*'Commission Plan Rules'!$F$9,IF(H170="Renewal",K170*'Commission Plan Rules'!$F$10,0)))</f>
        <v/>
      </c>
      <c r="T170" s="141">
        <f>COUNTIFS($F$5:$F$274,F170,$K$5:$K$274,"&gt;"&amp;K170)+1</f>
        <v/>
      </c>
      <c r="U170" s="141">
        <f>F170&amp;"|"&amp;T170</f>
        <v/>
      </c>
    </row>
    <row r="171" ht="15" customHeight="1" s="107">
      <c r="A171" s="130" t="inlineStr">
        <is>
          <t>D00140</t>
        </is>
      </c>
      <c r="B171" s="130" t="inlineStr">
        <is>
          <t>R007</t>
        </is>
      </c>
      <c r="C171" s="140">
        <f>IFERROR(INDEX('Sales Roster &amp; Quotas'!$C$6:$C$20,MATCH($B171,'Sales Roster &amp; Quotas'!$B$6:$B$20,0)),"")</f>
        <v/>
      </c>
      <c r="D171" s="140">
        <f>IFERROR(INDEX('Sales Roster &amp; Quotas'!$D$6:$D$20,MATCH($B171,'Sales Roster &amp; Quotas'!$B$6:$B$20,0)),"")</f>
        <v/>
      </c>
      <c r="E171" s="131" t="n">
        <v>46125</v>
      </c>
      <c r="F171" s="141">
        <f>TEXT(E171,"yyyy-mm")</f>
        <v/>
      </c>
      <c r="G171" s="141">
        <f>IF(MONTH(E171)&lt;=3,"Q1","Q2")</f>
        <v/>
      </c>
      <c r="H171" s="130" t="inlineStr">
        <is>
          <t>Renewal</t>
        </is>
      </c>
      <c r="I171" s="130" t="inlineStr">
        <is>
          <t>Pinnacle Insurance Group</t>
        </is>
      </c>
      <c r="J171" s="130" t="inlineStr">
        <is>
          <t>Analytics Add-On</t>
        </is>
      </c>
      <c r="K171" s="132" t="n">
        <v>35000</v>
      </c>
      <c r="L171" s="142">
        <f>IFERROR(INDEX('Sales Roster &amp; Quotas'!$G$6:$G$20,MATCH($B171,'Sales Roster &amp; Quotas'!$B$6:$B$20,0)),0)</f>
        <v/>
      </c>
      <c r="M171" s="143">
        <f>SUMIFS($K$5:$K$274,$B$5:$B$274,$B171,$G$5:$G$274,$G171,$H$5:$H$274,"New Business")</f>
        <v/>
      </c>
      <c r="N171" s="144">
        <f>IFERROR(M171/L171,0)</f>
        <v/>
      </c>
      <c r="O171" s="143">
        <f>MIN(M171,L171)</f>
        <v/>
      </c>
      <c r="P171" s="143">
        <f>MAX(MIN(M171,L171*1.25)-L171,0)</f>
        <v/>
      </c>
      <c r="Q171" s="143">
        <f>MAX(M171-L171*1.25,0)</f>
        <v/>
      </c>
      <c r="R171" s="142">
        <f>O171*'Commission Plan Rules'!$F$6+P171*'Commission Plan Rules'!$F$7+Q171*'Commission Plan Rules'!$F$8</f>
        <v/>
      </c>
      <c r="S171" s="145">
        <f>IF(H171="New Business",IFERROR((K171/M171)*R171,0),IF(H171="Upsell",K171*'Commission Plan Rules'!$F$9,IF(H171="Renewal",K171*'Commission Plan Rules'!$F$10,0)))</f>
        <v/>
      </c>
      <c r="T171" s="141">
        <f>COUNTIFS($F$5:$F$274,F171,$K$5:$K$274,"&gt;"&amp;K171)+1</f>
        <v/>
      </c>
      <c r="U171" s="141">
        <f>F171&amp;"|"&amp;T171</f>
        <v/>
      </c>
    </row>
    <row r="172" ht="15" customHeight="1" s="107">
      <c r="A172" s="133" t="inlineStr">
        <is>
          <t>D00039</t>
        </is>
      </c>
      <c r="B172" s="133" t="inlineStr">
        <is>
          <t>R002</t>
        </is>
      </c>
      <c r="C172" s="146">
        <f>IFERROR(INDEX('Sales Roster &amp; Quotas'!$C$6:$C$20,MATCH($B172,'Sales Roster &amp; Quotas'!$B$6:$B$20,0)),"")</f>
        <v/>
      </c>
      <c r="D172" s="146">
        <f>IFERROR(INDEX('Sales Roster &amp; Quotas'!$D$6:$D$20,MATCH($B172,'Sales Roster &amp; Quotas'!$B$6:$B$20,0)),"")</f>
        <v/>
      </c>
      <c r="E172" s="134" t="n">
        <v>46125</v>
      </c>
      <c r="F172" s="147">
        <f>TEXT(E172,"yyyy-mm")</f>
        <v/>
      </c>
      <c r="G172" s="147">
        <f>IF(MONTH(E172)&lt;=3,"Q1","Q2")</f>
        <v/>
      </c>
      <c r="H172" s="133" t="inlineStr">
        <is>
          <t>Renewal</t>
        </is>
      </c>
      <c r="I172" s="133" t="inlineStr">
        <is>
          <t>Hillcrest Risk Advisors</t>
        </is>
      </c>
      <c r="J172" s="133" t="inlineStr">
        <is>
          <t>Claims Module</t>
        </is>
      </c>
      <c r="K172" s="135" t="n">
        <v>1500</v>
      </c>
      <c r="L172" s="148">
        <f>IFERROR(INDEX('Sales Roster &amp; Quotas'!$G$6:$G$20,MATCH($B172,'Sales Roster &amp; Quotas'!$B$6:$B$20,0)),0)</f>
        <v/>
      </c>
      <c r="M172" s="149">
        <f>SUMIFS($K$5:$K$274,$B$5:$B$274,$B172,$G$5:$G$274,$G172,$H$5:$H$274,"New Business")</f>
        <v/>
      </c>
      <c r="N172" s="150">
        <f>IFERROR(M172/L172,0)</f>
        <v/>
      </c>
      <c r="O172" s="149">
        <f>MIN(M172,L172)</f>
        <v/>
      </c>
      <c r="P172" s="149">
        <f>MAX(MIN(M172,L172*1.25)-L172,0)</f>
        <v/>
      </c>
      <c r="Q172" s="149">
        <f>MAX(M172-L172*1.25,0)</f>
        <v/>
      </c>
      <c r="R172" s="148">
        <f>O172*'Commission Plan Rules'!$F$6+P172*'Commission Plan Rules'!$F$7+Q172*'Commission Plan Rules'!$F$8</f>
        <v/>
      </c>
      <c r="S172" s="151">
        <f>IF(H172="New Business",IFERROR((K172/M172)*R172,0),IF(H172="Upsell",K172*'Commission Plan Rules'!$F$9,IF(H172="Renewal",K172*'Commission Plan Rules'!$F$10,0)))</f>
        <v/>
      </c>
      <c r="T172" s="141">
        <f>COUNTIFS($F$5:$F$274,F172,$K$5:$K$274,"&gt;"&amp;K172)+1</f>
        <v/>
      </c>
      <c r="U172" s="141">
        <f>F172&amp;"|"&amp;T172</f>
        <v/>
      </c>
    </row>
    <row r="173" ht="15" customHeight="1" s="107">
      <c r="A173" s="130" t="inlineStr">
        <is>
          <t>D00078</t>
        </is>
      </c>
      <c r="B173" s="130" t="inlineStr">
        <is>
          <t>R004</t>
        </is>
      </c>
      <c r="C173" s="140">
        <f>IFERROR(INDEX('Sales Roster &amp; Quotas'!$C$6:$C$20,MATCH($B173,'Sales Roster &amp; Quotas'!$B$6:$B$20,0)),"")</f>
        <v/>
      </c>
      <c r="D173" s="140">
        <f>IFERROR(INDEX('Sales Roster &amp; Quotas'!$D$6:$D$20,MATCH($B173,'Sales Roster &amp; Quotas'!$B$6:$B$20,0)),"")</f>
        <v/>
      </c>
      <c r="E173" s="131" t="n">
        <v>46126</v>
      </c>
      <c r="F173" s="141">
        <f>TEXT(E173,"yyyy-mm")</f>
        <v/>
      </c>
      <c r="G173" s="141">
        <f>IF(MONTH(E173)&lt;=3,"Q1","Q2")</f>
        <v/>
      </c>
      <c r="H173" s="130" t="inlineStr">
        <is>
          <t>Upsell</t>
        </is>
      </c>
      <c r="I173" s="130" t="inlineStr">
        <is>
          <t>Anchor Mutual Agency</t>
        </is>
      </c>
      <c r="J173" s="130" t="inlineStr">
        <is>
          <t>Analytics Add-On</t>
        </is>
      </c>
      <c r="K173" s="132" t="n">
        <v>6500</v>
      </c>
      <c r="L173" s="142">
        <f>IFERROR(INDEX('Sales Roster &amp; Quotas'!$G$6:$G$20,MATCH($B173,'Sales Roster &amp; Quotas'!$B$6:$B$20,0)),0)</f>
        <v/>
      </c>
      <c r="M173" s="143">
        <f>SUMIFS($K$5:$K$274,$B$5:$B$274,$B173,$G$5:$G$274,$G173,$H$5:$H$274,"New Business")</f>
        <v/>
      </c>
      <c r="N173" s="144">
        <f>IFERROR(M173/L173,0)</f>
        <v/>
      </c>
      <c r="O173" s="143">
        <f>MIN(M173,L173)</f>
        <v/>
      </c>
      <c r="P173" s="143">
        <f>MAX(MIN(M173,L173*1.25)-L173,0)</f>
        <v/>
      </c>
      <c r="Q173" s="143">
        <f>MAX(M173-L173*1.25,0)</f>
        <v/>
      </c>
      <c r="R173" s="142">
        <f>O173*'Commission Plan Rules'!$F$6+P173*'Commission Plan Rules'!$F$7+Q173*'Commission Plan Rules'!$F$8</f>
        <v/>
      </c>
      <c r="S173" s="145">
        <f>IF(H173="New Business",IFERROR((K173/M173)*R173,0),IF(H173="Upsell",K173*'Commission Plan Rules'!$F$9,IF(H173="Renewal",K173*'Commission Plan Rules'!$F$10,0)))</f>
        <v/>
      </c>
      <c r="T173" s="141">
        <f>COUNTIFS($F$5:$F$274,F173,$K$5:$K$274,"&gt;"&amp;K173)+1</f>
        <v/>
      </c>
      <c r="U173" s="141">
        <f>F173&amp;"|"&amp;T173</f>
        <v/>
      </c>
    </row>
    <row r="174" ht="15" customHeight="1" s="107">
      <c r="A174" s="133" t="inlineStr">
        <is>
          <t>D00255</t>
        </is>
      </c>
      <c r="B174" s="133" t="inlineStr">
        <is>
          <t>R014</t>
        </is>
      </c>
      <c r="C174" s="146">
        <f>IFERROR(INDEX('Sales Roster &amp; Quotas'!$C$6:$C$20,MATCH($B174,'Sales Roster &amp; Quotas'!$B$6:$B$20,0)),"")</f>
        <v/>
      </c>
      <c r="D174" s="146">
        <f>IFERROR(INDEX('Sales Roster &amp; Quotas'!$D$6:$D$20,MATCH($B174,'Sales Roster &amp; Quotas'!$B$6:$B$20,0)),"")</f>
        <v/>
      </c>
      <c r="E174" s="134" t="n">
        <v>46126</v>
      </c>
      <c r="F174" s="147">
        <f>TEXT(E174,"yyyy-mm")</f>
        <v/>
      </c>
      <c r="G174" s="147">
        <f>IF(MONTH(E174)&lt;=3,"Q1","Q2")</f>
        <v/>
      </c>
      <c r="H174" s="133" t="inlineStr">
        <is>
          <t>Renewal</t>
        </is>
      </c>
      <c r="I174" s="133" t="inlineStr">
        <is>
          <t>Prairie Coverage Partners</t>
        </is>
      </c>
      <c r="J174" s="133" t="inlineStr">
        <is>
          <t>Policy Admin Core</t>
        </is>
      </c>
      <c r="K174" s="135" t="n">
        <v>37000</v>
      </c>
      <c r="L174" s="148">
        <f>IFERROR(INDEX('Sales Roster &amp; Quotas'!$G$6:$G$20,MATCH($B174,'Sales Roster &amp; Quotas'!$B$6:$B$20,0)),0)</f>
        <v/>
      </c>
      <c r="M174" s="149">
        <f>SUMIFS($K$5:$K$274,$B$5:$B$274,$B174,$G$5:$G$274,$G174,$H$5:$H$274,"New Business")</f>
        <v/>
      </c>
      <c r="N174" s="150">
        <f>IFERROR(M174/L174,0)</f>
        <v/>
      </c>
      <c r="O174" s="149">
        <f>MIN(M174,L174)</f>
        <v/>
      </c>
      <c r="P174" s="149">
        <f>MAX(MIN(M174,L174*1.25)-L174,0)</f>
        <v/>
      </c>
      <c r="Q174" s="149">
        <f>MAX(M174-L174*1.25,0)</f>
        <v/>
      </c>
      <c r="R174" s="148">
        <f>O174*'Commission Plan Rules'!$F$6+P174*'Commission Plan Rules'!$F$7+Q174*'Commission Plan Rules'!$F$8</f>
        <v/>
      </c>
      <c r="S174" s="151">
        <f>IF(H174="New Business",IFERROR((K174/M174)*R174,0),IF(H174="Upsell",K174*'Commission Plan Rules'!$F$9,IF(H174="Renewal",K174*'Commission Plan Rules'!$F$10,0)))</f>
        <v/>
      </c>
      <c r="T174" s="141">
        <f>COUNTIFS($F$5:$F$274,F174,$K$5:$K$274,"&gt;"&amp;K174)+1</f>
        <v/>
      </c>
      <c r="U174" s="141">
        <f>F174&amp;"|"&amp;T174</f>
        <v/>
      </c>
    </row>
    <row r="175" ht="15" customHeight="1" s="107">
      <c r="A175" s="130" t="inlineStr">
        <is>
          <t>D00057</t>
        </is>
      </c>
      <c r="B175" s="130" t="inlineStr">
        <is>
          <t>R003</t>
        </is>
      </c>
      <c r="C175" s="140">
        <f>IFERROR(INDEX('Sales Roster &amp; Quotas'!$C$6:$C$20,MATCH($B175,'Sales Roster &amp; Quotas'!$B$6:$B$20,0)),"")</f>
        <v/>
      </c>
      <c r="D175" s="140">
        <f>IFERROR(INDEX('Sales Roster &amp; Quotas'!$D$6:$D$20,MATCH($B175,'Sales Roster &amp; Quotas'!$B$6:$B$20,0)),"")</f>
        <v/>
      </c>
      <c r="E175" s="131" t="n">
        <v>46127</v>
      </c>
      <c r="F175" s="141">
        <f>TEXT(E175,"yyyy-mm")</f>
        <v/>
      </c>
      <c r="G175" s="141">
        <f>IF(MONTH(E175)&lt;=3,"Q1","Q2")</f>
        <v/>
      </c>
      <c r="H175" s="130" t="inlineStr">
        <is>
          <t>Upsell</t>
        </is>
      </c>
      <c r="I175" s="130" t="inlineStr">
        <is>
          <t>Brookhaven Insurance Solutions</t>
        </is>
      </c>
      <c r="J175" s="130" t="inlineStr">
        <is>
          <t>Policy Admin Core</t>
        </is>
      </c>
      <c r="K175" s="132" t="n">
        <v>13000</v>
      </c>
      <c r="L175" s="142">
        <f>IFERROR(INDEX('Sales Roster &amp; Quotas'!$G$6:$G$20,MATCH($B175,'Sales Roster &amp; Quotas'!$B$6:$B$20,0)),0)</f>
        <v/>
      </c>
      <c r="M175" s="143">
        <f>SUMIFS($K$5:$K$274,$B$5:$B$274,$B175,$G$5:$G$274,$G175,$H$5:$H$274,"New Business")</f>
        <v/>
      </c>
      <c r="N175" s="144">
        <f>IFERROR(M175/L175,0)</f>
        <v/>
      </c>
      <c r="O175" s="143">
        <f>MIN(M175,L175)</f>
        <v/>
      </c>
      <c r="P175" s="143">
        <f>MAX(MIN(M175,L175*1.25)-L175,0)</f>
        <v/>
      </c>
      <c r="Q175" s="143">
        <f>MAX(M175-L175*1.25,0)</f>
        <v/>
      </c>
      <c r="R175" s="142">
        <f>O175*'Commission Plan Rules'!$F$6+P175*'Commission Plan Rules'!$F$7+Q175*'Commission Plan Rules'!$F$8</f>
        <v/>
      </c>
      <c r="S175" s="145">
        <f>IF(H175="New Business",IFERROR((K175/M175)*R175,0),IF(H175="Upsell",K175*'Commission Plan Rules'!$F$9,IF(H175="Renewal",K175*'Commission Plan Rules'!$F$10,0)))</f>
        <v/>
      </c>
      <c r="T175" s="141">
        <f>COUNTIFS($F$5:$F$274,F175,$K$5:$K$274,"&gt;"&amp;K175)+1</f>
        <v/>
      </c>
      <c r="U175" s="141">
        <f>F175&amp;"|"&amp;T175</f>
        <v/>
      </c>
    </row>
    <row r="176" ht="15" customHeight="1" s="107">
      <c r="A176" s="133" t="inlineStr">
        <is>
          <t>D00117</t>
        </is>
      </c>
      <c r="B176" s="133" t="inlineStr">
        <is>
          <t>R006</t>
        </is>
      </c>
      <c r="C176" s="146">
        <f>IFERROR(INDEX('Sales Roster &amp; Quotas'!$C$6:$C$20,MATCH($B176,'Sales Roster &amp; Quotas'!$B$6:$B$20,0)),"")</f>
        <v/>
      </c>
      <c r="D176" s="146">
        <f>IFERROR(INDEX('Sales Roster &amp; Quotas'!$D$6:$D$20,MATCH($B176,'Sales Roster &amp; Quotas'!$B$6:$B$20,0)),"")</f>
        <v/>
      </c>
      <c r="E176" s="134" t="n">
        <v>46128</v>
      </c>
      <c r="F176" s="147">
        <f>TEXT(E176,"yyyy-mm")</f>
        <v/>
      </c>
      <c r="G176" s="147">
        <f>IF(MONTH(E176)&lt;=3,"Q1","Q2")</f>
        <v/>
      </c>
      <c r="H176" s="133" t="inlineStr">
        <is>
          <t>New Business</t>
        </is>
      </c>
      <c r="I176" s="133" t="inlineStr">
        <is>
          <t>Windham Coverage Partners</t>
        </is>
      </c>
      <c r="J176" s="133" t="inlineStr">
        <is>
          <t>Client Portal</t>
        </is>
      </c>
      <c r="K176" s="135" t="n">
        <v>33000</v>
      </c>
      <c r="L176" s="148">
        <f>IFERROR(INDEX('Sales Roster &amp; Quotas'!$G$6:$G$20,MATCH($B176,'Sales Roster &amp; Quotas'!$B$6:$B$20,0)),0)</f>
        <v/>
      </c>
      <c r="M176" s="149">
        <f>SUMIFS($K$5:$K$274,$B$5:$B$274,$B176,$G$5:$G$274,$G176,$H$5:$H$274,"New Business")</f>
        <v/>
      </c>
      <c r="N176" s="150">
        <f>IFERROR(M176/L176,0)</f>
        <v/>
      </c>
      <c r="O176" s="149">
        <f>MIN(M176,L176)</f>
        <v/>
      </c>
      <c r="P176" s="149">
        <f>MAX(MIN(M176,L176*1.25)-L176,0)</f>
        <v/>
      </c>
      <c r="Q176" s="149">
        <f>MAX(M176-L176*1.25,0)</f>
        <v/>
      </c>
      <c r="R176" s="148">
        <f>O176*'Commission Plan Rules'!$F$6+P176*'Commission Plan Rules'!$F$7+Q176*'Commission Plan Rules'!$F$8</f>
        <v/>
      </c>
      <c r="S176" s="151">
        <f>IF(H176="New Business",IFERROR((K176/M176)*R176,0),IF(H176="Upsell",K176*'Commission Plan Rules'!$F$9,IF(H176="Renewal",K176*'Commission Plan Rules'!$F$10,0)))</f>
        <v/>
      </c>
      <c r="T176" s="141">
        <f>COUNTIFS($F$5:$F$274,F176,$K$5:$K$274,"&gt;"&amp;K176)+1</f>
        <v/>
      </c>
      <c r="U176" s="141">
        <f>F176&amp;"|"&amp;T176</f>
        <v/>
      </c>
    </row>
    <row r="177" ht="15" customHeight="1" s="107">
      <c r="A177" s="130" t="inlineStr">
        <is>
          <t>D00062</t>
        </is>
      </c>
      <c r="B177" s="130" t="inlineStr">
        <is>
          <t>R003</t>
        </is>
      </c>
      <c r="C177" s="140">
        <f>IFERROR(INDEX('Sales Roster &amp; Quotas'!$C$6:$C$20,MATCH($B177,'Sales Roster &amp; Quotas'!$B$6:$B$20,0)),"")</f>
        <v/>
      </c>
      <c r="D177" s="140">
        <f>IFERROR(INDEX('Sales Roster &amp; Quotas'!$D$6:$D$20,MATCH($B177,'Sales Roster &amp; Quotas'!$B$6:$B$20,0)),"")</f>
        <v/>
      </c>
      <c r="E177" s="131" t="n">
        <v>46130</v>
      </c>
      <c r="F177" s="141">
        <f>TEXT(E177,"yyyy-mm")</f>
        <v/>
      </c>
      <c r="G177" s="141">
        <f>IF(MONTH(E177)&lt;=3,"Q1","Q2")</f>
        <v/>
      </c>
      <c r="H177" s="130" t="inlineStr">
        <is>
          <t>Renewal</t>
        </is>
      </c>
      <c r="I177" s="130" t="inlineStr">
        <is>
          <t>Brookhaven Insurance Group</t>
        </is>
      </c>
      <c r="J177" s="130" t="inlineStr">
        <is>
          <t>Policy Admin Core</t>
        </is>
      </c>
      <c r="K177" s="132" t="n">
        <v>14000</v>
      </c>
      <c r="L177" s="142">
        <f>IFERROR(INDEX('Sales Roster &amp; Quotas'!$G$6:$G$20,MATCH($B177,'Sales Roster &amp; Quotas'!$B$6:$B$20,0)),0)</f>
        <v/>
      </c>
      <c r="M177" s="143">
        <f>SUMIFS($K$5:$K$274,$B$5:$B$274,$B177,$G$5:$G$274,$G177,$H$5:$H$274,"New Business")</f>
        <v/>
      </c>
      <c r="N177" s="144">
        <f>IFERROR(M177/L177,0)</f>
        <v/>
      </c>
      <c r="O177" s="143">
        <f>MIN(M177,L177)</f>
        <v/>
      </c>
      <c r="P177" s="143">
        <f>MAX(MIN(M177,L177*1.25)-L177,0)</f>
        <v/>
      </c>
      <c r="Q177" s="143">
        <f>MAX(M177-L177*1.25,0)</f>
        <v/>
      </c>
      <c r="R177" s="142">
        <f>O177*'Commission Plan Rules'!$F$6+P177*'Commission Plan Rules'!$F$7+Q177*'Commission Plan Rules'!$F$8</f>
        <v/>
      </c>
      <c r="S177" s="145">
        <f>IF(H177="New Business",IFERROR((K177/M177)*R177,0),IF(H177="Upsell",K177*'Commission Plan Rules'!$F$9,IF(H177="Renewal",K177*'Commission Plan Rules'!$F$10,0)))</f>
        <v/>
      </c>
      <c r="T177" s="141">
        <f>COUNTIFS($F$5:$F$274,F177,$K$5:$K$274,"&gt;"&amp;K177)+1</f>
        <v/>
      </c>
      <c r="U177" s="141">
        <f>F177&amp;"|"&amp;T177</f>
        <v/>
      </c>
    </row>
    <row r="178" ht="15" customHeight="1" s="107">
      <c r="A178" s="133" t="inlineStr">
        <is>
          <t>D00149</t>
        </is>
      </c>
      <c r="B178" s="133" t="inlineStr">
        <is>
          <t>R008</t>
        </is>
      </c>
      <c r="C178" s="146">
        <f>IFERROR(INDEX('Sales Roster &amp; Quotas'!$C$6:$C$20,MATCH($B178,'Sales Roster &amp; Quotas'!$B$6:$B$20,0)),"")</f>
        <v/>
      </c>
      <c r="D178" s="146">
        <f>IFERROR(INDEX('Sales Roster &amp; Quotas'!$D$6:$D$20,MATCH($B178,'Sales Roster &amp; Quotas'!$B$6:$B$20,0)),"")</f>
        <v/>
      </c>
      <c r="E178" s="134" t="n">
        <v>46130</v>
      </c>
      <c r="F178" s="147">
        <f>TEXT(E178,"yyyy-mm")</f>
        <v/>
      </c>
      <c r="G178" s="147">
        <f>IF(MONTH(E178)&lt;=3,"Q1","Q2")</f>
        <v/>
      </c>
      <c r="H178" s="133" t="inlineStr">
        <is>
          <t>New Business</t>
        </is>
      </c>
      <c r="I178" s="133" t="inlineStr">
        <is>
          <t>Pinnacle Agency Partners</t>
        </is>
      </c>
      <c r="J178" s="133" t="inlineStr">
        <is>
          <t>Policy Admin Core</t>
        </is>
      </c>
      <c r="K178" s="135" t="n">
        <v>36000</v>
      </c>
      <c r="L178" s="148">
        <f>IFERROR(INDEX('Sales Roster &amp; Quotas'!$G$6:$G$20,MATCH($B178,'Sales Roster &amp; Quotas'!$B$6:$B$20,0)),0)</f>
        <v/>
      </c>
      <c r="M178" s="149">
        <f>SUMIFS($K$5:$K$274,$B$5:$B$274,$B178,$G$5:$G$274,$G178,$H$5:$H$274,"New Business")</f>
        <v/>
      </c>
      <c r="N178" s="150">
        <f>IFERROR(M178/L178,0)</f>
        <v/>
      </c>
      <c r="O178" s="149">
        <f>MIN(M178,L178)</f>
        <v/>
      </c>
      <c r="P178" s="149">
        <f>MAX(MIN(M178,L178*1.25)-L178,0)</f>
        <v/>
      </c>
      <c r="Q178" s="149">
        <f>MAX(M178-L178*1.25,0)</f>
        <v/>
      </c>
      <c r="R178" s="148">
        <f>O178*'Commission Plan Rules'!$F$6+P178*'Commission Plan Rules'!$F$7+Q178*'Commission Plan Rules'!$F$8</f>
        <v/>
      </c>
      <c r="S178" s="151">
        <f>IF(H178="New Business",IFERROR((K178/M178)*R178,0),IF(H178="Upsell",K178*'Commission Plan Rules'!$F$9,IF(H178="Renewal",K178*'Commission Plan Rules'!$F$10,0)))</f>
        <v/>
      </c>
      <c r="T178" s="141">
        <f>COUNTIFS($F$5:$F$274,F178,$K$5:$K$274,"&gt;"&amp;K178)+1</f>
        <v/>
      </c>
      <c r="U178" s="141">
        <f>F178&amp;"|"&amp;T178</f>
        <v/>
      </c>
    </row>
    <row r="179" ht="15" customHeight="1" s="107">
      <c r="A179" s="130" t="inlineStr">
        <is>
          <t>D00229</t>
        </is>
      </c>
      <c r="B179" s="130" t="inlineStr">
        <is>
          <t>R012</t>
        </is>
      </c>
      <c r="C179" s="140">
        <f>IFERROR(INDEX('Sales Roster &amp; Quotas'!$C$6:$C$20,MATCH($B179,'Sales Roster &amp; Quotas'!$B$6:$B$20,0)),"")</f>
        <v/>
      </c>
      <c r="D179" s="140">
        <f>IFERROR(INDEX('Sales Roster &amp; Quotas'!$D$6:$D$20,MATCH($B179,'Sales Roster &amp; Quotas'!$B$6:$B$20,0)),"")</f>
        <v/>
      </c>
      <c r="E179" s="131" t="n">
        <v>46131</v>
      </c>
      <c r="F179" s="141">
        <f>TEXT(E179,"yyyy-mm")</f>
        <v/>
      </c>
      <c r="G179" s="141">
        <f>IF(MONTH(E179)&lt;=3,"Q1","Q2")</f>
        <v/>
      </c>
      <c r="H179" s="130" t="inlineStr">
        <is>
          <t>Upsell</t>
        </is>
      </c>
      <c r="I179" s="130" t="inlineStr">
        <is>
          <t>Wrenfield Coverage Partners</t>
        </is>
      </c>
      <c r="J179" s="130" t="inlineStr">
        <is>
          <t>Policy Admin Core</t>
        </is>
      </c>
      <c r="K179" s="132" t="n">
        <v>10500</v>
      </c>
      <c r="L179" s="142">
        <f>IFERROR(INDEX('Sales Roster &amp; Quotas'!$G$6:$G$20,MATCH($B179,'Sales Roster &amp; Quotas'!$B$6:$B$20,0)),0)</f>
        <v/>
      </c>
      <c r="M179" s="143">
        <f>SUMIFS($K$5:$K$274,$B$5:$B$274,$B179,$G$5:$G$274,$G179,$H$5:$H$274,"New Business")</f>
        <v/>
      </c>
      <c r="N179" s="144">
        <f>IFERROR(M179/L179,0)</f>
        <v/>
      </c>
      <c r="O179" s="143">
        <f>MIN(M179,L179)</f>
        <v/>
      </c>
      <c r="P179" s="143">
        <f>MAX(MIN(M179,L179*1.25)-L179,0)</f>
        <v/>
      </c>
      <c r="Q179" s="143">
        <f>MAX(M179-L179*1.25,0)</f>
        <v/>
      </c>
      <c r="R179" s="142">
        <f>O179*'Commission Plan Rules'!$F$6+P179*'Commission Plan Rules'!$F$7+Q179*'Commission Plan Rules'!$F$8</f>
        <v/>
      </c>
      <c r="S179" s="145">
        <f>IF(H179="New Business",IFERROR((K179/M179)*R179,0),IF(H179="Upsell",K179*'Commission Plan Rules'!$F$9,IF(H179="Renewal",K179*'Commission Plan Rules'!$F$10,0)))</f>
        <v/>
      </c>
      <c r="T179" s="141">
        <f>COUNTIFS($F$5:$F$274,F179,$K$5:$K$274,"&gt;"&amp;K179)+1</f>
        <v/>
      </c>
      <c r="U179" s="141">
        <f>F179&amp;"|"&amp;T179</f>
        <v/>
      </c>
    </row>
    <row r="180" ht="15" customHeight="1" s="107">
      <c r="A180" s="133" t="inlineStr">
        <is>
          <t>D00191</t>
        </is>
      </c>
      <c r="B180" s="133" t="inlineStr">
        <is>
          <t>R010</t>
        </is>
      </c>
      <c r="C180" s="146">
        <f>IFERROR(INDEX('Sales Roster &amp; Quotas'!$C$6:$C$20,MATCH($B180,'Sales Roster &amp; Quotas'!$B$6:$B$20,0)),"")</f>
        <v/>
      </c>
      <c r="D180" s="146">
        <f>IFERROR(INDEX('Sales Roster &amp; Quotas'!$D$6:$D$20,MATCH($B180,'Sales Roster &amp; Quotas'!$B$6:$B$20,0)),"")</f>
        <v/>
      </c>
      <c r="E180" s="134" t="n">
        <v>46131</v>
      </c>
      <c r="F180" s="147">
        <f>TEXT(E180,"yyyy-mm")</f>
        <v/>
      </c>
      <c r="G180" s="147">
        <f>IF(MONTH(E180)&lt;=3,"Q1","Q2")</f>
        <v/>
      </c>
      <c r="H180" s="133" t="inlineStr">
        <is>
          <t>New Business</t>
        </is>
      </c>
      <c r="I180" s="133" t="inlineStr">
        <is>
          <t>Wrenfield Insurance Group</t>
        </is>
      </c>
      <c r="J180" s="133" t="inlineStr">
        <is>
          <t>Client Portal</t>
        </is>
      </c>
      <c r="K180" s="135" t="n">
        <v>233500</v>
      </c>
      <c r="L180" s="148">
        <f>IFERROR(INDEX('Sales Roster &amp; Quotas'!$G$6:$G$20,MATCH($B180,'Sales Roster &amp; Quotas'!$B$6:$B$20,0)),0)</f>
        <v/>
      </c>
      <c r="M180" s="149">
        <f>SUMIFS($K$5:$K$274,$B$5:$B$274,$B180,$G$5:$G$274,$G180,$H$5:$H$274,"New Business")</f>
        <v/>
      </c>
      <c r="N180" s="150">
        <f>IFERROR(M180/L180,0)</f>
        <v/>
      </c>
      <c r="O180" s="149">
        <f>MIN(M180,L180)</f>
        <v/>
      </c>
      <c r="P180" s="149">
        <f>MAX(MIN(M180,L180*1.25)-L180,0)</f>
        <v/>
      </c>
      <c r="Q180" s="149">
        <f>MAX(M180-L180*1.25,0)</f>
        <v/>
      </c>
      <c r="R180" s="148">
        <f>O180*'Commission Plan Rules'!$F$6+P180*'Commission Plan Rules'!$F$7+Q180*'Commission Plan Rules'!$F$8</f>
        <v/>
      </c>
      <c r="S180" s="151">
        <f>IF(H180="New Business",IFERROR((K180/M180)*R180,0),IF(H180="Upsell",K180*'Commission Plan Rules'!$F$9,IF(H180="Renewal",K180*'Commission Plan Rules'!$F$10,0)))</f>
        <v/>
      </c>
      <c r="T180" s="141">
        <f>COUNTIFS($F$5:$F$274,F180,$K$5:$K$274,"&gt;"&amp;K180)+1</f>
        <v/>
      </c>
      <c r="U180" s="141">
        <f>F180&amp;"|"&amp;T180</f>
        <v/>
      </c>
    </row>
    <row r="181" ht="15" customHeight="1" s="107">
      <c r="A181" s="130" t="inlineStr">
        <is>
          <t>D00154</t>
        </is>
      </c>
      <c r="B181" s="130" t="inlineStr">
        <is>
          <t>R008</t>
        </is>
      </c>
      <c r="C181" s="140">
        <f>IFERROR(INDEX('Sales Roster &amp; Quotas'!$C$6:$C$20,MATCH($B181,'Sales Roster &amp; Quotas'!$B$6:$B$20,0)),"")</f>
        <v/>
      </c>
      <c r="D181" s="140">
        <f>IFERROR(INDEX('Sales Roster &amp; Quotas'!$D$6:$D$20,MATCH($B181,'Sales Roster &amp; Quotas'!$B$6:$B$20,0)),"")</f>
        <v/>
      </c>
      <c r="E181" s="131" t="n">
        <v>46132</v>
      </c>
      <c r="F181" s="141">
        <f>TEXT(E181,"yyyy-mm")</f>
        <v/>
      </c>
      <c r="G181" s="141">
        <f>IF(MONTH(E181)&lt;=3,"Q1","Q2")</f>
        <v/>
      </c>
      <c r="H181" s="130" t="inlineStr">
        <is>
          <t>Upsell</t>
        </is>
      </c>
      <c r="I181" s="130" t="inlineStr">
        <is>
          <t>Vantage Coverage Partners</t>
        </is>
      </c>
      <c r="J181" s="130" t="inlineStr">
        <is>
          <t>Client Portal</t>
        </is>
      </c>
      <c r="K181" s="132" t="n">
        <v>13500</v>
      </c>
      <c r="L181" s="142">
        <f>IFERROR(INDEX('Sales Roster &amp; Quotas'!$G$6:$G$20,MATCH($B181,'Sales Roster &amp; Quotas'!$B$6:$B$20,0)),0)</f>
        <v/>
      </c>
      <c r="M181" s="143">
        <f>SUMIFS($K$5:$K$274,$B$5:$B$274,$B181,$G$5:$G$274,$G181,$H$5:$H$274,"New Business")</f>
        <v/>
      </c>
      <c r="N181" s="144">
        <f>IFERROR(M181/L181,0)</f>
        <v/>
      </c>
      <c r="O181" s="143">
        <f>MIN(M181,L181)</f>
        <v/>
      </c>
      <c r="P181" s="143">
        <f>MAX(MIN(M181,L181*1.25)-L181,0)</f>
        <v/>
      </c>
      <c r="Q181" s="143">
        <f>MAX(M181-L181*1.25,0)</f>
        <v/>
      </c>
      <c r="R181" s="142">
        <f>O181*'Commission Plan Rules'!$F$6+P181*'Commission Plan Rules'!$F$7+Q181*'Commission Plan Rules'!$F$8</f>
        <v/>
      </c>
      <c r="S181" s="145">
        <f>IF(H181="New Business",IFERROR((K181/M181)*R181,0),IF(H181="Upsell",K181*'Commission Plan Rules'!$F$9,IF(H181="Renewal",K181*'Commission Plan Rules'!$F$10,0)))</f>
        <v/>
      </c>
      <c r="T181" s="141">
        <f>COUNTIFS($F$5:$F$274,F181,$K$5:$K$274,"&gt;"&amp;K181)+1</f>
        <v/>
      </c>
      <c r="U181" s="141">
        <f>F181&amp;"|"&amp;T181</f>
        <v/>
      </c>
    </row>
    <row r="182" ht="15" customHeight="1" s="107">
      <c r="A182" s="133" t="inlineStr">
        <is>
          <t>D00160</t>
        </is>
      </c>
      <c r="B182" s="133" t="inlineStr">
        <is>
          <t>R008</t>
        </is>
      </c>
      <c r="C182" s="146">
        <f>IFERROR(INDEX('Sales Roster &amp; Quotas'!$C$6:$C$20,MATCH($B182,'Sales Roster &amp; Quotas'!$B$6:$B$20,0)),"")</f>
        <v/>
      </c>
      <c r="D182" s="146">
        <f>IFERROR(INDEX('Sales Roster &amp; Quotas'!$D$6:$D$20,MATCH($B182,'Sales Roster &amp; Quotas'!$B$6:$B$20,0)),"")</f>
        <v/>
      </c>
      <c r="E182" s="134" t="n">
        <v>46134</v>
      </c>
      <c r="F182" s="147">
        <f>TEXT(E182,"yyyy-mm")</f>
        <v/>
      </c>
      <c r="G182" s="147">
        <f>IF(MONTH(E182)&lt;=3,"Q1","Q2")</f>
        <v/>
      </c>
      <c r="H182" s="133" t="inlineStr">
        <is>
          <t>Renewal</t>
        </is>
      </c>
      <c r="I182" s="133" t="inlineStr">
        <is>
          <t>Granite Risk Advisors</t>
        </is>
      </c>
      <c r="J182" s="133" t="inlineStr">
        <is>
          <t>Policy Admin Core</t>
        </is>
      </c>
      <c r="K182" s="135" t="n">
        <v>2500</v>
      </c>
      <c r="L182" s="148">
        <f>IFERROR(INDEX('Sales Roster &amp; Quotas'!$G$6:$G$20,MATCH($B182,'Sales Roster &amp; Quotas'!$B$6:$B$20,0)),0)</f>
        <v/>
      </c>
      <c r="M182" s="149">
        <f>SUMIFS($K$5:$K$274,$B$5:$B$274,$B182,$G$5:$G$274,$G182,$H$5:$H$274,"New Business")</f>
        <v/>
      </c>
      <c r="N182" s="150">
        <f>IFERROR(M182/L182,0)</f>
        <v/>
      </c>
      <c r="O182" s="149">
        <f>MIN(M182,L182)</f>
        <v/>
      </c>
      <c r="P182" s="149">
        <f>MAX(MIN(M182,L182*1.25)-L182,0)</f>
        <v/>
      </c>
      <c r="Q182" s="149">
        <f>MAX(M182-L182*1.25,0)</f>
        <v/>
      </c>
      <c r="R182" s="148">
        <f>O182*'Commission Plan Rules'!$F$6+P182*'Commission Plan Rules'!$F$7+Q182*'Commission Plan Rules'!$F$8</f>
        <v/>
      </c>
      <c r="S182" s="151">
        <f>IF(H182="New Business",IFERROR((K182/M182)*R182,0),IF(H182="Upsell",K182*'Commission Plan Rules'!$F$9,IF(H182="Renewal",K182*'Commission Plan Rules'!$F$10,0)))</f>
        <v/>
      </c>
      <c r="T182" s="141">
        <f>COUNTIFS($F$5:$F$274,F182,$K$5:$K$274,"&gt;"&amp;K182)+1</f>
        <v/>
      </c>
      <c r="U182" s="141">
        <f>F182&amp;"|"&amp;T182</f>
        <v/>
      </c>
    </row>
    <row r="183" ht="15" customHeight="1" s="107">
      <c r="A183" s="130" t="inlineStr">
        <is>
          <t>D00077</t>
        </is>
      </c>
      <c r="B183" s="130" t="inlineStr">
        <is>
          <t>R004</t>
        </is>
      </c>
      <c r="C183" s="140">
        <f>IFERROR(INDEX('Sales Roster &amp; Quotas'!$C$6:$C$20,MATCH($B183,'Sales Roster &amp; Quotas'!$B$6:$B$20,0)),"")</f>
        <v/>
      </c>
      <c r="D183" s="140">
        <f>IFERROR(INDEX('Sales Roster &amp; Quotas'!$D$6:$D$20,MATCH($B183,'Sales Roster &amp; Quotas'!$B$6:$B$20,0)),"")</f>
        <v/>
      </c>
      <c r="E183" s="131" t="n">
        <v>46134</v>
      </c>
      <c r="F183" s="141">
        <f>TEXT(E183,"yyyy-mm")</f>
        <v/>
      </c>
      <c r="G183" s="141">
        <f>IF(MONTH(E183)&lt;=3,"Q1","Q2")</f>
        <v/>
      </c>
      <c r="H183" s="130" t="inlineStr">
        <is>
          <t>Renewal</t>
        </is>
      </c>
      <c r="I183" s="130" t="inlineStr">
        <is>
          <t>Brookhaven Mutual Agency</t>
        </is>
      </c>
      <c r="J183" s="130" t="inlineStr">
        <is>
          <t>Analytics Add-On</t>
        </is>
      </c>
      <c r="K183" s="132" t="n">
        <v>133000</v>
      </c>
      <c r="L183" s="142">
        <f>IFERROR(INDEX('Sales Roster &amp; Quotas'!$G$6:$G$20,MATCH($B183,'Sales Roster &amp; Quotas'!$B$6:$B$20,0)),0)</f>
        <v/>
      </c>
      <c r="M183" s="143">
        <f>SUMIFS($K$5:$K$274,$B$5:$B$274,$B183,$G$5:$G$274,$G183,$H$5:$H$274,"New Business")</f>
        <v/>
      </c>
      <c r="N183" s="144">
        <f>IFERROR(M183/L183,0)</f>
        <v/>
      </c>
      <c r="O183" s="143">
        <f>MIN(M183,L183)</f>
        <v/>
      </c>
      <c r="P183" s="143">
        <f>MAX(MIN(M183,L183*1.25)-L183,0)</f>
        <v/>
      </c>
      <c r="Q183" s="143">
        <f>MAX(M183-L183*1.25,0)</f>
        <v/>
      </c>
      <c r="R183" s="142">
        <f>O183*'Commission Plan Rules'!$F$6+P183*'Commission Plan Rules'!$F$7+Q183*'Commission Plan Rules'!$F$8</f>
        <v/>
      </c>
      <c r="S183" s="145">
        <f>IF(H183="New Business",IFERROR((K183/M183)*R183,0),IF(H183="Upsell",K183*'Commission Plan Rules'!$F$9,IF(H183="Renewal",K183*'Commission Plan Rules'!$F$10,0)))</f>
        <v/>
      </c>
      <c r="T183" s="141">
        <f>COUNTIFS($F$5:$F$274,F183,$K$5:$K$274,"&gt;"&amp;K183)+1</f>
        <v/>
      </c>
      <c r="U183" s="141">
        <f>F183&amp;"|"&amp;T183</f>
        <v/>
      </c>
    </row>
    <row r="184" ht="15" customHeight="1" s="107">
      <c r="A184" s="133" t="inlineStr">
        <is>
          <t>D00208</t>
        </is>
      </c>
      <c r="B184" s="133" t="inlineStr">
        <is>
          <t>R011</t>
        </is>
      </c>
      <c r="C184" s="146">
        <f>IFERROR(INDEX('Sales Roster &amp; Quotas'!$C$6:$C$20,MATCH($B184,'Sales Roster &amp; Quotas'!$B$6:$B$20,0)),"")</f>
        <v/>
      </c>
      <c r="D184" s="146">
        <f>IFERROR(INDEX('Sales Roster &amp; Quotas'!$D$6:$D$20,MATCH($B184,'Sales Roster &amp; Quotas'!$B$6:$B$20,0)),"")</f>
        <v/>
      </c>
      <c r="E184" s="134" t="n">
        <v>46136</v>
      </c>
      <c r="F184" s="147">
        <f>TEXT(E184,"yyyy-mm")</f>
        <v/>
      </c>
      <c r="G184" s="147">
        <f>IF(MONTH(E184)&lt;=3,"Q1","Q2")</f>
        <v/>
      </c>
      <c r="H184" s="133" t="inlineStr">
        <is>
          <t>New Business</t>
        </is>
      </c>
      <c r="I184" s="133" t="inlineStr">
        <is>
          <t>Overlook Insurance Solutions</t>
        </is>
      </c>
      <c r="J184" s="133" t="inlineStr">
        <is>
          <t>Claims Module</t>
        </is>
      </c>
      <c r="K184" s="135" t="n">
        <v>7000</v>
      </c>
      <c r="L184" s="148">
        <f>IFERROR(INDEX('Sales Roster &amp; Quotas'!$G$6:$G$20,MATCH($B184,'Sales Roster &amp; Quotas'!$B$6:$B$20,0)),0)</f>
        <v/>
      </c>
      <c r="M184" s="149">
        <f>SUMIFS($K$5:$K$274,$B$5:$B$274,$B184,$G$5:$G$274,$G184,$H$5:$H$274,"New Business")</f>
        <v/>
      </c>
      <c r="N184" s="150">
        <f>IFERROR(M184/L184,0)</f>
        <v/>
      </c>
      <c r="O184" s="149">
        <f>MIN(M184,L184)</f>
        <v/>
      </c>
      <c r="P184" s="149">
        <f>MAX(MIN(M184,L184*1.25)-L184,0)</f>
        <v/>
      </c>
      <c r="Q184" s="149">
        <f>MAX(M184-L184*1.25,0)</f>
        <v/>
      </c>
      <c r="R184" s="148">
        <f>O184*'Commission Plan Rules'!$F$6+P184*'Commission Plan Rules'!$F$7+Q184*'Commission Plan Rules'!$F$8</f>
        <v/>
      </c>
      <c r="S184" s="151">
        <f>IF(H184="New Business",IFERROR((K184/M184)*R184,0),IF(H184="Upsell",K184*'Commission Plan Rules'!$F$9,IF(H184="Renewal",K184*'Commission Plan Rules'!$F$10,0)))</f>
        <v/>
      </c>
      <c r="T184" s="141">
        <f>COUNTIFS($F$5:$F$274,F184,$K$5:$K$274,"&gt;"&amp;K184)+1</f>
        <v/>
      </c>
      <c r="U184" s="141">
        <f>F184&amp;"|"&amp;T184</f>
        <v/>
      </c>
    </row>
    <row r="185" ht="15" customHeight="1" s="107">
      <c r="A185" s="130" t="inlineStr">
        <is>
          <t>D00023</t>
        </is>
      </c>
      <c r="B185" s="130" t="inlineStr">
        <is>
          <t>R001</t>
        </is>
      </c>
      <c r="C185" s="140">
        <f>IFERROR(INDEX('Sales Roster &amp; Quotas'!$C$6:$C$20,MATCH($B185,'Sales Roster &amp; Quotas'!$B$6:$B$20,0)),"")</f>
        <v/>
      </c>
      <c r="D185" s="140">
        <f>IFERROR(INDEX('Sales Roster &amp; Quotas'!$D$6:$D$20,MATCH($B185,'Sales Roster &amp; Quotas'!$B$6:$B$20,0)),"")</f>
        <v/>
      </c>
      <c r="E185" s="131" t="n">
        <v>46136</v>
      </c>
      <c r="F185" s="141">
        <f>TEXT(E185,"yyyy-mm")</f>
        <v/>
      </c>
      <c r="G185" s="141">
        <f>IF(MONTH(E185)&lt;=3,"Q1","Q2")</f>
        <v/>
      </c>
      <c r="H185" s="130" t="inlineStr">
        <is>
          <t>Renewal</t>
        </is>
      </c>
      <c r="I185" s="130" t="inlineStr">
        <is>
          <t>Overlook Underwriters</t>
        </is>
      </c>
      <c r="J185" s="130" t="inlineStr">
        <is>
          <t>Client Portal</t>
        </is>
      </c>
      <c r="K185" s="132" t="n">
        <v>10000</v>
      </c>
      <c r="L185" s="142">
        <f>IFERROR(INDEX('Sales Roster &amp; Quotas'!$G$6:$G$20,MATCH($B185,'Sales Roster &amp; Quotas'!$B$6:$B$20,0)),0)</f>
        <v/>
      </c>
      <c r="M185" s="143">
        <f>SUMIFS($K$5:$K$274,$B$5:$B$274,$B185,$G$5:$G$274,$G185,$H$5:$H$274,"New Business")</f>
        <v/>
      </c>
      <c r="N185" s="144">
        <f>IFERROR(M185/L185,0)</f>
        <v/>
      </c>
      <c r="O185" s="143">
        <f>MIN(M185,L185)</f>
        <v/>
      </c>
      <c r="P185" s="143">
        <f>MAX(MIN(M185,L185*1.25)-L185,0)</f>
        <v/>
      </c>
      <c r="Q185" s="143">
        <f>MAX(M185-L185*1.25,0)</f>
        <v/>
      </c>
      <c r="R185" s="142">
        <f>O185*'Commission Plan Rules'!$F$6+P185*'Commission Plan Rules'!$F$7+Q185*'Commission Plan Rules'!$F$8</f>
        <v/>
      </c>
      <c r="S185" s="145">
        <f>IF(H185="New Business",IFERROR((K185/M185)*R185,0),IF(H185="Upsell",K185*'Commission Plan Rules'!$F$9,IF(H185="Renewal",K185*'Commission Plan Rules'!$F$10,0)))</f>
        <v/>
      </c>
      <c r="T185" s="141">
        <f>COUNTIFS($F$5:$F$274,F185,$K$5:$K$274,"&gt;"&amp;K185)+1</f>
        <v/>
      </c>
      <c r="U185" s="141">
        <f>F185&amp;"|"&amp;T185</f>
        <v/>
      </c>
    </row>
    <row r="186" ht="15" customHeight="1" s="107">
      <c r="A186" s="133" t="inlineStr">
        <is>
          <t>D00225</t>
        </is>
      </c>
      <c r="B186" s="133" t="inlineStr">
        <is>
          <t>R012</t>
        </is>
      </c>
      <c r="C186" s="146">
        <f>IFERROR(INDEX('Sales Roster &amp; Quotas'!$C$6:$C$20,MATCH($B186,'Sales Roster &amp; Quotas'!$B$6:$B$20,0)),"")</f>
        <v/>
      </c>
      <c r="D186" s="146">
        <f>IFERROR(INDEX('Sales Roster &amp; Quotas'!$D$6:$D$20,MATCH($B186,'Sales Roster &amp; Quotas'!$B$6:$B$20,0)),"")</f>
        <v/>
      </c>
      <c r="E186" s="134" t="n">
        <v>46136</v>
      </c>
      <c r="F186" s="147">
        <f>TEXT(E186,"yyyy-mm")</f>
        <v/>
      </c>
      <c r="G186" s="147">
        <f>IF(MONTH(E186)&lt;=3,"Q1","Q2")</f>
        <v/>
      </c>
      <c r="H186" s="133" t="inlineStr">
        <is>
          <t>New Business</t>
        </is>
      </c>
      <c r="I186" s="133" t="inlineStr">
        <is>
          <t>Windham Insurance Brokers</t>
        </is>
      </c>
      <c r="J186" s="133" t="inlineStr">
        <is>
          <t>Analytics Add-On</t>
        </is>
      </c>
      <c r="K186" s="135" t="n">
        <v>22500</v>
      </c>
      <c r="L186" s="148">
        <f>IFERROR(INDEX('Sales Roster &amp; Quotas'!$G$6:$G$20,MATCH($B186,'Sales Roster &amp; Quotas'!$B$6:$B$20,0)),0)</f>
        <v/>
      </c>
      <c r="M186" s="149">
        <f>SUMIFS($K$5:$K$274,$B$5:$B$274,$B186,$G$5:$G$274,$G186,$H$5:$H$274,"New Business")</f>
        <v/>
      </c>
      <c r="N186" s="150">
        <f>IFERROR(M186/L186,0)</f>
        <v/>
      </c>
      <c r="O186" s="149">
        <f>MIN(M186,L186)</f>
        <v/>
      </c>
      <c r="P186" s="149">
        <f>MAX(MIN(M186,L186*1.25)-L186,0)</f>
        <v/>
      </c>
      <c r="Q186" s="149">
        <f>MAX(M186-L186*1.25,0)</f>
        <v/>
      </c>
      <c r="R186" s="148">
        <f>O186*'Commission Plan Rules'!$F$6+P186*'Commission Plan Rules'!$F$7+Q186*'Commission Plan Rules'!$F$8</f>
        <v/>
      </c>
      <c r="S186" s="151">
        <f>IF(H186="New Business",IFERROR((K186/M186)*R186,0),IF(H186="Upsell",K186*'Commission Plan Rules'!$F$9,IF(H186="Renewal",K186*'Commission Plan Rules'!$F$10,0)))</f>
        <v/>
      </c>
      <c r="T186" s="141">
        <f>COUNTIFS($F$5:$F$274,F186,$K$5:$K$274,"&gt;"&amp;K186)+1</f>
        <v/>
      </c>
      <c r="U186" s="141">
        <f>F186&amp;"|"&amp;T186</f>
        <v/>
      </c>
    </row>
    <row r="187" ht="15" customHeight="1" s="107">
      <c r="A187" s="130" t="inlineStr">
        <is>
          <t>D00099</t>
        </is>
      </c>
      <c r="B187" s="130" t="inlineStr">
        <is>
          <t>R005</t>
        </is>
      </c>
      <c r="C187" s="140">
        <f>IFERROR(INDEX('Sales Roster &amp; Quotas'!$C$6:$C$20,MATCH($B187,'Sales Roster &amp; Quotas'!$B$6:$B$20,0)),"")</f>
        <v/>
      </c>
      <c r="D187" s="140">
        <f>IFERROR(INDEX('Sales Roster &amp; Quotas'!$D$6:$D$20,MATCH($B187,'Sales Roster &amp; Quotas'!$B$6:$B$20,0)),"")</f>
        <v/>
      </c>
      <c r="E187" s="131" t="n">
        <v>46136</v>
      </c>
      <c r="F187" s="141">
        <f>TEXT(E187,"yyyy-mm")</f>
        <v/>
      </c>
      <c r="G187" s="141">
        <f>IF(MONTH(E187)&lt;=3,"Q1","Q2")</f>
        <v/>
      </c>
      <c r="H187" s="130" t="inlineStr">
        <is>
          <t>Renewal</t>
        </is>
      </c>
      <c r="I187" s="130" t="inlineStr">
        <is>
          <t>Cobalt Agency Partners</t>
        </is>
      </c>
      <c r="J187" s="130" t="inlineStr">
        <is>
          <t>Policy Admin Core</t>
        </is>
      </c>
      <c r="K187" s="132" t="n">
        <v>18500</v>
      </c>
      <c r="L187" s="142">
        <f>IFERROR(INDEX('Sales Roster &amp; Quotas'!$G$6:$G$20,MATCH($B187,'Sales Roster &amp; Quotas'!$B$6:$B$20,0)),0)</f>
        <v/>
      </c>
      <c r="M187" s="143">
        <f>SUMIFS($K$5:$K$274,$B$5:$B$274,$B187,$G$5:$G$274,$G187,$H$5:$H$274,"New Business")</f>
        <v/>
      </c>
      <c r="N187" s="144">
        <f>IFERROR(M187/L187,0)</f>
        <v/>
      </c>
      <c r="O187" s="143">
        <f>MIN(M187,L187)</f>
        <v/>
      </c>
      <c r="P187" s="143">
        <f>MAX(MIN(M187,L187*1.25)-L187,0)</f>
        <v/>
      </c>
      <c r="Q187" s="143">
        <f>MAX(M187-L187*1.25,0)</f>
        <v/>
      </c>
      <c r="R187" s="142">
        <f>O187*'Commission Plan Rules'!$F$6+P187*'Commission Plan Rules'!$F$7+Q187*'Commission Plan Rules'!$F$8</f>
        <v/>
      </c>
      <c r="S187" s="145">
        <f>IF(H187="New Business",IFERROR((K187/M187)*R187,0),IF(H187="Upsell",K187*'Commission Plan Rules'!$F$9,IF(H187="Renewal",K187*'Commission Plan Rules'!$F$10,0)))</f>
        <v/>
      </c>
      <c r="T187" s="141">
        <f>COUNTIFS($F$5:$F$274,F187,$K$5:$K$274,"&gt;"&amp;K187)+1</f>
        <v/>
      </c>
      <c r="U187" s="141">
        <f>F187&amp;"|"&amp;T187</f>
        <v/>
      </c>
    </row>
    <row r="188" ht="15" customHeight="1" s="107">
      <c r="A188" s="133" t="inlineStr">
        <is>
          <t>D00192</t>
        </is>
      </c>
      <c r="B188" s="133" t="inlineStr">
        <is>
          <t>R010</t>
        </is>
      </c>
      <c r="C188" s="146">
        <f>IFERROR(INDEX('Sales Roster &amp; Quotas'!$C$6:$C$20,MATCH($B188,'Sales Roster &amp; Quotas'!$B$6:$B$20,0)),"")</f>
        <v/>
      </c>
      <c r="D188" s="146">
        <f>IFERROR(INDEX('Sales Roster &amp; Quotas'!$D$6:$D$20,MATCH($B188,'Sales Roster &amp; Quotas'!$B$6:$B$20,0)),"")</f>
        <v/>
      </c>
      <c r="E188" s="134" t="n">
        <v>46137</v>
      </c>
      <c r="F188" s="147">
        <f>TEXT(E188,"yyyy-mm")</f>
        <v/>
      </c>
      <c r="G188" s="147">
        <f>IF(MONTH(E188)&lt;=3,"Q1","Q2")</f>
        <v/>
      </c>
      <c r="H188" s="133" t="inlineStr">
        <is>
          <t>Upsell</t>
        </is>
      </c>
      <c r="I188" s="133" t="inlineStr">
        <is>
          <t>Summit Coverage Partners</t>
        </is>
      </c>
      <c r="J188" s="133" t="inlineStr">
        <is>
          <t>Policy Admin Core</t>
        </is>
      </c>
      <c r="K188" s="135" t="n">
        <v>49500</v>
      </c>
      <c r="L188" s="148">
        <f>IFERROR(INDEX('Sales Roster &amp; Quotas'!$G$6:$G$20,MATCH($B188,'Sales Roster &amp; Quotas'!$B$6:$B$20,0)),0)</f>
        <v/>
      </c>
      <c r="M188" s="149">
        <f>SUMIFS($K$5:$K$274,$B$5:$B$274,$B188,$G$5:$G$274,$G188,$H$5:$H$274,"New Business")</f>
        <v/>
      </c>
      <c r="N188" s="150">
        <f>IFERROR(M188/L188,0)</f>
        <v/>
      </c>
      <c r="O188" s="149">
        <f>MIN(M188,L188)</f>
        <v/>
      </c>
      <c r="P188" s="149">
        <f>MAX(MIN(M188,L188*1.25)-L188,0)</f>
        <v/>
      </c>
      <c r="Q188" s="149">
        <f>MAX(M188-L188*1.25,0)</f>
        <v/>
      </c>
      <c r="R188" s="148">
        <f>O188*'Commission Plan Rules'!$F$6+P188*'Commission Plan Rules'!$F$7+Q188*'Commission Plan Rules'!$F$8</f>
        <v/>
      </c>
      <c r="S188" s="151">
        <f>IF(H188="New Business",IFERROR((K188/M188)*R188,0),IF(H188="Upsell",K188*'Commission Plan Rules'!$F$9,IF(H188="Renewal",K188*'Commission Plan Rules'!$F$10,0)))</f>
        <v/>
      </c>
      <c r="T188" s="141">
        <f>COUNTIFS($F$5:$F$274,F188,$K$5:$K$274,"&gt;"&amp;K188)+1</f>
        <v/>
      </c>
      <c r="U188" s="141">
        <f>F188&amp;"|"&amp;T188</f>
        <v/>
      </c>
    </row>
    <row r="189" ht="15" customHeight="1" s="107">
      <c r="A189" s="130" t="inlineStr">
        <is>
          <t>D00243</t>
        </is>
      </c>
      <c r="B189" s="130" t="inlineStr">
        <is>
          <t>R013</t>
        </is>
      </c>
      <c r="C189" s="140">
        <f>IFERROR(INDEX('Sales Roster &amp; Quotas'!$C$6:$C$20,MATCH($B189,'Sales Roster &amp; Quotas'!$B$6:$B$20,0)),"")</f>
        <v/>
      </c>
      <c r="D189" s="140">
        <f>IFERROR(INDEX('Sales Roster &amp; Quotas'!$D$6:$D$20,MATCH($B189,'Sales Roster &amp; Quotas'!$B$6:$B$20,0)),"")</f>
        <v/>
      </c>
      <c r="E189" s="131" t="n">
        <v>46137</v>
      </c>
      <c r="F189" s="141">
        <f>TEXT(E189,"yyyy-mm")</f>
        <v/>
      </c>
      <c r="G189" s="141">
        <f>IF(MONTH(E189)&lt;=3,"Q1","Q2")</f>
        <v/>
      </c>
      <c r="H189" s="130" t="inlineStr">
        <is>
          <t>Renewal</t>
        </is>
      </c>
      <c r="I189" s="130" t="inlineStr">
        <is>
          <t>Redwood Coverage Partners</t>
        </is>
      </c>
      <c r="J189" s="130" t="inlineStr">
        <is>
          <t>Policy Admin Core</t>
        </is>
      </c>
      <c r="K189" s="132" t="n">
        <v>67500</v>
      </c>
      <c r="L189" s="142">
        <f>IFERROR(INDEX('Sales Roster &amp; Quotas'!$G$6:$G$20,MATCH($B189,'Sales Roster &amp; Quotas'!$B$6:$B$20,0)),0)</f>
        <v/>
      </c>
      <c r="M189" s="143">
        <f>SUMIFS($K$5:$K$274,$B$5:$B$274,$B189,$G$5:$G$274,$G189,$H$5:$H$274,"New Business")</f>
        <v/>
      </c>
      <c r="N189" s="144">
        <f>IFERROR(M189/L189,0)</f>
        <v/>
      </c>
      <c r="O189" s="143">
        <f>MIN(M189,L189)</f>
        <v/>
      </c>
      <c r="P189" s="143">
        <f>MAX(MIN(M189,L189*1.25)-L189,0)</f>
        <v/>
      </c>
      <c r="Q189" s="143">
        <f>MAX(M189-L189*1.25,0)</f>
        <v/>
      </c>
      <c r="R189" s="142">
        <f>O189*'Commission Plan Rules'!$F$6+P189*'Commission Plan Rules'!$F$7+Q189*'Commission Plan Rules'!$F$8</f>
        <v/>
      </c>
      <c r="S189" s="145">
        <f>IF(H189="New Business",IFERROR((K189/M189)*R189,0),IF(H189="Upsell",K189*'Commission Plan Rules'!$F$9,IF(H189="Renewal",K189*'Commission Plan Rules'!$F$10,0)))</f>
        <v/>
      </c>
      <c r="T189" s="141">
        <f>COUNTIFS($F$5:$F$274,F189,$K$5:$K$274,"&gt;"&amp;K189)+1</f>
        <v/>
      </c>
      <c r="U189" s="141">
        <f>F189&amp;"|"&amp;T189</f>
        <v/>
      </c>
    </row>
    <row r="190" ht="15" customHeight="1" s="107">
      <c r="A190" s="133" t="inlineStr">
        <is>
          <t>D00034</t>
        </is>
      </c>
      <c r="B190" s="133" t="inlineStr">
        <is>
          <t>R002</t>
        </is>
      </c>
      <c r="C190" s="146">
        <f>IFERROR(INDEX('Sales Roster &amp; Quotas'!$C$6:$C$20,MATCH($B190,'Sales Roster &amp; Quotas'!$B$6:$B$20,0)),"")</f>
        <v/>
      </c>
      <c r="D190" s="146">
        <f>IFERROR(INDEX('Sales Roster &amp; Quotas'!$D$6:$D$20,MATCH($B190,'Sales Roster &amp; Quotas'!$B$6:$B$20,0)),"")</f>
        <v/>
      </c>
      <c r="E190" s="134" t="n">
        <v>46139</v>
      </c>
      <c r="F190" s="147">
        <f>TEXT(E190,"yyyy-mm")</f>
        <v/>
      </c>
      <c r="G190" s="147">
        <f>IF(MONTH(E190)&lt;=3,"Q1","Q2")</f>
        <v/>
      </c>
      <c r="H190" s="133" t="inlineStr">
        <is>
          <t>New Business</t>
        </is>
      </c>
      <c r="I190" s="133" t="inlineStr">
        <is>
          <t>Cedarline Underwriters</t>
        </is>
      </c>
      <c r="J190" s="133" t="inlineStr">
        <is>
          <t>Client Portal</t>
        </is>
      </c>
      <c r="K190" s="135" t="n">
        <v>33500</v>
      </c>
      <c r="L190" s="148">
        <f>IFERROR(INDEX('Sales Roster &amp; Quotas'!$G$6:$G$20,MATCH($B190,'Sales Roster &amp; Quotas'!$B$6:$B$20,0)),0)</f>
        <v/>
      </c>
      <c r="M190" s="149">
        <f>SUMIFS($K$5:$K$274,$B$5:$B$274,$B190,$G$5:$G$274,$G190,$H$5:$H$274,"New Business")</f>
        <v/>
      </c>
      <c r="N190" s="150">
        <f>IFERROR(M190/L190,0)</f>
        <v/>
      </c>
      <c r="O190" s="149">
        <f>MIN(M190,L190)</f>
        <v/>
      </c>
      <c r="P190" s="149">
        <f>MAX(MIN(M190,L190*1.25)-L190,0)</f>
        <v/>
      </c>
      <c r="Q190" s="149">
        <f>MAX(M190-L190*1.25,0)</f>
        <v/>
      </c>
      <c r="R190" s="148">
        <f>O190*'Commission Plan Rules'!$F$6+P190*'Commission Plan Rules'!$F$7+Q190*'Commission Plan Rules'!$F$8</f>
        <v/>
      </c>
      <c r="S190" s="151">
        <f>IF(H190="New Business",IFERROR((K190/M190)*R190,0),IF(H190="Upsell",K190*'Commission Plan Rules'!$F$9,IF(H190="Renewal",K190*'Commission Plan Rules'!$F$10,0)))</f>
        <v/>
      </c>
      <c r="T190" s="141">
        <f>COUNTIFS($F$5:$F$274,F190,$K$5:$K$274,"&gt;"&amp;K190)+1</f>
        <v/>
      </c>
      <c r="U190" s="141">
        <f>F190&amp;"|"&amp;T190</f>
        <v/>
      </c>
    </row>
    <row r="191" ht="15" customHeight="1" s="107">
      <c r="A191" s="130" t="inlineStr">
        <is>
          <t>D00016</t>
        </is>
      </c>
      <c r="B191" s="130" t="inlineStr">
        <is>
          <t>R001</t>
        </is>
      </c>
      <c r="C191" s="140">
        <f>IFERROR(INDEX('Sales Roster &amp; Quotas'!$C$6:$C$20,MATCH($B191,'Sales Roster &amp; Quotas'!$B$6:$B$20,0)),"")</f>
        <v/>
      </c>
      <c r="D191" s="140">
        <f>IFERROR(INDEX('Sales Roster &amp; Quotas'!$D$6:$D$20,MATCH($B191,'Sales Roster &amp; Quotas'!$B$6:$B$20,0)),"")</f>
        <v/>
      </c>
      <c r="E191" s="131" t="n">
        <v>46139</v>
      </c>
      <c r="F191" s="141">
        <f>TEXT(E191,"yyyy-mm")</f>
        <v/>
      </c>
      <c r="G191" s="141">
        <f>IF(MONTH(E191)&lt;=3,"Q1","Q2")</f>
        <v/>
      </c>
      <c r="H191" s="130" t="inlineStr">
        <is>
          <t>New Business</t>
        </is>
      </c>
      <c r="I191" s="130" t="inlineStr">
        <is>
          <t>Ironwood Risk Advisors</t>
        </is>
      </c>
      <c r="J191" s="130" t="inlineStr">
        <is>
          <t>Analytics Add-On</t>
        </is>
      </c>
      <c r="K191" s="132" t="n">
        <v>6500</v>
      </c>
      <c r="L191" s="142">
        <f>IFERROR(INDEX('Sales Roster &amp; Quotas'!$G$6:$G$20,MATCH($B191,'Sales Roster &amp; Quotas'!$B$6:$B$20,0)),0)</f>
        <v/>
      </c>
      <c r="M191" s="143">
        <f>SUMIFS($K$5:$K$274,$B$5:$B$274,$B191,$G$5:$G$274,$G191,$H$5:$H$274,"New Business")</f>
        <v/>
      </c>
      <c r="N191" s="144">
        <f>IFERROR(M191/L191,0)</f>
        <v/>
      </c>
      <c r="O191" s="143">
        <f>MIN(M191,L191)</f>
        <v/>
      </c>
      <c r="P191" s="143">
        <f>MAX(MIN(M191,L191*1.25)-L191,0)</f>
        <v/>
      </c>
      <c r="Q191" s="143">
        <f>MAX(M191-L191*1.25,0)</f>
        <v/>
      </c>
      <c r="R191" s="142">
        <f>O191*'Commission Plan Rules'!$F$6+P191*'Commission Plan Rules'!$F$7+Q191*'Commission Plan Rules'!$F$8</f>
        <v/>
      </c>
      <c r="S191" s="145">
        <f>IF(H191="New Business",IFERROR((K191/M191)*R191,0),IF(H191="Upsell",K191*'Commission Plan Rules'!$F$9,IF(H191="Renewal",K191*'Commission Plan Rules'!$F$10,0)))</f>
        <v/>
      </c>
      <c r="T191" s="141">
        <f>COUNTIFS($F$5:$F$274,F191,$K$5:$K$274,"&gt;"&amp;K191)+1</f>
        <v/>
      </c>
      <c r="U191" s="141">
        <f>F191&amp;"|"&amp;T191</f>
        <v/>
      </c>
    </row>
    <row r="192" ht="15" customHeight="1" s="107">
      <c r="A192" s="133" t="inlineStr">
        <is>
          <t>D00019</t>
        </is>
      </c>
      <c r="B192" s="133" t="inlineStr">
        <is>
          <t>R001</t>
        </is>
      </c>
      <c r="C192" s="146">
        <f>IFERROR(INDEX('Sales Roster &amp; Quotas'!$C$6:$C$20,MATCH($B192,'Sales Roster &amp; Quotas'!$B$6:$B$20,0)),"")</f>
        <v/>
      </c>
      <c r="D192" s="146">
        <f>IFERROR(INDEX('Sales Roster &amp; Quotas'!$D$6:$D$20,MATCH($B192,'Sales Roster &amp; Quotas'!$B$6:$B$20,0)),"")</f>
        <v/>
      </c>
      <c r="E192" s="134" t="n">
        <v>46139</v>
      </c>
      <c r="F192" s="147">
        <f>TEXT(E192,"yyyy-mm")</f>
        <v/>
      </c>
      <c r="G192" s="147">
        <f>IF(MONTH(E192)&lt;=3,"Q1","Q2")</f>
        <v/>
      </c>
      <c r="H192" s="133" t="inlineStr">
        <is>
          <t>Upsell</t>
        </is>
      </c>
      <c r="I192" s="133" t="inlineStr">
        <is>
          <t>Sterling Coverage Partners</t>
        </is>
      </c>
      <c r="J192" s="133" t="inlineStr">
        <is>
          <t>Policy Admin Core</t>
        </is>
      </c>
      <c r="K192" s="135" t="n">
        <v>23000</v>
      </c>
      <c r="L192" s="148">
        <f>IFERROR(INDEX('Sales Roster &amp; Quotas'!$G$6:$G$20,MATCH($B192,'Sales Roster &amp; Quotas'!$B$6:$B$20,0)),0)</f>
        <v/>
      </c>
      <c r="M192" s="149">
        <f>SUMIFS($K$5:$K$274,$B$5:$B$274,$B192,$G$5:$G$274,$G192,$H$5:$H$274,"New Business")</f>
        <v/>
      </c>
      <c r="N192" s="150">
        <f>IFERROR(M192/L192,0)</f>
        <v/>
      </c>
      <c r="O192" s="149">
        <f>MIN(M192,L192)</f>
        <v/>
      </c>
      <c r="P192" s="149">
        <f>MAX(MIN(M192,L192*1.25)-L192,0)</f>
        <v/>
      </c>
      <c r="Q192" s="149">
        <f>MAX(M192-L192*1.25,0)</f>
        <v/>
      </c>
      <c r="R192" s="148">
        <f>O192*'Commission Plan Rules'!$F$6+P192*'Commission Plan Rules'!$F$7+Q192*'Commission Plan Rules'!$F$8</f>
        <v/>
      </c>
      <c r="S192" s="151">
        <f>IF(H192="New Business",IFERROR((K192/M192)*R192,0),IF(H192="Upsell",K192*'Commission Plan Rules'!$F$9,IF(H192="Renewal",K192*'Commission Plan Rules'!$F$10,0)))</f>
        <v/>
      </c>
      <c r="T192" s="141">
        <f>COUNTIFS($F$5:$F$274,F192,$K$5:$K$274,"&gt;"&amp;K192)+1</f>
        <v/>
      </c>
      <c r="U192" s="141">
        <f>F192&amp;"|"&amp;T192</f>
        <v/>
      </c>
    </row>
    <row r="193" ht="15" customHeight="1" s="107">
      <c r="A193" s="130" t="inlineStr">
        <is>
          <t>D00135</t>
        </is>
      </c>
      <c r="B193" s="130" t="inlineStr">
        <is>
          <t>R007</t>
        </is>
      </c>
      <c r="C193" s="140">
        <f>IFERROR(INDEX('Sales Roster &amp; Quotas'!$C$6:$C$20,MATCH($B193,'Sales Roster &amp; Quotas'!$B$6:$B$20,0)),"")</f>
        <v/>
      </c>
      <c r="D193" s="140">
        <f>IFERROR(INDEX('Sales Roster &amp; Quotas'!$D$6:$D$20,MATCH($B193,'Sales Roster &amp; Quotas'!$B$6:$B$20,0)),"")</f>
        <v/>
      </c>
      <c r="E193" s="131" t="n">
        <v>46139</v>
      </c>
      <c r="F193" s="141">
        <f>TEXT(E193,"yyyy-mm")</f>
        <v/>
      </c>
      <c r="G193" s="141">
        <f>IF(MONTH(E193)&lt;=3,"Q1","Q2")</f>
        <v/>
      </c>
      <c r="H193" s="130" t="inlineStr">
        <is>
          <t>New Business</t>
        </is>
      </c>
      <c r="I193" s="130" t="inlineStr">
        <is>
          <t>Ashford Insurance Brokers</t>
        </is>
      </c>
      <c r="J193" s="130" t="inlineStr">
        <is>
          <t>Policy Admin Core</t>
        </is>
      </c>
      <c r="K193" s="132" t="n">
        <v>57500</v>
      </c>
      <c r="L193" s="142">
        <f>IFERROR(INDEX('Sales Roster &amp; Quotas'!$G$6:$G$20,MATCH($B193,'Sales Roster &amp; Quotas'!$B$6:$B$20,0)),0)</f>
        <v/>
      </c>
      <c r="M193" s="143">
        <f>SUMIFS($K$5:$K$274,$B$5:$B$274,$B193,$G$5:$G$274,$G193,$H$5:$H$274,"New Business")</f>
        <v/>
      </c>
      <c r="N193" s="144">
        <f>IFERROR(M193/L193,0)</f>
        <v/>
      </c>
      <c r="O193" s="143">
        <f>MIN(M193,L193)</f>
        <v/>
      </c>
      <c r="P193" s="143">
        <f>MAX(MIN(M193,L193*1.25)-L193,0)</f>
        <v/>
      </c>
      <c r="Q193" s="143">
        <f>MAX(M193-L193*1.25,0)</f>
        <v/>
      </c>
      <c r="R193" s="142">
        <f>O193*'Commission Plan Rules'!$F$6+P193*'Commission Plan Rules'!$F$7+Q193*'Commission Plan Rules'!$F$8</f>
        <v/>
      </c>
      <c r="S193" s="145">
        <f>IF(H193="New Business",IFERROR((K193/M193)*R193,0),IF(H193="Upsell",K193*'Commission Plan Rules'!$F$9,IF(H193="Renewal",K193*'Commission Plan Rules'!$F$10,0)))</f>
        <v/>
      </c>
      <c r="T193" s="141">
        <f>COUNTIFS($F$5:$F$274,F193,$K$5:$K$274,"&gt;"&amp;K193)+1</f>
        <v/>
      </c>
      <c r="U193" s="141">
        <f>F193&amp;"|"&amp;T193</f>
        <v/>
      </c>
    </row>
    <row r="194" ht="15" customHeight="1" s="107">
      <c r="A194" s="133" t="inlineStr">
        <is>
          <t>D00244</t>
        </is>
      </c>
      <c r="B194" s="133" t="inlineStr">
        <is>
          <t>R013</t>
        </is>
      </c>
      <c r="C194" s="146">
        <f>IFERROR(INDEX('Sales Roster &amp; Quotas'!$C$6:$C$20,MATCH($B194,'Sales Roster &amp; Quotas'!$B$6:$B$20,0)),"")</f>
        <v/>
      </c>
      <c r="D194" s="146">
        <f>IFERROR(INDEX('Sales Roster &amp; Quotas'!$D$6:$D$20,MATCH($B194,'Sales Roster &amp; Quotas'!$B$6:$B$20,0)),"")</f>
        <v/>
      </c>
      <c r="E194" s="134" t="n">
        <v>46140</v>
      </c>
      <c r="F194" s="147">
        <f>TEXT(E194,"yyyy-mm")</f>
        <v/>
      </c>
      <c r="G194" s="147">
        <f>IF(MONTH(E194)&lt;=3,"Q1","Q2")</f>
        <v/>
      </c>
      <c r="H194" s="133" t="inlineStr">
        <is>
          <t>Renewal</t>
        </is>
      </c>
      <c r="I194" s="133" t="inlineStr">
        <is>
          <t>Anchor Risk Advisors</t>
        </is>
      </c>
      <c r="J194" s="133" t="inlineStr">
        <is>
          <t>Policy Admin Core</t>
        </is>
      </c>
      <c r="K194" s="135" t="n">
        <v>3500</v>
      </c>
      <c r="L194" s="148">
        <f>IFERROR(INDEX('Sales Roster &amp; Quotas'!$G$6:$G$20,MATCH($B194,'Sales Roster &amp; Quotas'!$B$6:$B$20,0)),0)</f>
        <v/>
      </c>
      <c r="M194" s="149">
        <f>SUMIFS($K$5:$K$274,$B$5:$B$274,$B194,$G$5:$G$274,$G194,$H$5:$H$274,"New Business")</f>
        <v/>
      </c>
      <c r="N194" s="150">
        <f>IFERROR(M194/L194,0)</f>
        <v/>
      </c>
      <c r="O194" s="149">
        <f>MIN(M194,L194)</f>
        <v/>
      </c>
      <c r="P194" s="149">
        <f>MAX(MIN(M194,L194*1.25)-L194,0)</f>
        <v/>
      </c>
      <c r="Q194" s="149">
        <f>MAX(M194-L194*1.25,0)</f>
        <v/>
      </c>
      <c r="R194" s="148">
        <f>O194*'Commission Plan Rules'!$F$6+P194*'Commission Plan Rules'!$F$7+Q194*'Commission Plan Rules'!$F$8</f>
        <v/>
      </c>
      <c r="S194" s="151">
        <f>IF(H194="New Business",IFERROR((K194/M194)*R194,0),IF(H194="Upsell",K194*'Commission Plan Rules'!$F$9,IF(H194="Renewal",K194*'Commission Plan Rules'!$F$10,0)))</f>
        <v/>
      </c>
      <c r="T194" s="141">
        <f>COUNTIFS($F$5:$F$274,F194,$K$5:$K$274,"&gt;"&amp;K194)+1</f>
        <v/>
      </c>
      <c r="U194" s="141">
        <f>F194&amp;"|"&amp;T194</f>
        <v/>
      </c>
    </row>
    <row r="195" ht="15" customHeight="1" s="107">
      <c r="A195" s="130" t="inlineStr">
        <is>
          <t>D00097</t>
        </is>
      </c>
      <c r="B195" s="130" t="inlineStr">
        <is>
          <t>R005</t>
        </is>
      </c>
      <c r="C195" s="140">
        <f>IFERROR(INDEX('Sales Roster &amp; Quotas'!$C$6:$C$20,MATCH($B195,'Sales Roster &amp; Quotas'!$B$6:$B$20,0)),"")</f>
        <v/>
      </c>
      <c r="D195" s="140">
        <f>IFERROR(INDEX('Sales Roster &amp; Quotas'!$D$6:$D$20,MATCH($B195,'Sales Roster &amp; Quotas'!$B$6:$B$20,0)),"")</f>
        <v/>
      </c>
      <c r="E195" s="131" t="n">
        <v>46144</v>
      </c>
      <c r="F195" s="141">
        <f>TEXT(E195,"yyyy-mm")</f>
        <v/>
      </c>
      <c r="G195" s="141">
        <f>IF(MONTH(E195)&lt;=3,"Q1","Q2")</f>
        <v/>
      </c>
      <c r="H195" s="130" t="inlineStr">
        <is>
          <t>Renewal</t>
        </is>
      </c>
      <c r="I195" s="130" t="inlineStr">
        <is>
          <t>Wrenfield Insurance Brokers</t>
        </is>
      </c>
      <c r="J195" s="130" t="inlineStr">
        <is>
          <t>Policy Admin Core</t>
        </is>
      </c>
      <c r="K195" s="132" t="n">
        <v>5500</v>
      </c>
      <c r="L195" s="142">
        <f>IFERROR(INDEX('Sales Roster &amp; Quotas'!$G$6:$G$20,MATCH($B195,'Sales Roster &amp; Quotas'!$B$6:$B$20,0)),0)</f>
        <v/>
      </c>
      <c r="M195" s="143">
        <f>SUMIFS($K$5:$K$274,$B$5:$B$274,$B195,$G$5:$G$274,$G195,$H$5:$H$274,"New Business")</f>
        <v/>
      </c>
      <c r="N195" s="144">
        <f>IFERROR(M195/L195,0)</f>
        <v/>
      </c>
      <c r="O195" s="143">
        <f>MIN(M195,L195)</f>
        <v/>
      </c>
      <c r="P195" s="143">
        <f>MAX(MIN(M195,L195*1.25)-L195,0)</f>
        <v/>
      </c>
      <c r="Q195" s="143">
        <f>MAX(M195-L195*1.25,0)</f>
        <v/>
      </c>
      <c r="R195" s="142">
        <f>O195*'Commission Plan Rules'!$F$6+P195*'Commission Plan Rules'!$F$7+Q195*'Commission Plan Rules'!$F$8</f>
        <v/>
      </c>
      <c r="S195" s="145">
        <f>IF(H195="New Business",IFERROR((K195/M195)*R195,0),IF(H195="Upsell",K195*'Commission Plan Rules'!$F$9,IF(H195="Renewal",K195*'Commission Plan Rules'!$F$10,0)))</f>
        <v/>
      </c>
      <c r="T195" s="141">
        <f>COUNTIFS($F$5:$F$274,F195,$K$5:$K$274,"&gt;"&amp;K195)+1</f>
        <v/>
      </c>
      <c r="U195" s="141">
        <f>F195&amp;"|"&amp;T195</f>
        <v/>
      </c>
    </row>
    <row r="196" ht="15" customHeight="1" s="107">
      <c r="A196" s="133" t="inlineStr">
        <is>
          <t>D00035</t>
        </is>
      </c>
      <c r="B196" s="133" t="inlineStr">
        <is>
          <t>R002</t>
        </is>
      </c>
      <c r="C196" s="146">
        <f>IFERROR(INDEX('Sales Roster &amp; Quotas'!$C$6:$C$20,MATCH($B196,'Sales Roster &amp; Quotas'!$B$6:$B$20,0)),"")</f>
        <v/>
      </c>
      <c r="D196" s="146">
        <f>IFERROR(INDEX('Sales Roster &amp; Quotas'!$D$6:$D$20,MATCH($B196,'Sales Roster &amp; Quotas'!$B$6:$B$20,0)),"")</f>
        <v/>
      </c>
      <c r="E196" s="134" t="n">
        <v>46144</v>
      </c>
      <c r="F196" s="147">
        <f>TEXT(E196,"yyyy-mm")</f>
        <v/>
      </c>
      <c r="G196" s="147">
        <f>IF(MONTH(E196)&lt;=3,"Q1","Q2")</f>
        <v/>
      </c>
      <c r="H196" s="133" t="inlineStr">
        <is>
          <t>New Business</t>
        </is>
      </c>
      <c r="I196" s="133" t="inlineStr">
        <is>
          <t>Prairie Insurance Brokers</t>
        </is>
      </c>
      <c r="J196" s="133" t="inlineStr">
        <is>
          <t>Claims Module</t>
        </is>
      </c>
      <c r="K196" s="135" t="n">
        <v>44500</v>
      </c>
      <c r="L196" s="148">
        <f>IFERROR(INDEX('Sales Roster &amp; Quotas'!$G$6:$G$20,MATCH($B196,'Sales Roster &amp; Quotas'!$B$6:$B$20,0)),0)</f>
        <v/>
      </c>
      <c r="M196" s="149">
        <f>SUMIFS($K$5:$K$274,$B$5:$B$274,$B196,$G$5:$G$274,$G196,$H$5:$H$274,"New Business")</f>
        <v/>
      </c>
      <c r="N196" s="150">
        <f>IFERROR(M196/L196,0)</f>
        <v/>
      </c>
      <c r="O196" s="149">
        <f>MIN(M196,L196)</f>
        <v/>
      </c>
      <c r="P196" s="149">
        <f>MAX(MIN(M196,L196*1.25)-L196,0)</f>
        <v/>
      </c>
      <c r="Q196" s="149">
        <f>MAX(M196-L196*1.25,0)</f>
        <v/>
      </c>
      <c r="R196" s="148">
        <f>O196*'Commission Plan Rules'!$F$6+P196*'Commission Plan Rules'!$F$7+Q196*'Commission Plan Rules'!$F$8</f>
        <v/>
      </c>
      <c r="S196" s="151">
        <f>IF(H196="New Business",IFERROR((K196/M196)*R196,0),IF(H196="Upsell",K196*'Commission Plan Rules'!$F$9,IF(H196="Renewal",K196*'Commission Plan Rules'!$F$10,0)))</f>
        <v/>
      </c>
      <c r="T196" s="141">
        <f>COUNTIFS($F$5:$F$274,F196,$K$5:$K$274,"&gt;"&amp;K196)+1</f>
        <v/>
      </c>
      <c r="U196" s="141">
        <f>F196&amp;"|"&amp;T196</f>
        <v/>
      </c>
    </row>
    <row r="197" ht="15" customHeight="1" s="107">
      <c r="A197" s="130" t="inlineStr">
        <is>
          <t>D00175</t>
        </is>
      </c>
      <c r="B197" s="130" t="inlineStr">
        <is>
          <t>R009</t>
        </is>
      </c>
      <c r="C197" s="140">
        <f>IFERROR(INDEX('Sales Roster &amp; Quotas'!$C$6:$C$20,MATCH($B197,'Sales Roster &amp; Quotas'!$B$6:$B$20,0)),"")</f>
        <v/>
      </c>
      <c r="D197" s="140">
        <f>IFERROR(INDEX('Sales Roster &amp; Quotas'!$D$6:$D$20,MATCH($B197,'Sales Roster &amp; Quotas'!$B$6:$B$20,0)),"")</f>
        <v/>
      </c>
      <c r="E197" s="131" t="n">
        <v>46145</v>
      </c>
      <c r="F197" s="141">
        <f>TEXT(E197,"yyyy-mm")</f>
        <v/>
      </c>
      <c r="G197" s="141">
        <f>IF(MONTH(E197)&lt;=3,"Q1","Q2")</f>
        <v/>
      </c>
      <c r="H197" s="130" t="inlineStr">
        <is>
          <t>Renewal</t>
        </is>
      </c>
      <c r="I197" s="130" t="inlineStr">
        <is>
          <t>Overlook Underwriters</t>
        </is>
      </c>
      <c r="J197" s="130" t="inlineStr">
        <is>
          <t>Claims Module</t>
        </is>
      </c>
      <c r="K197" s="132" t="n">
        <v>21500</v>
      </c>
      <c r="L197" s="142">
        <f>IFERROR(INDEX('Sales Roster &amp; Quotas'!$G$6:$G$20,MATCH($B197,'Sales Roster &amp; Quotas'!$B$6:$B$20,0)),0)</f>
        <v/>
      </c>
      <c r="M197" s="143">
        <f>SUMIFS($K$5:$K$274,$B$5:$B$274,$B197,$G$5:$G$274,$G197,$H$5:$H$274,"New Business")</f>
        <v/>
      </c>
      <c r="N197" s="144">
        <f>IFERROR(M197/L197,0)</f>
        <v/>
      </c>
      <c r="O197" s="143">
        <f>MIN(M197,L197)</f>
        <v/>
      </c>
      <c r="P197" s="143">
        <f>MAX(MIN(M197,L197*1.25)-L197,0)</f>
        <v/>
      </c>
      <c r="Q197" s="143">
        <f>MAX(M197-L197*1.25,0)</f>
        <v/>
      </c>
      <c r="R197" s="142">
        <f>O197*'Commission Plan Rules'!$F$6+P197*'Commission Plan Rules'!$F$7+Q197*'Commission Plan Rules'!$F$8</f>
        <v/>
      </c>
      <c r="S197" s="145">
        <f>IF(H197="New Business",IFERROR((K197/M197)*R197,0),IF(H197="Upsell",K197*'Commission Plan Rules'!$F$9,IF(H197="Renewal",K197*'Commission Plan Rules'!$F$10,0)))</f>
        <v/>
      </c>
      <c r="T197" s="141">
        <f>COUNTIFS($F$5:$F$274,F197,$K$5:$K$274,"&gt;"&amp;K197)+1</f>
        <v/>
      </c>
      <c r="U197" s="141">
        <f>F197&amp;"|"&amp;T197</f>
        <v/>
      </c>
    </row>
    <row r="198" ht="15" customHeight="1" s="107">
      <c r="A198" s="133" t="inlineStr">
        <is>
          <t>D00080</t>
        </is>
      </c>
      <c r="B198" s="133" t="inlineStr">
        <is>
          <t>R004</t>
        </is>
      </c>
      <c r="C198" s="146">
        <f>IFERROR(INDEX('Sales Roster &amp; Quotas'!$C$6:$C$20,MATCH($B198,'Sales Roster &amp; Quotas'!$B$6:$B$20,0)),"")</f>
        <v/>
      </c>
      <c r="D198" s="146">
        <f>IFERROR(INDEX('Sales Roster &amp; Quotas'!$D$6:$D$20,MATCH($B198,'Sales Roster &amp; Quotas'!$B$6:$B$20,0)),"")</f>
        <v/>
      </c>
      <c r="E198" s="134" t="n">
        <v>46145</v>
      </c>
      <c r="F198" s="147">
        <f>TEXT(E198,"yyyy-mm")</f>
        <v/>
      </c>
      <c r="G198" s="147">
        <f>IF(MONTH(E198)&lt;=3,"Q1","Q2")</f>
        <v/>
      </c>
      <c r="H198" s="133" t="inlineStr">
        <is>
          <t>Renewal</t>
        </is>
      </c>
      <c r="I198" s="133" t="inlineStr">
        <is>
          <t>Harborview Insurance Group</t>
        </is>
      </c>
      <c r="J198" s="133" t="inlineStr">
        <is>
          <t>Analytics Add-On</t>
        </is>
      </c>
      <c r="K198" s="135" t="n">
        <v>3500</v>
      </c>
      <c r="L198" s="148">
        <f>IFERROR(INDEX('Sales Roster &amp; Quotas'!$G$6:$G$20,MATCH($B198,'Sales Roster &amp; Quotas'!$B$6:$B$20,0)),0)</f>
        <v/>
      </c>
      <c r="M198" s="149">
        <f>SUMIFS($K$5:$K$274,$B$5:$B$274,$B198,$G$5:$G$274,$G198,$H$5:$H$274,"New Business")</f>
        <v/>
      </c>
      <c r="N198" s="150">
        <f>IFERROR(M198/L198,0)</f>
        <v/>
      </c>
      <c r="O198" s="149">
        <f>MIN(M198,L198)</f>
        <v/>
      </c>
      <c r="P198" s="149">
        <f>MAX(MIN(M198,L198*1.25)-L198,0)</f>
        <v/>
      </c>
      <c r="Q198" s="149">
        <f>MAX(M198-L198*1.25,0)</f>
        <v/>
      </c>
      <c r="R198" s="148">
        <f>O198*'Commission Plan Rules'!$F$6+P198*'Commission Plan Rules'!$F$7+Q198*'Commission Plan Rules'!$F$8</f>
        <v/>
      </c>
      <c r="S198" s="151">
        <f>IF(H198="New Business",IFERROR((K198/M198)*R198,0),IF(H198="Upsell",K198*'Commission Plan Rules'!$F$9,IF(H198="Renewal",K198*'Commission Plan Rules'!$F$10,0)))</f>
        <v/>
      </c>
      <c r="T198" s="141">
        <f>COUNTIFS($F$5:$F$274,F198,$K$5:$K$274,"&gt;"&amp;K198)+1</f>
        <v/>
      </c>
      <c r="U198" s="141">
        <f>F198&amp;"|"&amp;T198</f>
        <v/>
      </c>
    </row>
    <row r="199" ht="15" customHeight="1" s="107">
      <c r="A199" s="130" t="inlineStr">
        <is>
          <t>D00056</t>
        </is>
      </c>
      <c r="B199" s="130" t="inlineStr">
        <is>
          <t>R003</t>
        </is>
      </c>
      <c r="C199" s="140">
        <f>IFERROR(INDEX('Sales Roster &amp; Quotas'!$C$6:$C$20,MATCH($B199,'Sales Roster &amp; Quotas'!$B$6:$B$20,0)),"")</f>
        <v/>
      </c>
      <c r="D199" s="140">
        <f>IFERROR(INDEX('Sales Roster &amp; Quotas'!$D$6:$D$20,MATCH($B199,'Sales Roster &amp; Quotas'!$B$6:$B$20,0)),"")</f>
        <v/>
      </c>
      <c r="E199" s="131" t="n">
        <v>46145</v>
      </c>
      <c r="F199" s="141">
        <f>TEXT(E199,"yyyy-mm")</f>
        <v/>
      </c>
      <c r="G199" s="141">
        <f>IF(MONTH(E199)&lt;=3,"Q1","Q2")</f>
        <v/>
      </c>
      <c r="H199" s="130" t="inlineStr">
        <is>
          <t>Upsell</t>
        </is>
      </c>
      <c r="I199" s="130" t="inlineStr">
        <is>
          <t>Pinnacle Insurance Group</t>
        </is>
      </c>
      <c r="J199" s="130" t="inlineStr">
        <is>
          <t>Analytics Add-On</t>
        </is>
      </c>
      <c r="K199" s="132" t="n">
        <v>30000</v>
      </c>
      <c r="L199" s="142">
        <f>IFERROR(INDEX('Sales Roster &amp; Quotas'!$G$6:$G$20,MATCH($B199,'Sales Roster &amp; Quotas'!$B$6:$B$20,0)),0)</f>
        <v/>
      </c>
      <c r="M199" s="143">
        <f>SUMIFS($K$5:$K$274,$B$5:$B$274,$B199,$G$5:$G$274,$G199,$H$5:$H$274,"New Business")</f>
        <v/>
      </c>
      <c r="N199" s="144">
        <f>IFERROR(M199/L199,0)</f>
        <v/>
      </c>
      <c r="O199" s="143">
        <f>MIN(M199,L199)</f>
        <v/>
      </c>
      <c r="P199" s="143">
        <f>MAX(MIN(M199,L199*1.25)-L199,0)</f>
        <v/>
      </c>
      <c r="Q199" s="143">
        <f>MAX(M199-L199*1.25,0)</f>
        <v/>
      </c>
      <c r="R199" s="142">
        <f>O199*'Commission Plan Rules'!$F$6+P199*'Commission Plan Rules'!$F$7+Q199*'Commission Plan Rules'!$F$8</f>
        <v/>
      </c>
      <c r="S199" s="145">
        <f>IF(H199="New Business",IFERROR((K199/M199)*R199,0),IF(H199="Upsell",K199*'Commission Plan Rules'!$F$9,IF(H199="Renewal",K199*'Commission Plan Rules'!$F$10,0)))</f>
        <v/>
      </c>
      <c r="T199" s="141">
        <f>COUNTIFS($F$5:$F$274,F199,$K$5:$K$274,"&gt;"&amp;K199)+1</f>
        <v/>
      </c>
      <c r="U199" s="141">
        <f>F199&amp;"|"&amp;T199</f>
        <v/>
      </c>
    </row>
    <row r="200" ht="15" customHeight="1" s="107">
      <c r="A200" s="133" t="inlineStr">
        <is>
          <t>D00176</t>
        </is>
      </c>
      <c r="B200" s="133" t="inlineStr">
        <is>
          <t>R009</t>
        </is>
      </c>
      <c r="C200" s="146">
        <f>IFERROR(INDEX('Sales Roster &amp; Quotas'!$C$6:$C$20,MATCH($B200,'Sales Roster &amp; Quotas'!$B$6:$B$20,0)),"")</f>
        <v/>
      </c>
      <c r="D200" s="146">
        <f>IFERROR(INDEX('Sales Roster &amp; Quotas'!$D$6:$D$20,MATCH($B200,'Sales Roster &amp; Quotas'!$B$6:$B$20,0)),"")</f>
        <v/>
      </c>
      <c r="E200" s="134" t="n">
        <v>46146</v>
      </c>
      <c r="F200" s="147">
        <f>TEXT(E200,"yyyy-mm")</f>
        <v/>
      </c>
      <c r="G200" s="147">
        <f>IF(MONTH(E200)&lt;=3,"Q1","Q2")</f>
        <v/>
      </c>
      <c r="H200" s="133" t="inlineStr">
        <is>
          <t>Renewal</t>
        </is>
      </c>
      <c r="I200" s="133" t="inlineStr">
        <is>
          <t>Wrenfield Insurance Brokers</t>
        </is>
      </c>
      <c r="J200" s="133" t="inlineStr">
        <is>
          <t>Policy Admin Core</t>
        </is>
      </c>
      <c r="K200" s="135" t="n">
        <v>17500</v>
      </c>
      <c r="L200" s="148">
        <f>IFERROR(INDEX('Sales Roster &amp; Quotas'!$G$6:$G$20,MATCH($B200,'Sales Roster &amp; Quotas'!$B$6:$B$20,0)),0)</f>
        <v/>
      </c>
      <c r="M200" s="149">
        <f>SUMIFS($K$5:$K$274,$B$5:$B$274,$B200,$G$5:$G$274,$G200,$H$5:$H$274,"New Business")</f>
        <v/>
      </c>
      <c r="N200" s="150">
        <f>IFERROR(M200/L200,0)</f>
        <v/>
      </c>
      <c r="O200" s="149">
        <f>MIN(M200,L200)</f>
        <v/>
      </c>
      <c r="P200" s="149">
        <f>MAX(MIN(M200,L200*1.25)-L200,0)</f>
        <v/>
      </c>
      <c r="Q200" s="149">
        <f>MAX(M200-L200*1.25,0)</f>
        <v/>
      </c>
      <c r="R200" s="148">
        <f>O200*'Commission Plan Rules'!$F$6+P200*'Commission Plan Rules'!$F$7+Q200*'Commission Plan Rules'!$F$8</f>
        <v/>
      </c>
      <c r="S200" s="151">
        <f>IF(H200="New Business",IFERROR((K200/M200)*R200,0),IF(H200="Upsell",K200*'Commission Plan Rules'!$F$9,IF(H200="Renewal",K200*'Commission Plan Rules'!$F$10,0)))</f>
        <v/>
      </c>
      <c r="T200" s="141">
        <f>COUNTIFS($F$5:$F$274,F200,$K$5:$K$274,"&gt;"&amp;K200)+1</f>
        <v/>
      </c>
      <c r="U200" s="141">
        <f>F200&amp;"|"&amp;T200</f>
        <v/>
      </c>
    </row>
    <row r="201" ht="15" customHeight="1" s="107">
      <c r="A201" s="130" t="inlineStr">
        <is>
          <t>D00037</t>
        </is>
      </c>
      <c r="B201" s="130" t="inlineStr">
        <is>
          <t>R002</t>
        </is>
      </c>
      <c r="C201" s="140">
        <f>IFERROR(INDEX('Sales Roster &amp; Quotas'!$C$6:$C$20,MATCH($B201,'Sales Roster &amp; Quotas'!$B$6:$B$20,0)),"")</f>
        <v/>
      </c>
      <c r="D201" s="140">
        <f>IFERROR(INDEX('Sales Roster &amp; Quotas'!$D$6:$D$20,MATCH($B201,'Sales Roster &amp; Quotas'!$B$6:$B$20,0)),"")</f>
        <v/>
      </c>
      <c r="E201" s="131" t="n">
        <v>46146</v>
      </c>
      <c r="F201" s="141">
        <f>TEXT(E201,"yyyy-mm")</f>
        <v/>
      </c>
      <c r="G201" s="141">
        <f>IF(MONTH(E201)&lt;=3,"Q1","Q2")</f>
        <v/>
      </c>
      <c r="H201" s="130" t="inlineStr">
        <is>
          <t>Renewal</t>
        </is>
      </c>
      <c r="I201" s="130" t="inlineStr">
        <is>
          <t>Meadowbrook Coverage Partners</t>
        </is>
      </c>
      <c r="J201" s="130" t="inlineStr">
        <is>
          <t>Policy Admin Core</t>
        </is>
      </c>
      <c r="K201" s="132" t="n">
        <v>2000</v>
      </c>
      <c r="L201" s="142">
        <f>IFERROR(INDEX('Sales Roster &amp; Quotas'!$G$6:$G$20,MATCH($B201,'Sales Roster &amp; Quotas'!$B$6:$B$20,0)),0)</f>
        <v/>
      </c>
      <c r="M201" s="143">
        <f>SUMIFS($K$5:$K$274,$B$5:$B$274,$B201,$G$5:$G$274,$G201,$H$5:$H$274,"New Business")</f>
        <v/>
      </c>
      <c r="N201" s="144">
        <f>IFERROR(M201/L201,0)</f>
        <v/>
      </c>
      <c r="O201" s="143">
        <f>MIN(M201,L201)</f>
        <v/>
      </c>
      <c r="P201" s="143">
        <f>MAX(MIN(M201,L201*1.25)-L201,0)</f>
        <v/>
      </c>
      <c r="Q201" s="143">
        <f>MAX(M201-L201*1.25,0)</f>
        <v/>
      </c>
      <c r="R201" s="142">
        <f>O201*'Commission Plan Rules'!$F$6+P201*'Commission Plan Rules'!$F$7+Q201*'Commission Plan Rules'!$F$8</f>
        <v/>
      </c>
      <c r="S201" s="145">
        <f>IF(H201="New Business",IFERROR((K201/M201)*R201,0),IF(H201="Upsell",K201*'Commission Plan Rules'!$F$9,IF(H201="Renewal",K201*'Commission Plan Rules'!$F$10,0)))</f>
        <v/>
      </c>
      <c r="T201" s="141">
        <f>COUNTIFS($F$5:$F$274,F201,$K$5:$K$274,"&gt;"&amp;K201)+1</f>
        <v/>
      </c>
      <c r="U201" s="141">
        <f>F201&amp;"|"&amp;T201</f>
        <v/>
      </c>
    </row>
    <row r="202" ht="15" customHeight="1" s="107">
      <c r="A202" s="133" t="inlineStr">
        <is>
          <t>D00177</t>
        </is>
      </c>
      <c r="B202" s="133" t="inlineStr">
        <is>
          <t>R009</t>
        </is>
      </c>
      <c r="C202" s="146">
        <f>IFERROR(INDEX('Sales Roster &amp; Quotas'!$C$6:$C$20,MATCH($B202,'Sales Roster &amp; Quotas'!$B$6:$B$20,0)),"")</f>
        <v/>
      </c>
      <c r="D202" s="146">
        <f>IFERROR(INDEX('Sales Roster &amp; Quotas'!$D$6:$D$20,MATCH($B202,'Sales Roster &amp; Quotas'!$B$6:$B$20,0)),"")</f>
        <v/>
      </c>
      <c r="E202" s="134" t="n">
        <v>46148</v>
      </c>
      <c r="F202" s="147">
        <f>TEXT(E202,"yyyy-mm")</f>
        <v/>
      </c>
      <c r="G202" s="147">
        <f>IF(MONTH(E202)&lt;=3,"Q1","Q2")</f>
        <v/>
      </c>
      <c r="H202" s="133" t="inlineStr">
        <is>
          <t>Renewal</t>
        </is>
      </c>
      <c r="I202" s="133" t="inlineStr">
        <is>
          <t>Bridgeway Agency Partners</t>
        </is>
      </c>
      <c r="J202" s="133" t="inlineStr">
        <is>
          <t>Analytics Add-On</t>
        </is>
      </c>
      <c r="K202" s="135" t="n">
        <v>41500</v>
      </c>
      <c r="L202" s="148">
        <f>IFERROR(INDEX('Sales Roster &amp; Quotas'!$G$6:$G$20,MATCH($B202,'Sales Roster &amp; Quotas'!$B$6:$B$20,0)),0)</f>
        <v/>
      </c>
      <c r="M202" s="149">
        <f>SUMIFS($K$5:$K$274,$B$5:$B$274,$B202,$G$5:$G$274,$G202,$H$5:$H$274,"New Business")</f>
        <v/>
      </c>
      <c r="N202" s="150">
        <f>IFERROR(M202/L202,0)</f>
        <v/>
      </c>
      <c r="O202" s="149">
        <f>MIN(M202,L202)</f>
        <v/>
      </c>
      <c r="P202" s="149">
        <f>MAX(MIN(M202,L202*1.25)-L202,0)</f>
        <v/>
      </c>
      <c r="Q202" s="149">
        <f>MAX(M202-L202*1.25,0)</f>
        <v/>
      </c>
      <c r="R202" s="148">
        <f>O202*'Commission Plan Rules'!$F$6+P202*'Commission Plan Rules'!$F$7+Q202*'Commission Plan Rules'!$F$8</f>
        <v/>
      </c>
      <c r="S202" s="151">
        <f>IF(H202="New Business",IFERROR((K202/M202)*R202,0),IF(H202="Upsell",K202*'Commission Plan Rules'!$F$9,IF(H202="Renewal",K202*'Commission Plan Rules'!$F$10,0)))</f>
        <v/>
      </c>
      <c r="T202" s="141">
        <f>COUNTIFS($F$5:$F$274,F202,$K$5:$K$274,"&gt;"&amp;K202)+1</f>
        <v/>
      </c>
      <c r="U202" s="141">
        <f>F202&amp;"|"&amp;T202</f>
        <v/>
      </c>
    </row>
    <row r="203" ht="15" customHeight="1" s="107">
      <c r="A203" s="130" t="inlineStr">
        <is>
          <t>D00093</t>
        </is>
      </c>
      <c r="B203" s="130" t="inlineStr">
        <is>
          <t>R005</t>
        </is>
      </c>
      <c r="C203" s="140">
        <f>IFERROR(INDEX('Sales Roster &amp; Quotas'!$C$6:$C$20,MATCH($B203,'Sales Roster &amp; Quotas'!$B$6:$B$20,0)),"")</f>
        <v/>
      </c>
      <c r="D203" s="140">
        <f>IFERROR(INDEX('Sales Roster &amp; Quotas'!$D$6:$D$20,MATCH($B203,'Sales Roster &amp; Quotas'!$B$6:$B$20,0)),"")</f>
        <v/>
      </c>
      <c r="E203" s="131" t="n">
        <v>46148</v>
      </c>
      <c r="F203" s="141">
        <f>TEXT(E203,"yyyy-mm")</f>
        <v/>
      </c>
      <c r="G203" s="141">
        <f>IF(MONTH(E203)&lt;=3,"Q1","Q2")</f>
        <v/>
      </c>
      <c r="H203" s="130" t="inlineStr">
        <is>
          <t>New Business</t>
        </is>
      </c>
      <c r="I203" s="130" t="inlineStr">
        <is>
          <t>Millbrook Underwriters</t>
        </is>
      </c>
      <c r="J203" s="130" t="inlineStr">
        <is>
          <t>Claims Module</t>
        </is>
      </c>
      <c r="K203" s="132" t="n">
        <v>27500</v>
      </c>
      <c r="L203" s="142">
        <f>IFERROR(INDEX('Sales Roster &amp; Quotas'!$G$6:$G$20,MATCH($B203,'Sales Roster &amp; Quotas'!$B$6:$B$20,0)),0)</f>
        <v/>
      </c>
      <c r="M203" s="143">
        <f>SUMIFS($K$5:$K$274,$B$5:$B$274,$B203,$G$5:$G$274,$G203,$H$5:$H$274,"New Business")</f>
        <v/>
      </c>
      <c r="N203" s="144">
        <f>IFERROR(M203/L203,0)</f>
        <v/>
      </c>
      <c r="O203" s="143">
        <f>MIN(M203,L203)</f>
        <v/>
      </c>
      <c r="P203" s="143">
        <f>MAX(MIN(M203,L203*1.25)-L203,0)</f>
        <v/>
      </c>
      <c r="Q203" s="143">
        <f>MAX(M203-L203*1.25,0)</f>
        <v/>
      </c>
      <c r="R203" s="142">
        <f>O203*'Commission Plan Rules'!$F$6+P203*'Commission Plan Rules'!$F$7+Q203*'Commission Plan Rules'!$F$8</f>
        <v/>
      </c>
      <c r="S203" s="145">
        <f>IF(H203="New Business",IFERROR((K203/M203)*R203,0),IF(H203="Upsell",K203*'Commission Plan Rules'!$F$9,IF(H203="Renewal",K203*'Commission Plan Rules'!$F$10,0)))</f>
        <v/>
      </c>
      <c r="T203" s="141">
        <f>COUNTIFS($F$5:$F$274,F203,$K$5:$K$274,"&gt;"&amp;K203)+1</f>
        <v/>
      </c>
      <c r="U203" s="141">
        <f>F203&amp;"|"&amp;T203</f>
        <v/>
      </c>
    </row>
    <row r="204" ht="15" customHeight="1" s="107">
      <c r="A204" s="133" t="inlineStr">
        <is>
          <t>D00238</t>
        </is>
      </c>
      <c r="B204" s="133" t="inlineStr">
        <is>
          <t>R013</t>
        </is>
      </c>
      <c r="C204" s="146">
        <f>IFERROR(INDEX('Sales Roster &amp; Quotas'!$C$6:$C$20,MATCH($B204,'Sales Roster &amp; Quotas'!$B$6:$B$20,0)),"")</f>
        <v/>
      </c>
      <c r="D204" s="146">
        <f>IFERROR(INDEX('Sales Roster &amp; Quotas'!$D$6:$D$20,MATCH($B204,'Sales Roster &amp; Quotas'!$B$6:$B$20,0)),"")</f>
        <v/>
      </c>
      <c r="E204" s="134" t="n">
        <v>46149</v>
      </c>
      <c r="F204" s="147">
        <f>TEXT(E204,"yyyy-mm")</f>
        <v/>
      </c>
      <c r="G204" s="147">
        <f>IF(MONTH(E204)&lt;=3,"Q1","Q2")</f>
        <v/>
      </c>
      <c r="H204" s="133" t="inlineStr">
        <is>
          <t>New Business</t>
        </is>
      </c>
      <c r="I204" s="133" t="inlineStr">
        <is>
          <t>Sterling Mutual Agency</t>
        </is>
      </c>
      <c r="J204" s="133" t="inlineStr">
        <is>
          <t>Policy Admin Core</t>
        </is>
      </c>
      <c r="K204" s="135" t="n">
        <v>52000</v>
      </c>
      <c r="L204" s="148">
        <f>IFERROR(INDEX('Sales Roster &amp; Quotas'!$G$6:$G$20,MATCH($B204,'Sales Roster &amp; Quotas'!$B$6:$B$20,0)),0)</f>
        <v/>
      </c>
      <c r="M204" s="149">
        <f>SUMIFS($K$5:$K$274,$B$5:$B$274,$B204,$G$5:$G$274,$G204,$H$5:$H$274,"New Business")</f>
        <v/>
      </c>
      <c r="N204" s="150">
        <f>IFERROR(M204/L204,0)</f>
        <v/>
      </c>
      <c r="O204" s="149">
        <f>MIN(M204,L204)</f>
        <v/>
      </c>
      <c r="P204" s="149">
        <f>MAX(MIN(M204,L204*1.25)-L204,0)</f>
        <v/>
      </c>
      <c r="Q204" s="149">
        <f>MAX(M204-L204*1.25,0)</f>
        <v/>
      </c>
      <c r="R204" s="148">
        <f>O204*'Commission Plan Rules'!$F$6+P204*'Commission Plan Rules'!$F$7+Q204*'Commission Plan Rules'!$F$8</f>
        <v/>
      </c>
      <c r="S204" s="151">
        <f>IF(H204="New Business",IFERROR((K204/M204)*R204,0),IF(H204="Upsell",K204*'Commission Plan Rules'!$F$9,IF(H204="Renewal",K204*'Commission Plan Rules'!$F$10,0)))</f>
        <v/>
      </c>
      <c r="T204" s="141">
        <f>COUNTIFS($F$5:$F$274,F204,$K$5:$K$274,"&gt;"&amp;K204)+1</f>
        <v/>
      </c>
      <c r="U204" s="141">
        <f>F204&amp;"|"&amp;T204</f>
        <v/>
      </c>
    </row>
    <row r="205" ht="15" customHeight="1" s="107">
      <c r="A205" s="130" t="inlineStr">
        <is>
          <t>D00252</t>
        </is>
      </c>
      <c r="B205" s="130" t="inlineStr">
        <is>
          <t>R014</t>
        </is>
      </c>
      <c r="C205" s="140">
        <f>IFERROR(INDEX('Sales Roster &amp; Quotas'!$C$6:$C$20,MATCH($B205,'Sales Roster &amp; Quotas'!$B$6:$B$20,0)),"")</f>
        <v/>
      </c>
      <c r="D205" s="140">
        <f>IFERROR(INDEX('Sales Roster &amp; Quotas'!$D$6:$D$20,MATCH($B205,'Sales Roster &amp; Quotas'!$B$6:$B$20,0)),"")</f>
        <v/>
      </c>
      <c r="E205" s="131" t="n">
        <v>46150</v>
      </c>
      <c r="F205" s="141">
        <f>TEXT(E205,"yyyy-mm")</f>
        <v/>
      </c>
      <c r="G205" s="141">
        <f>IF(MONTH(E205)&lt;=3,"Q1","Q2")</f>
        <v/>
      </c>
      <c r="H205" s="130" t="inlineStr">
        <is>
          <t>New Business</t>
        </is>
      </c>
      <c r="I205" s="130" t="inlineStr">
        <is>
          <t>Cedarline Coverage Partners</t>
        </is>
      </c>
      <c r="J205" s="130" t="inlineStr">
        <is>
          <t>Client Portal</t>
        </is>
      </c>
      <c r="K205" s="132" t="n">
        <v>570000</v>
      </c>
      <c r="L205" s="142">
        <f>IFERROR(INDEX('Sales Roster &amp; Quotas'!$G$6:$G$20,MATCH($B205,'Sales Roster &amp; Quotas'!$B$6:$B$20,0)),0)</f>
        <v/>
      </c>
      <c r="M205" s="143">
        <f>SUMIFS($K$5:$K$274,$B$5:$B$274,$B205,$G$5:$G$274,$G205,$H$5:$H$274,"New Business")</f>
        <v/>
      </c>
      <c r="N205" s="144">
        <f>IFERROR(M205/L205,0)</f>
        <v/>
      </c>
      <c r="O205" s="143">
        <f>MIN(M205,L205)</f>
        <v/>
      </c>
      <c r="P205" s="143">
        <f>MAX(MIN(M205,L205*1.25)-L205,0)</f>
        <v/>
      </c>
      <c r="Q205" s="143">
        <f>MAX(M205-L205*1.25,0)</f>
        <v/>
      </c>
      <c r="R205" s="142">
        <f>O205*'Commission Plan Rules'!$F$6+P205*'Commission Plan Rules'!$F$7+Q205*'Commission Plan Rules'!$F$8</f>
        <v/>
      </c>
      <c r="S205" s="145">
        <f>IF(H205="New Business",IFERROR((K205/M205)*R205,0),IF(H205="Upsell",K205*'Commission Plan Rules'!$F$9,IF(H205="Renewal",K205*'Commission Plan Rules'!$F$10,0)))</f>
        <v/>
      </c>
      <c r="T205" s="141">
        <f>COUNTIFS($F$5:$F$274,F205,$K$5:$K$274,"&gt;"&amp;K205)+1</f>
        <v/>
      </c>
      <c r="U205" s="141">
        <f>F205&amp;"|"&amp;T205</f>
        <v/>
      </c>
    </row>
    <row r="206" ht="15" customHeight="1" s="107">
      <c r="A206" s="133" t="inlineStr">
        <is>
          <t>D00227</t>
        </is>
      </c>
      <c r="B206" s="133" t="inlineStr">
        <is>
          <t>R012</t>
        </is>
      </c>
      <c r="C206" s="146">
        <f>IFERROR(INDEX('Sales Roster &amp; Quotas'!$C$6:$C$20,MATCH($B206,'Sales Roster &amp; Quotas'!$B$6:$B$20,0)),"")</f>
        <v/>
      </c>
      <c r="D206" s="146">
        <f>IFERROR(INDEX('Sales Roster &amp; Quotas'!$D$6:$D$20,MATCH($B206,'Sales Roster &amp; Quotas'!$B$6:$B$20,0)),"")</f>
        <v/>
      </c>
      <c r="E206" s="134" t="n">
        <v>46150</v>
      </c>
      <c r="F206" s="147">
        <f>TEXT(E206,"yyyy-mm")</f>
        <v/>
      </c>
      <c r="G206" s="147">
        <f>IF(MONTH(E206)&lt;=3,"Q1","Q2")</f>
        <v/>
      </c>
      <c r="H206" s="133" t="inlineStr">
        <is>
          <t>New Business</t>
        </is>
      </c>
      <c r="I206" s="133" t="inlineStr">
        <is>
          <t>Sterling Coverage Partners</t>
        </is>
      </c>
      <c r="J206" s="133" t="inlineStr">
        <is>
          <t>Policy Admin Core</t>
        </is>
      </c>
      <c r="K206" s="135" t="n">
        <v>518000</v>
      </c>
      <c r="L206" s="148">
        <f>IFERROR(INDEX('Sales Roster &amp; Quotas'!$G$6:$G$20,MATCH($B206,'Sales Roster &amp; Quotas'!$B$6:$B$20,0)),0)</f>
        <v/>
      </c>
      <c r="M206" s="149">
        <f>SUMIFS($K$5:$K$274,$B$5:$B$274,$B206,$G$5:$G$274,$G206,$H$5:$H$274,"New Business")</f>
        <v/>
      </c>
      <c r="N206" s="150">
        <f>IFERROR(M206/L206,0)</f>
        <v/>
      </c>
      <c r="O206" s="149">
        <f>MIN(M206,L206)</f>
        <v/>
      </c>
      <c r="P206" s="149">
        <f>MAX(MIN(M206,L206*1.25)-L206,0)</f>
        <v/>
      </c>
      <c r="Q206" s="149">
        <f>MAX(M206-L206*1.25,0)</f>
        <v/>
      </c>
      <c r="R206" s="148">
        <f>O206*'Commission Plan Rules'!$F$6+P206*'Commission Plan Rules'!$F$7+Q206*'Commission Plan Rules'!$F$8</f>
        <v/>
      </c>
      <c r="S206" s="151">
        <f>IF(H206="New Business",IFERROR((K206/M206)*R206,0),IF(H206="Upsell",K206*'Commission Plan Rules'!$F$9,IF(H206="Renewal",K206*'Commission Plan Rules'!$F$10,0)))</f>
        <v/>
      </c>
      <c r="T206" s="141">
        <f>COUNTIFS($F$5:$F$274,F206,$K$5:$K$274,"&gt;"&amp;K206)+1</f>
        <v/>
      </c>
      <c r="U206" s="141">
        <f>F206&amp;"|"&amp;T206</f>
        <v/>
      </c>
    </row>
    <row r="207" ht="15" customHeight="1" s="107">
      <c r="A207" s="130" t="inlineStr">
        <is>
          <t>D00024</t>
        </is>
      </c>
      <c r="B207" s="130" t="inlineStr">
        <is>
          <t>R001</t>
        </is>
      </c>
      <c r="C207" s="140">
        <f>IFERROR(INDEX('Sales Roster &amp; Quotas'!$C$6:$C$20,MATCH($B207,'Sales Roster &amp; Quotas'!$B$6:$B$20,0)),"")</f>
        <v/>
      </c>
      <c r="D207" s="140">
        <f>IFERROR(INDEX('Sales Roster &amp; Quotas'!$D$6:$D$20,MATCH($B207,'Sales Roster &amp; Quotas'!$B$6:$B$20,0)),"")</f>
        <v/>
      </c>
      <c r="E207" s="131" t="n">
        <v>46151</v>
      </c>
      <c r="F207" s="141">
        <f>TEXT(E207,"yyyy-mm")</f>
        <v/>
      </c>
      <c r="G207" s="141">
        <f>IF(MONTH(E207)&lt;=3,"Q1","Q2")</f>
        <v/>
      </c>
      <c r="H207" s="130" t="inlineStr">
        <is>
          <t>Renewal</t>
        </is>
      </c>
      <c r="I207" s="130" t="inlineStr">
        <is>
          <t>Hillcrest Underwriters</t>
        </is>
      </c>
      <c r="J207" s="130" t="inlineStr">
        <is>
          <t>Client Portal</t>
        </is>
      </c>
      <c r="K207" s="132" t="n">
        <v>64500</v>
      </c>
      <c r="L207" s="142">
        <f>IFERROR(INDEX('Sales Roster &amp; Quotas'!$G$6:$G$20,MATCH($B207,'Sales Roster &amp; Quotas'!$B$6:$B$20,0)),0)</f>
        <v/>
      </c>
      <c r="M207" s="143">
        <f>SUMIFS($K$5:$K$274,$B$5:$B$274,$B207,$G$5:$G$274,$G207,$H$5:$H$274,"New Business")</f>
        <v/>
      </c>
      <c r="N207" s="144">
        <f>IFERROR(M207/L207,0)</f>
        <v/>
      </c>
      <c r="O207" s="143">
        <f>MIN(M207,L207)</f>
        <v/>
      </c>
      <c r="P207" s="143">
        <f>MAX(MIN(M207,L207*1.25)-L207,0)</f>
        <v/>
      </c>
      <c r="Q207" s="143">
        <f>MAX(M207-L207*1.25,0)</f>
        <v/>
      </c>
      <c r="R207" s="142">
        <f>O207*'Commission Plan Rules'!$F$6+P207*'Commission Plan Rules'!$F$7+Q207*'Commission Plan Rules'!$F$8</f>
        <v/>
      </c>
      <c r="S207" s="145">
        <f>IF(H207="New Business",IFERROR((K207/M207)*R207,0),IF(H207="Upsell",K207*'Commission Plan Rules'!$F$9,IF(H207="Renewal",K207*'Commission Plan Rules'!$F$10,0)))</f>
        <v/>
      </c>
      <c r="T207" s="141">
        <f>COUNTIFS($F$5:$F$274,F207,$K$5:$K$274,"&gt;"&amp;K207)+1</f>
        <v/>
      </c>
      <c r="U207" s="141">
        <f>F207&amp;"|"&amp;T207</f>
        <v/>
      </c>
    </row>
    <row r="208" ht="15" customHeight="1" s="107">
      <c r="A208" s="133" t="inlineStr">
        <is>
          <t>D00155</t>
        </is>
      </c>
      <c r="B208" s="133" t="inlineStr">
        <is>
          <t>R008</t>
        </is>
      </c>
      <c r="C208" s="146">
        <f>IFERROR(INDEX('Sales Roster &amp; Quotas'!$C$6:$C$20,MATCH($B208,'Sales Roster &amp; Quotas'!$B$6:$B$20,0)),"")</f>
        <v/>
      </c>
      <c r="D208" s="146">
        <f>IFERROR(INDEX('Sales Roster &amp; Quotas'!$D$6:$D$20,MATCH($B208,'Sales Roster &amp; Quotas'!$B$6:$B$20,0)),"")</f>
        <v/>
      </c>
      <c r="E208" s="134" t="n">
        <v>46151</v>
      </c>
      <c r="F208" s="147">
        <f>TEXT(E208,"yyyy-mm")</f>
        <v/>
      </c>
      <c r="G208" s="147">
        <f>IF(MONTH(E208)&lt;=3,"Q1","Q2")</f>
        <v/>
      </c>
      <c r="H208" s="133" t="inlineStr">
        <is>
          <t>Upsell</t>
        </is>
      </c>
      <c r="I208" s="133" t="inlineStr">
        <is>
          <t>Harborview Insurance Brokers</t>
        </is>
      </c>
      <c r="J208" s="133" t="inlineStr">
        <is>
          <t>Claims Module</t>
        </is>
      </c>
      <c r="K208" s="135" t="n">
        <v>9500</v>
      </c>
      <c r="L208" s="148">
        <f>IFERROR(INDEX('Sales Roster &amp; Quotas'!$G$6:$G$20,MATCH($B208,'Sales Roster &amp; Quotas'!$B$6:$B$20,0)),0)</f>
        <v/>
      </c>
      <c r="M208" s="149">
        <f>SUMIFS($K$5:$K$274,$B$5:$B$274,$B208,$G$5:$G$274,$G208,$H$5:$H$274,"New Business")</f>
        <v/>
      </c>
      <c r="N208" s="150">
        <f>IFERROR(M208/L208,0)</f>
        <v/>
      </c>
      <c r="O208" s="149">
        <f>MIN(M208,L208)</f>
        <v/>
      </c>
      <c r="P208" s="149">
        <f>MAX(MIN(M208,L208*1.25)-L208,0)</f>
        <v/>
      </c>
      <c r="Q208" s="149">
        <f>MAX(M208-L208*1.25,0)</f>
        <v/>
      </c>
      <c r="R208" s="148">
        <f>O208*'Commission Plan Rules'!$F$6+P208*'Commission Plan Rules'!$F$7+Q208*'Commission Plan Rules'!$F$8</f>
        <v/>
      </c>
      <c r="S208" s="151">
        <f>IF(H208="New Business",IFERROR((K208/M208)*R208,0),IF(H208="Upsell",K208*'Commission Plan Rules'!$F$9,IF(H208="Renewal",K208*'Commission Plan Rules'!$F$10,0)))</f>
        <v/>
      </c>
      <c r="T208" s="141">
        <f>COUNTIFS($F$5:$F$274,F208,$K$5:$K$274,"&gt;"&amp;K208)+1</f>
        <v/>
      </c>
      <c r="U208" s="141">
        <f>F208&amp;"|"&amp;T208</f>
        <v/>
      </c>
    </row>
    <row r="209" ht="15" customHeight="1" s="107">
      <c r="A209" s="130" t="inlineStr">
        <is>
          <t>D00150</t>
        </is>
      </c>
      <c r="B209" s="130" t="inlineStr">
        <is>
          <t>R008</t>
        </is>
      </c>
      <c r="C209" s="140">
        <f>IFERROR(INDEX('Sales Roster &amp; Quotas'!$C$6:$C$20,MATCH($B209,'Sales Roster &amp; Quotas'!$B$6:$B$20,0)),"")</f>
        <v/>
      </c>
      <c r="D209" s="140">
        <f>IFERROR(INDEX('Sales Roster &amp; Quotas'!$D$6:$D$20,MATCH($B209,'Sales Roster &amp; Quotas'!$B$6:$B$20,0)),"")</f>
        <v/>
      </c>
      <c r="E209" s="131" t="n">
        <v>46152</v>
      </c>
      <c r="F209" s="141">
        <f>TEXT(E209,"yyyy-mm")</f>
        <v/>
      </c>
      <c r="G209" s="141">
        <f>IF(MONTH(E209)&lt;=3,"Q1","Q2")</f>
        <v/>
      </c>
      <c r="H209" s="130" t="inlineStr">
        <is>
          <t>New Business</t>
        </is>
      </c>
      <c r="I209" s="130" t="inlineStr">
        <is>
          <t>Clearwater Insurance Group</t>
        </is>
      </c>
      <c r="J209" s="130" t="inlineStr">
        <is>
          <t>Policy Admin Core</t>
        </is>
      </c>
      <c r="K209" s="132" t="n">
        <v>110000</v>
      </c>
      <c r="L209" s="142">
        <f>IFERROR(INDEX('Sales Roster &amp; Quotas'!$G$6:$G$20,MATCH($B209,'Sales Roster &amp; Quotas'!$B$6:$B$20,0)),0)</f>
        <v/>
      </c>
      <c r="M209" s="143">
        <f>SUMIFS($K$5:$K$274,$B$5:$B$274,$B209,$G$5:$G$274,$G209,$H$5:$H$274,"New Business")</f>
        <v/>
      </c>
      <c r="N209" s="144">
        <f>IFERROR(M209/L209,0)</f>
        <v/>
      </c>
      <c r="O209" s="143">
        <f>MIN(M209,L209)</f>
        <v/>
      </c>
      <c r="P209" s="143">
        <f>MAX(MIN(M209,L209*1.25)-L209,0)</f>
        <v/>
      </c>
      <c r="Q209" s="143">
        <f>MAX(M209-L209*1.25,0)</f>
        <v/>
      </c>
      <c r="R209" s="142">
        <f>O209*'Commission Plan Rules'!$F$6+P209*'Commission Plan Rules'!$F$7+Q209*'Commission Plan Rules'!$F$8</f>
        <v/>
      </c>
      <c r="S209" s="145">
        <f>IF(H209="New Business",IFERROR((K209/M209)*R209,0),IF(H209="Upsell",K209*'Commission Plan Rules'!$F$9,IF(H209="Renewal",K209*'Commission Plan Rules'!$F$10,0)))</f>
        <v/>
      </c>
      <c r="T209" s="141">
        <f>COUNTIFS($F$5:$F$274,F209,$K$5:$K$274,"&gt;"&amp;K209)+1</f>
        <v/>
      </c>
      <c r="U209" s="141">
        <f>F209&amp;"|"&amp;T209</f>
        <v/>
      </c>
    </row>
    <row r="210" ht="15" customHeight="1" s="107">
      <c r="A210" s="133" t="inlineStr">
        <is>
          <t>D00193</t>
        </is>
      </c>
      <c r="B210" s="133" t="inlineStr">
        <is>
          <t>R010</t>
        </is>
      </c>
      <c r="C210" s="146">
        <f>IFERROR(INDEX('Sales Roster &amp; Quotas'!$C$6:$C$20,MATCH($B210,'Sales Roster &amp; Quotas'!$B$6:$B$20,0)),"")</f>
        <v/>
      </c>
      <c r="D210" s="146">
        <f>IFERROR(INDEX('Sales Roster &amp; Quotas'!$D$6:$D$20,MATCH($B210,'Sales Roster &amp; Quotas'!$B$6:$B$20,0)),"")</f>
        <v/>
      </c>
      <c r="E210" s="134" t="n">
        <v>46152</v>
      </c>
      <c r="F210" s="147">
        <f>TEXT(E210,"yyyy-mm")</f>
        <v/>
      </c>
      <c r="G210" s="147">
        <f>IF(MONTH(E210)&lt;=3,"Q1","Q2")</f>
        <v/>
      </c>
      <c r="H210" s="133" t="inlineStr">
        <is>
          <t>Renewal</t>
        </is>
      </c>
      <c r="I210" s="133" t="inlineStr">
        <is>
          <t>Millbrook Risk Advisors</t>
        </is>
      </c>
      <c r="J210" s="133" t="inlineStr">
        <is>
          <t>Claims Module</t>
        </is>
      </c>
      <c r="K210" s="135" t="n">
        <v>25000</v>
      </c>
      <c r="L210" s="148">
        <f>IFERROR(INDEX('Sales Roster &amp; Quotas'!$G$6:$G$20,MATCH($B210,'Sales Roster &amp; Quotas'!$B$6:$B$20,0)),0)</f>
        <v/>
      </c>
      <c r="M210" s="149">
        <f>SUMIFS($K$5:$K$274,$B$5:$B$274,$B210,$G$5:$G$274,$G210,$H$5:$H$274,"New Business")</f>
        <v/>
      </c>
      <c r="N210" s="150">
        <f>IFERROR(M210/L210,0)</f>
        <v/>
      </c>
      <c r="O210" s="149">
        <f>MIN(M210,L210)</f>
        <v/>
      </c>
      <c r="P210" s="149">
        <f>MAX(MIN(M210,L210*1.25)-L210,0)</f>
        <v/>
      </c>
      <c r="Q210" s="149">
        <f>MAX(M210-L210*1.25,0)</f>
        <v/>
      </c>
      <c r="R210" s="148">
        <f>O210*'Commission Plan Rules'!$F$6+P210*'Commission Plan Rules'!$F$7+Q210*'Commission Plan Rules'!$F$8</f>
        <v/>
      </c>
      <c r="S210" s="151">
        <f>IF(H210="New Business",IFERROR((K210/M210)*R210,0),IF(H210="Upsell",K210*'Commission Plan Rules'!$F$9,IF(H210="Renewal",K210*'Commission Plan Rules'!$F$10,0)))</f>
        <v/>
      </c>
      <c r="T210" s="141">
        <f>COUNTIFS($F$5:$F$274,F210,$K$5:$K$274,"&gt;"&amp;K210)+1</f>
        <v/>
      </c>
      <c r="U210" s="141">
        <f>F210&amp;"|"&amp;T210</f>
        <v/>
      </c>
    </row>
    <row r="211" ht="15" customHeight="1" s="107">
      <c r="A211" s="130" t="inlineStr">
        <is>
          <t>D00015</t>
        </is>
      </c>
      <c r="B211" s="130" t="inlineStr">
        <is>
          <t>R001</t>
        </is>
      </c>
      <c r="C211" s="140">
        <f>IFERROR(INDEX('Sales Roster &amp; Quotas'!$C$6:$C$20,MATCH($B211,'Sales Roster &amp; Quotas'!$B$6:$B$20,0)),"")</f>
        <v/>
      </c>
      <c r="D211" s="140">
        <f>IFERROR(INDEX('Sales Roster &amp; Quotas'!$D$6:$D$20,MATCH($B211,'Sales Roster &amp; Quotas'!$B$6:$B$20,0)),"")</f>
        <v/>
      </c>
      <c r="E211" s="131" t="n">
        <v>46153</v>
      </c>
      <c r="F211" s="141">
        <f>TEXT(E211,"yyyy-mm")</f>
        <v/>
      </c>
      <c r="G211" s="141">
        <f>IF(MONTH(E211)&lt;=3,"Q1","Q2")</f>
        <v/>
      </c>
      <c r="H211" s="130" t="inlineStr">
        <is>
          <t>New Business</t>
        </is>
      </c>
      <c r="I211" s="130" t="inlineStr">
        <is>
          <t>Highmark Insurance Brokers</t>
        </is>
      </c>
      <c r="J211" s="130" t="inlineStr">
        <is>
          <t>Policy Admin Core</t>
        </is>
      </c>
      <c r="K211" s="132" t="n">
        <v>22000</v>
      </c>
      <c r="L211" s="142">
        <f>IFERROR(INDEX('Sales Roster &amp; Quotas'!$G$6:$G$20,MATCH($B211,'Sales Roster &amp; Quotas'!$B$6:$B$20,0)),0)</f>
        <v/>
      </c>
      <c r="M211" s="143">
        <f>SUMIFS($K$5:$K$274,$B$5:$B$274,$B211,$G$5:$G$274,$G211,$H$5:$H$274,"New Business")</f>
        <v/>
      </c>
      <c r="N211" s="144">
        <f>IFERROR(M211/L211,0)</f>
        <v/>
      </c>
      <c r="O211" s="143">
        <f>MIN(M211,L211)</f>
        <v/>
      </c>
      <c r="P211" s="143">
        <f>MAX(MIN(M211,L211*1.25)-L211,0)</f>
        <v/>
      </c>
      <c r="Q211" s="143">
        <f>MAX(M211-L211*1.25,0)</f>
        <v/>
      </c>
      <c r="R211" s="142">
        <f>O211*'Commission Plan Rules'!$F$6+P211*'Commission Plan Rules'!$F$7+Q211*'Commission Plan Rules'!$F$8</f>
        <v/>
      </c>
      <c r="S211" s="145">
        <f>IF(H211="New Business",IFERROR((K211/M211)*R211,0),IF(H211="Upsell",K211*'Commission Plan Rules'!$F$9,IF(H211="Renewal",K211*'Commission Plan Rules'!$F$10,0)))</f>
        <v/>
      </c>
      <c r="T211" s="141">
        <f>COUNTIFS($F$5:$F$274,F211,$K$5:$K$274,"&gt;"&amp;K211)+1</f>
        <v/>
      </c>
      <c r="U211" s="141">
        <f>F211&amp;"|"&amp;T211</f>
        <v/>
      </c>
    </row>
    <row r="212" ht="15" customHeight="1" s="107">
      <c r="A212" s="133" t="inlineStr">
        <is>
          <t>D00020</t>
        </is>
      </c>
      <c r="B212" s="133" t="inlineStr">
        <is>
          <t>R001</t>
        </is>
      </c>
      <c r="C212" s="146">
        <f>IFERROR(INDEX('Sales Roster &amp; Quotas'!$C$6:$C$20,MATCH($B212,'Sales Roster &amp; Quotas'!$B$6:$B$20,0)),"")</f>
        <v/>
      </c>
      <c r="D212" s="146">
        <f>IFERROR(INDEX('Sales Roster &amp; Quotas'!$D$6:$D$20,MATCH($B212,'Sales Roster &amp; Quotas'!$B$6:$B$20,0)),"")</f>
        <v/>
      </c>
      <c r="E212" s="134" t="n">
        <v>46153</v>
      </c>
      <c r="F212" s="147">
        <f>TEXT(E212,"yyyy-mm")</f>
        <v/>
      </c>
      <c r="G212" s="147">
        <f>IF(MONTH(E212)&lt;=3,"Q1","Q2")</f>
        <v/>
      </c>
      <c r="H212" s="133" t="inlineStr">
        <is>
          <t>Upsell</t>
        </is>
      </c>
      <c r="I212" s="133" t="inlineStr">
        <is>
          <t>Clearwater Insurance Brokers</t>
        </is>
      </c>
      <c r="J212" s="133" t="inlineStr">
        <is>
          <t>Claims Module</t>
        </is>
      </c>
      <c r="K212" s="135" t="n">
        <v>33500</v>
      </c>
      <c r="L212" s="148">
        <f>IFERROR(INDEX('Sales Roster &amp; Quotas'!$G$6:$G$20,MATCH($B212,'Sales Roster &amp; Quotas'!$B$6:$B$20,0)),0)</f>
        <v/>
      </c>
      <c r="M212" s="149">
        <f>SUMIFS($K$5:$K$274,$B$5:$B$274,$B212,$G$5:$G$274,$G212,$H$5:$H$274,"New Business")</f>
        <v/>
      </c>
      <c r="N212" s="150">
        <f>IFERROR(M212/L212,0)</f>
        <v/>
      </c>
      <c r="O212" s="149">
        <f>MIN(M212,L212)</f>
        <v/>
      </c>
      <c r="P212" s="149">
        <f>MAX(MIN(M212,L212*1.25)-L212,0)</f>
        <v/>
      </c>
      <c r="Q212" s="149">
        <f>MAX(M212-L212*1.25,0)</f>
        <v/>
      </c>
      <c r="R212" s="148">
        <f>O212*'Commission Plan Rules'!$F$6+P212*'Commission Plan Rules'!$F$7+Q212*'Commission Plan Rules'!$F$8</f>
        <v/>
      </c>
      <c r="S212" s="151">
        <f>IF(H212="New Business",IFERROR((K212/M212)*R212,0),IF(H212="Upsell",K212*'Commission Plan Rules'!$F$9,IF(H212="Renewal",K212*'Commission Plan Rules'!$F$10,0)))</f>
        <v/>
      </c>
      <c r="T212" s="141">
        <f>COUNTIFS($F$5:$F$274,F212,$K$5:$K$274,"&gt;"&amp;K212)+1</f>
        <v/>
      </c>
      <c r="U212" s="141">
        <f>F212&amp;"|"&amp;T212</f>
        <v/>
      </c>
    </row>
    <row r="213" ht="15" customHeight="1" s="107">
      <c r="A213" s="130" t="inlineStr">
        <is>
          <t>D00095</t>
        </is>
      </c>
      <c r="B213" s="130" t="inlineStr">
        <is>
          <t>R005</t>
        </is>
      </c>
      <c r="C213" s="140">
        <f>IFERROR(INDEX('Sales Roster &amp; Quotas'!$C$6:$C$20,MATCH($B213,'Sales Roster &amp; Quotas'!$B$6:$B$20,0)),"")</f>
        <v/>
      </c>
      <c r="D213" s="140">
        <f>IFERROR(INDEX('Sales Roster &amp; Quotas'!$D$6:$D$20,MATCH($B213,'Sales Roster &amp; Quotas'!$B$6:$B$20,0)),"")</f>
        <v/>
      </c>
      <c r="E213" s="131" t="n">
        <v>46154</v>
      </c>
      <c r="F213" s="141">
        <f>TEXT(E213,"yyyy-mm")</f>
        <v/>
      </c>
      <c r="G213" s="141">
        <f>IF(MONTH(E213)&lt;=3,"Q1","Q2")</f>
        <v/>
      </c>
      <c r="H213" s="130" t="inlineStr">
        <is>
          <t>New Business</t>
        </is>
      </c>
      <c r="I213" s="130" t="inlineStr">
        <is>
          <t>Millbrook Agency Partners</t>
        </is>
      </c>
      <c r="J213" s="130" t="inlineStr">
        <is>
          <t>Claims Module</t>
        </is>
      </c>
      <c r="K213" s="132" t="n">
        <v>3000</v>
      </c>
      <c r="L213" s="142">
        <f>IFERROR(INDEX('Sales Roster &amp; Quotas'!$G$6:$G$20,MATCH($B213,'Sales Roster &amp; Quotas'!$B$6:$B$20,0)),0)</f>
        <v/>
      </c>
      <c r="M213" s="143">
        <f>SUMIFS($K$5:$K$274,$B$5:$B$274,$B213,$G$5:$G$274,$G213,$H$5:$H$274,"New Business")</f>
        <v/>
      </c>
      <c r="N213" s="144">
        <f>IFERROR(M213/L213,0)</f>
        <v/>
      </c>
      <c r="O213" s="143">
        <f>MIN(M213,L213)</f>
        <v/>
      </c>
      <c r="P213" s="143">
        <f>MAX(MIN(M213,L213*1.25)-L213,0)</f>
        <v/>
      </c>
      <c r="Q213" s="143">
        <f>MAX(M213-L213*1.25,0)</f>
        <v/>
      </c>
      <c r="R213" s="142">
        <f>O213*'Commission Plan Rules'!$F$6+P213*'Commission Plan Rules'!$F$7+Q213*'Commission Plan Rules'!$F$8</f>
        <v/>
      </c>
      <c r="S213" s="145">
        <f>IF(H213="New Business",IFERROR((K213/M213)*R213,0),IF(H213="Upsell",K213*'Commission Plan Rules'!$F$9,IF(H213="Renewal",K213*'Commission Plan Rules'!$F$10,0)))</f>
        <v/>
      </c>
      <c r="T213" s="141">
        <f>COUNTIFS($F$5:$F$274,F213,$K$5:$K$274,"&gt;"&amp;K213)+1</f>
        <v/>
      </c>
      <c r="U213" s="141">
        <f>F213&amp;"|"&amp;T213</f>
        <v/>
      </c>
    </row>
    <row r="214" ht="15" customHeight="1" s="107">
      <c r="A214" s="133" t="inlineStr">
        <is>
          <t>D00159</t>
        </is>
      </c>
      <c r="B214" s="133" t="inlineStr">
        <is>
          <t>R008</t>
        </is>
      </c>
      <c r="C214" s="146">
        <f>IFERROR(INDEX('Sales Roster &amp; Quotas'!$C$6:$C$20,MATCH($B214,'Sales Roster &amp; Quotas'!$B$6:$B$20,0)),"")</f>
        <v/>
      </c>
      <c r="D214" s="146">
        <f>IFERROR(INDEX('Sales Roster &amp; Quotas'!$D$6:$D$20,MATCH($B214,'Sales Roster &amp; Quotas'!$B$6:$B$20,0)),"")</f>
        <v/>
      </c>
      <c r="E214" s="134" t="n">
        <v>46154</v>
      </c>
      <c r="F214" s="147">
        <f>TEXT(E214,"yyyy-mm")</f>
        <v/>
      </c>
      <c r="G214" s="147">
        <f>IF(MONTH(E214)&lt;=3,"Q1","Q2")</f>
        <v/>
      </c>
      <c r="H214" s="133" t="inlineStr">
        <is>
          <t>Renewal</t>
        </is>
      </c>
      <c r="I214" s="133" t="inlineStr">
        <is>
          <t>Cedarline Mutual Agency</t>
        </is>
      </c>
      <c r="J214" s="133" t="inlineStr">
        <is>
          <t>Claims Module</t>
        </is>
      </c>
      <c r="K214" s="135" t="n">
        <v>5000</v>
      </c>
      <c r="L214" s="148">
        <f>IFERROR(INDEX('Sales Roster &amp; Quotas'!$G$6:$G$20,MATCH($B214,'Sales Roster &amp; Quotas'!$B$6:$B$20,0)),0)</f>
        <v/>
      </c>
      <c r="M214" s="149">
        <f>SUMIFS($K$5:$K$274,$B$5:$B$274,$B214,$G$5:$G$274,$G214,$H$5:$H$274,"New Business")</f>
        <v/>
      </c>
      <c r="N214" s="150">
        <f>IFERROR(M214/L214,0)</f>
        <v/>
      </c>
      <c r="O214" s="149">
        <f>MIN(M214,L214)</f>
        <v/>
      </c>
      <c r="P214" s="149">
        <f>MAX(MIN(M214,L214*1.25)-L214,0)</f>
        <v/>
      </c>
      <c r="Q214" s="149">
        <f>MAX(M214-L214*1.25,0)</f>
        <v/>
      </c>
      <c r="R214" s="148">
        <f>O214*'Commission Plan Rules'!$F$6+P214*'Commission Plan Rules'!$F$7+Q214*'Commission Plan Rules'!$F$8</f>
        <v/>
      </c>
      <c r="S214" s="151">
        <f>IF(H214="New Business",IFERROR((K214/M214)*R214,0),IF(H214="Upsell",K214*'Commission Plan Rules'!$F$9,IF(H214="Renewal",K214*'Commission Plan Rules'!$F$10,0)))</f>
        <v/>
      </c>
      <c r="T214" s="141">
        <f>COUNTIFS($F$5:$F$274,F214,$K$5:$K$274,"&gt;"&amp;K214)+1</f>
        <v/>
      </c>
      <c r="U214" s="141">
        <f>F214&amp;"|"&amp;T214</f>
        <v/>
      </c>
    </row>
    <row r="215" ht="15" customHeight="1" s="107">
      <c r="A215" s="130" t="inlineStr">
        <is>
          <t>D00210</t>
        </is>
      </c>
      <c r="B215" s="130" t="inlineStr">
        <is>
          <t>R011</t>
        </is>
      </c>
      <c r="C215" s="140">
        <f>IFERROR(INDEX('Sales Roster &amp; Quotas'!$C$6:$C$20,MATCH($B215,'Sales Roster &amp; Quotas'!$B$6:$B$20,0)),"")</f>
        <v/>
      </c>
      <c r="D215" s="140">
        <f>IFERROR(INDEX('Sales Roster &amp; Quotas'!$D$6:$D$20,MATCH($B215,'Sales Roster &amp; Quotas'!$B$6:$B$20,0)),"")</f>
        <v/>
      </c>
      <c r="E215" s="131" t="n">
        <v>46156</v>
      </c>
      <c r="F215" s="141">
        <f>TEXT(E215,"yyyy-mm")</f>
        <v/>
      </c>
      <c r="G215" s="141">
        <f>IF(MONTH(E215)&lt;=3,"Q1","Q2")</f>
        <v/>
      </c>
      <c r="H215" s="130" t="inlineStr">
        <is>
          <t>New Business</t>
        </is>
      </c>
      <c r="I215" s="130" t="inlineStr">
        <is>
          <t>Vantage Agency Partners</t>
        </is>
      </c>
      <c r="J215" s="130" t="inlineStr">
        <is>
          <t>Claims Module</t>
        </is>
      </c>
      <c r="K215" s="132" t="n">
        <v>138000</v>
      </c>
      <c r="L215" s="142">
        <f>IFERROR(INDEX('Sales Roster &amp; Quotas'!$G$6:$G$20,MATCH($B215,'Sales Roster &amp; Quotas'!$B$6:$B$20,0)),0)</f>
        <v/>
      </c>
      <c r="M215" s="143">
        <f>SUMIFS($K$5:$K$274,$B$5:$B$274,$B215,$G$5:$G$274,$G215,$H$5:$H$274,"New Business")</f>
        <v/>
      </c>
      <c r="N215" s="144">
        <f>IFERROR(M215/L215,0)</f>
        <v/>
      </c>
      <c r="O215" s="143">
        <f>MIN(M215,L215)</f>
        <v/>
      </c>
      <c r="P215" s="143">
        <f>MAX(MIN(M215,L215*1.25)-L215,0)</f>
        <v/>
      </c>
      <c r="Q215" s="143">
        <f>MAX(M215-L215*1.25,0)</f>
        <v/>
      </c>
      <c r="R215" s="142">
        <f>O215*'Commission Plan Rules'!$F$6+P215*'Commission Plan Rules'!$F$7+Q215*'Commission Plan Rules'!$F$8</f>
        <v/>
      </c>
      <c r="S215" s="145">
        <f>IF(H215="New Business",IFERROR((K215/M215)*R215,0),IF(H215="Upsell",K215*'Commission Plan Rules'!$F$9,IF(H215="Renewal",K215*'Commission Plan Rules'!$F$10,0)))</f>
        <v/>
      </c>
      <c r="T215" s="141">
        <f>COUNTIFS($F$5:$F$274,F215,$K$5:$K$274,"&gt;"&amp;K215)+1</f>
        <v/>
      </c>
      <c r="U215" s="141">
        <f>F215&amp;"|"&amp;T215</f>
        <v/>
      </c>
    </row>
    <row r="216" ht="15" customHeight="1" s="107">
      <c r="A216" s="133" t="inlineStr">
        <is>
          <t>D00101</t>
        </is>
      </c>
      <c r="B216" s="133" t="inlineStr">
        <is>
          <t>R005</t>
        </is>
      </c>
      <c r="C216" s="146">
        <f>IFERROR(INDEX('Sales Roster &amp; Quotas'!$C$6:$C$20,MATCH($B216,'Sales Roster &amp; Quotas'!$B$6:$B$20,0)),"")</f>
        <v/>
      </c>
      <c r="D216" s="146">
        <f>IFERROR(INDEX('Sales Roster &amp; Quotas'!$D$6:$D$20,MATCH($B216,'Sales Roster &amp; Quotas'!$B$6:$B$20,0)),"")</f>
        <v/>
      </c>
      <c r="E216" s="134" t="n">
        <v>46156</v>
      </c>
      <c r="F216" s="147">
        <f>TEXT(E216,"yyyy-mm")</f>
        <v/>
      </c>
      <c r="G216" s="147">
        <f>IF(MONTH(E216)&lt;=3,"Q1","Q2")</f>
        <v/>
      </c>
      <c r="H216" s="133" t="inlineStr">
        <is>
          <t>Renewal</t>
        </is>
      </c>
      <c r="I216" s="133" t="inlineStr">
        <is>
          <t>Sterling Agency Partners</t>
        </is>
      </c>
      <c r="J216" s="133" t="inlineStr">
        <is>
          <t>Client Portal</t>
        </is>
      </c>
      <c r="K216" s="135" t="n">
        <v>22000</v>
      </c>
      <c r="L216" s="148">
        <f>IFERROR(INDEX('Sales Roster &amp; Quotas'!$G$6:$G$20,MATCH($B216,'Sales Roster &amp; Quotas'!$B$6:$B$20,0)),0)</f>
        <v/>
      </c>
      <c r="M216" s="149">
        <f>SUMIFS($K$5:$K$274,$B$5:$B$274,$B216,$G$5:$G$274,$G216,$H$5:$H$274,"New Business")</f>
        <v/>
      </c>
      <c r="N216" s="150">
        <f>IFERROR(M216/L216,0)</f>
        <v/>
      </c>
      <c r="O216" s="149">
        <f>MIN(M216,L216)</f>
        <v/>
      </c>
      <c r="P216" s="149">
        <f>MAX(MIN(M216,L216*1.25)-L216,0)</f>
        <v/>
      </c>
      <c r="Q216" s="149">
        <f>MAX(M216-L216*1.25,0)</f>
        <v/>
      </c>
      <c r="R216" s="148">
        <f>O216*'Commission Plan Rules'!$F$6+P216*'Commission Plan Rules'!$F$7+Q216*'Commission Plan Rules'!$F$8</f>
        <v/>
      </c>
      <c r="S216" s="151">
        <f>IF(H216="New Business",IFERROR((K216/M216)*R216,0),IF(H216="Upsell",K216*'Commission Plan Rules'!$F$9,IF(H216="Renewal",K216*'Commission Plan Rules'!$F$10,0)))</f>
        <v/>
      </c>
      <c r="T216" s="141">
        <f>COUNTIFS($F$5:$F$274,F216,$K$5:$K$274,"&gt;"&amp;K216)+1</f>
        <v/>
      </c>
      <c r="U216" s="141">
        <f>F216&amp;"|"&amp;T216</f>
        <v/>
      </c>
    </row>
    <row r="217" ht="15" customHeight="1" s="107">
      <c r="A217" s="130" t="inlineStr">
        <is>
          <t>D00038</t>
        </is>
      </c>
      <c r="B217" s="130" t="inlineStr">
        <is>
          <t>R002</t>
        </is>
      </c>
      <c r="C217" s="140">
        <f>IFERROR(INDEX('Sales Roster &amp; Quotas'!$C$6:$C$20,MATCH($B217,'Sales Roster &amp; Quotas'!$B$6:$B$20,0)),"")</f>
        <v/>
      </c>
      <c r="D217" s="140">
        <f>IFERROR(INDEX('Sales Roster &amp; Quotas'!$D$6:$D$20,MATCH($B217,'Sales Roster &amp; Quotas'!$B$6:$B$20,0)),"")</f>
        <v/>
      </c>
      <c r="E217" s="131" t="n">
        <v>46158</v>
      </c>
      <c r="F217" s="141">
        <f>TEXT(E217,"yyyy-mm")</f>
        <v/>
      </c>
      <c r="G217" s="141">
        <f>IF(MONTH(E217)&lt;=3,"Q1","Q2")</f>
        <v/>
      </c>
      <c r="H217" s="130" t="inlineStr">
        <is>
          <t>Renewal</t>
        </is>
      </c>
      <c r="I217" s="130" t="inlineStr">
        <is>
          <t>Hillcrest Coverage Partners</t>
        </is>
      </c>
      <c r="J217" s="130" t="inlineStr">
        <is>
          <t>Claims Module</t>
        </is>
      </c>
      <c r="K217" s="132" t="n">
        <v>3500</v>
      </c>
      <c r="L217" s="142">
        <f>IFERROR(INDEX('Sales Roster &amp; Quotas'!$G$6:$G$20,MATCH($B217,'Sales Roster &amp; Quotas'!$B$6:$B$20,0)),0)</f>
        <v/>
      </c>
      <c r="M217" s="143">
        <f>SUMIFS($K$5:$K$274,$B$5:$B$274,$B217,$G$5:$G$274,$G217,$H$5:$H$274,"New Business")</f>
        <v/>
      </c>
      <c r="N217" s="144">
        <f>IFERROR(M217/L217,0)</f>
        <v/>
      </c>
      <c r="O217" s="143">
        <f>MIN(M217,L217)</f>
        <v/>
      </c>
      <c r="P217" s="143">
        <f>MAX(MIN(M217,L217*1.25)-L217,0)</f>
        <v/>
      </c>
      <c r="Q217" s="143">
        <f>MAX(M217-L217*1.25,0)</f>
        <v/>
      </c>
      <c r="R217" s="142">
        <f>O217*'Commission Plan Rules'!$F$6+P217*'Commission Plan Rules'!$F$7+Q217*'Commission Plan Rules'!$F$8</f>
        <v/>
      </c>
      <c r="S217" s="145">
        <f>IF(H217="New Business",IFERROR((K217/M217)*R217,0),IF(H217="Upsell",K217*'Commission Plan Rules'!$F$9,IF(H217="Renewal",K217*'Commission Plan Rules'!$F$10,0)))</f>
        <v/>
      </c>
      <c r="T217" s="141">
        <f>COUNTIFS($F$5:$F$274,F217,$K$5:$K$274,"&gt;"&amp;K217)+1</f>
        <v/>
      </c>
      <c r="U217" s="141">
        <f>F217&amp;"|"&amp;T217</f>
        <v/>
      </c>
    </row>
    <row r="218" ht="15" customHeight="1" s="107">
      <c r="A218" s="133" t="inlineStr">
        <is>
          <t>D00178</t>
        </is>
      </c>
      <c r="B218" s="133" t="inlineStr">
        <is>
          <t>R009</t>
        </is>
      </c>
      <c r="C218" s="146">
        <f>IFERROR(INDEX('Sales Roster &amp; Quotas'!$C$6:$C$20,MATCH($B218,'Sales Roster &amp; Quotas'!$B$6:$B$20,0)),"")</f>
        <v/>
      </c>
      <c r="D218" s="146">
        <f>IFERROR(INDEX('Sales Roster &amp; Quotas'!$D$6:$D$20,MATCH($B218,'Sales Roster &amp; Quotas'!$B$6:$B$20,0)),"")</f>
        <v/>
      </c>
      <c r="E218" s="134" t="n">
        <v>46159</v>
      </c>
      <c r="F218" s="147">
        <f>TEXT(E218,"yyyy-mm")</f>
        <v/>
      </c>
      <c r="G218" s="147">
        <f>IF(MONTH(E218)&lt;=3,"Q1","Q2")</f>
        <v/>
      </c>
      <c r="H218" s="133" t="inlineStr">
        <is>
          <t>Renewal</t>
        </is>
      </c>
      <c r="I218" s="133" t="inlineStr">
        <is>
          <t>Wrenfield Underwriters</t>
        </is>
      </c>
      <c r="J218" s="133" t="inlineStr">
        <is>
          <t>Policy Admin Core</t>
        </is>
      </c>
      <c r="K218" s="135" t="n">
        <v>58500</v>
      </c>
      <c r="L218" s="148">
        <f>IFERROR(INDEX('Sales Roster &amp; Quotas'!$G$6:$G$20,MATCH($B218,'Sales Roster &amp; Quotas'!$B$6:$B$20,0)),0)</f>
        <v/>
      </c>
      <c r="M218" s="149">
        <f>SUMIFS($K$5:$K$274,$B$5:$B$274,$B218,$G$5:$G$274,$G218,$H$5:$H$274,"New Business")</f>
        <v/>
      </c>
      <c r="N218" s="150">
        <f>IFERROR(M218/L218,0)</f>
        <v/>
      </c>
      <c r="O218" s="149">
        <f>MIN(M218,L218)</f>
        <v/>
      </c>
      <c r="P218" s="149">
        <f>MAX(MIN(M218,L218*1.25)-L218,0)</f>
        <v/>
      </c>
      <c r="Q218" s="149">
        <f>MAX(M218-L218*1.25,0)</f>
        <v/>
      </c>
      <c r="R218" s="148">
        <f>O218*'Commission Plan Rules'!$F$6+P218*'Commission Plan Rules'!$F$7+Q218*'Commission Plan Rules'!$F$8</f>
        <v/>
      </c>
      <c r="S218" s="151">
        <f>IF(H218="New Business",IFERROR((K218/M218)*R218,0),IF(H218="Upsell",K218*'Commission Plan Rules'!$F$9,IF(H218="Renewal",K218*'Commission Plan Rules'!$F$10,0)))</f>
        <v/>
      </c>
      <c r="T218" s="141">
        <f>COUNTIFS($F$5:$F$274,F218,$K$5:$K$274,"&gt;"&amp;K218)+1</f>
        <v/>
      </c>
      <c r="U218" s="141">
        <f>F218&amp;"|"&amp;T218</f>
        <v/>
      </c>
    </row>
    <row r="219" ht="15" customHeight="1" s="107">
      <c r="A219" s="130" t="inlineStr">
        <is>
          <t>D00194</t>
        </is>
      </c>
      <c r="B219" s="130" t="inlineStr">
        <is>
          <t>R010</t>
        </is>
      </c>
      <c r="C219" s="140">
        <f>IFERROR(INDEX('Sales Roster &amp; Quotas'!$C$6:$C$20,MATCH($B219,'Sales Roster &amp; Quotas'!$B$6:$B$20,0)),"")</f>
        <v/>
      </c>
      <c r="D219" s="140">
        <f>IFERROR(INDEX('Sales Roster &amp; Quotas'!$D$6:$D$20,MATCH($B219,'Sales Roster &amp; Quotas'!$B$6:$B$20,0)),"")</f>
        <v/>
      </c>
      <c r="E219" s="131" t="n">
        <v>46160</v>
      </c>
      <c r="F219" s="141">
        <f>TEXT(E219,"yyyy-mm")</f>
        <v/>
      </c>
      <c r="G219" s="141">
        <f>IF(MONTH(E219)&lt;=3,"Q1","Q2")</f>
        <v/>
      </c>
      <c r="H219" s="130" t="inlineStr">
        <is>
          <t>Renewal</t>
        </is>
      </c>
      <c r="I219" s="130" t="inlineStr">
        <is>
          <t>Highmark Insurance Solutions</t>
        </is>
      </c>
      <c r="J219" s="130" t="inlineStr">
        <is>
          <t>Policy Admin Core</t>
        </is>
      </c>
      <c r="K219" s="132" t="n">
        <v>155500</v>
      </c>
      <c r="L219" s="142">
        <f>IFERROR(INDEX('Sales Roster &amp; Quotas'!$G$6:$G$20,MATCH($B219,'Sales Roster &amp; Quotas'!$B$6:$B$20,0)),0)</f>
        <v/>
      </c>
      <c r="M219" s="143">
        <f>SUMIFS($K$5:$K$274,$B$5:$B$274,$B219,$G$5:$G$274,$G219,$H$5:$H$274,"New Business")</f>
        <v/>
      </c>
      <c r="N219" s="144">
        <f>IFERROR(M219/L219,0)</f>
        <v/>
      </c>
      <c r="O219" s="143">
        <f>MIN(M219,L219)</f>
        <v/>
      </c>
      <c r="P219" s="143">
        <f>MAX(MIN(M219,L219*1.25)-L219,0)</f>
        <v/>
      </c>
      <c r="Q219" s="143">
        <f>MAX(M219-L219*1.25,0)</f>
        <v/>
      </c>
      <c r="R219" s="142">
        <f>O219*'Commission Plan Rules'!$F$6+P219*'Commission Plan Rules'!$F$7+Q219*'Commission Plan Rules'!$F$8</f>
        <v/>
      </c>
      <c r="S219" s="145">
        <f>IF(H219="New Business",IFERROR((K219/M219)*R219,0),IF(H219="Upsell",K219*'Commission Plan Rules'!$F$9,IF(H219="Renewal",K219*'Commission Plan Rules'!$F$10,0)))</f>
        <v/>
      </c>
      <c r="T219" s="141">
        <f>COUNTIFS($F$5:$F$274,F219,$K$5:$K$274,"&gt;"&amp;K219)+1</f>
        <v/>
      </c>
      <c r="U219" s="141">
        <f>F219&amp;"|"&amp;T219</f>
        <v/>
      </c>
    </row>
    <row r="220" ht="15" customHeight="1" s="107">
      <c r="A220" s="133" t="inlineStr">
        <is>
          <t>D00058</t>
        </is>
      </c>
      <c r="B220" s="133" t="inlineStr">
        <is>
          <t>R003</t>
        </is>
      </c>
      <c r="C220" s="146">
        <f>IFERROR(INDEX('Sales Roster &amp; Quotas'!$C$6:$C$20,MATCH($B220,'Sales Roster &amp; Quotas'!$B$6:$B$20,0)),"")</f>
        <v/>
      </c>
      <c r="D220" s="146">
        <f>IFERROR(INDEX('Sales Roster &amp; Quotas'!$D$6:$D$20,MATCH($B220,'Sales Roster &amp; Quotas'!$B$6:$B$20,0)),"")</f>
        <v/>
      </c>
      <c r="E220" s="134" t="n">
        <v>46160</v>
      </c>
      <c r="F220" s="147">
        <f>TEXT(E220,"yyyy-mm")</f>
        <v/>
      </c>
      <c r="G220" s="147">
        <f>IF(MONTH(E220)&lt;=3,"Q1","Q2")</f>
        <v/>
      </c>
      <c r="H220" s="133" t="inlineStr">
        <is>
          <t>Upsell</t>
        </is>
      </c>
      <c r="I220" s="133" t="inlineStr">
        <is>
          <t>Millbrook Insurance Brokers</t>
        </is>
      </c>
      <c r="J220" s="133" t="inlineStr">
        <is>
          <t>Policy Admin Core</t>
        </is>
      </c>
      <c r="K220" s="135" t="n">
        <v>11500</v>
      </c>
      <c r="L220" s="148">
        <f>IFERROR(INDEX('Sales Roster &amp; Quotas'!$G$6:$G$20,MATCH($B220,'Sales Roster &amp; Quotas'!$B$6:$B$20,0)),0)</f>
        <v/>
      </c>
      <c r="M220" s="149">
        <f>SUMIFS($K$5:$K$274,$B$5:$B$274,$B220,$G$5:$G$274,$G220,$H$5:$H$274,"New Business")</f>
        <v/>
      </c>
      <c r="N220" s="150">
        <f>IFERROR(M220/L220,0)</f>
        <v/>
      </c>
      <c r="O220" s="149">
        <f>MIN(M220,L220)</f>
        <v/>
      </c>
      <c r="P220" s="149">
        <f>MAX(MIN(M220,L220*1.25)-L220,0)</f>
        <v/>
      </c>
      <c r="Q220" s="149">
        <f>MAX(M220-L220*1.25,0)</f>
        <v/>
      </c>
      <c r="R220" s="148">
        <f>O220*'Commission Plan Rules'!$F$6+P220*'Commission Plan Rules'!$F$7+Q220*'Commission Plan Rules'!$F$8</f>
        <v/>
      </c>
      <c r="S220" s="151">
        <f>IF(H220="New Business",IFERROR((K220/M220)*R220,0),IF(H220="Upsell",K220*'Commission Plan Rules'!$F$9,IF(H220="Renewal",K220*'Commission Plan Rules'!$F$10,0)))</f>
        <v/>
      </c>
      <c r="T220" s="141">
        <f>COUNTIFS($F$5:$F$274,F220,$K$5:$K$274,"&gt;"&amp;K220)+1</f>
        <v/>
      </c>
      <c r="U220" s="141">
        <f>F220&amp;"|"&amp;T220</f>
        <v/>
      </c>
    </row>
    <row r="221" ht="15" customHeight="1" s="107">
      <c r="A221" s="130" t="inlineStr">
        <is>
          <t>D00212</t>
        </is>
      </c>
      <c r="B221" s="130" t="inlineStr">
        <is>
          <t>R011</t>
        </is>
      </c>
      <c r="C221" s="140">
        <f>IFERROR(INDEX('Sales Roster &amp; Quotas'!$C$6:$C$20,MATCH($B221,'Sales Roster &amp; Quotas'!$B$6:$B$20,0)),"")</f>
        <v/>
      </c>
      <c r="D221" s="140">
        <f>IFERROR(INDEX('Sales Roster &amp; Quotas'!$D$6:$D$20,MATCH($B221,'Sales Roster &amp; Quotas'!$B$6:$B$20,0)),"")</f>
        <v/>
      </c>
      <c r="E221" s="131" t="n">
        <v>46161</v>
      </c>
      <c r="F221" s="141">
        <f>TEXT(E221,"yyyy-mm")</f>
        <v/>
      </c>
      <c r="G221" s="141">
        <f>IF(MONTH(E221)&lt;=3,"Q1","Q2")</f>
        <v/>
      </c>
      <c r="H221" s="130" t="inlineStr">
        <is>
          <t>Upsell</t>
        </is>
      </c>
      <c r="I221" s="130" t="inlineStr">
        <is>
          <t>Clearwater Insurance Brokers</t>
        </is>
      </c>
      <c r="J221" s="130" t="inlineStr">
        <is>
          <t>Policy Admin Core</t>
        </is>
      </c>
      <c r="K221" s="132" t="n">
        <v>34500</v>
      </c>
      <c r="L221" s="142">
        <f>IFERROR(INDEX('Sales Roster &amp; Quotas'!$G$6:$G$20,MATCH($B221,'Sales Roster &amp; Quotas'!$B$6:$B$20,0)),0)</f>
        <v/>
      </c>
      <c r="M221" s="143">
        <f>SUMIFS($K$5:$K$274,$B$5:$B$274,$B221,$G$5:$G$274,$G221,$H$5:$H$274,"New Business")</f>
        <v/>
      </c>
      <c r="N221" s="144">
        <f>IFERROR(M221/L221,0)</f>
        <v/>
      </c>
      <c r="O221" s="143">
        <f>MIN(M221,L221)</f>
        <v/>
      </c>
      <c r="P221" s="143">
        <f>MAX(MIN(M221,L221*1.25)-L221,0)</f>
        <v/>
      </c>
      <c r="Q221" s="143">
        <f>MAX(M221-L221*1.25,0)</f>
        <v/>
      </c>
      <c r="R221" s="142">
        <f>O221*'Commission Plan Rules'!$F$6+P221*'Commission Plan Rules'!$F$7+Q221*'Commission Plan Rules'!$F$8</f>
        <v/>
      </c>
      <c r="S221" s="145">
        <f>IF(H221="New Business",IFERROR((K221/M221)*R221,0),IF(H221="Upsell",K221*'Commission Plan Rules'!$F$9,IF(H221="Renewal",K221*'Commission Plan Rules'!$F$10,0)))</f>
        <v/>
      </c>
      <c r="T221" s="141">
        <f>COUNTIFS($F$5:$F$274,F221,$K$5:$K$274,"&gt;"&amp;K221)+1</f>
        <v/>
      </c>
      <c r="U221" s="141">
        <f>F221&amp;"|"&amp;T221</f>
        <v/>
      </c>
    </row>
    <row r="222" ht="15" customHeight="1" s="107">
      <c r="A222" s="133" t="inlineStr">
        <is>
          <t>D00055</t>
        </is>
      </c>
      <c r="B222" s="133" t="inlineStr">
        <is>
          <t>R003</t>
        </is>
      </c>
      <c r="C222" s="146">
        <f>IFERROR(INDEX('Sales Roster &amp; Quotas'!$C$6:$C$20,MATCH($B222,'Sales Roster &amp; Quotas'!$B$6:$B$20,0)),"")</f>
        <v/>
      </c>
      <c r="D222" s="146">
        <f>IFERROR(INDEX('Sales Roster &amp; Quotas'!$D$6:$D$20,MATCH($B222,'Sales Roster &amp; Quotas'!$B$6:$B$20,0)),"")</f>
        <v/>
      </c>
      <c r="E222" s="134" t="n">
        <v>46161</v>
      </c>
      <c r="F222" s="147">
        <f>TEXT(E222,"yyyy-mm")</f>
        <v/>
      </c>
      <c r="G222" s="147">
        <f>IF(MONTH(E222)&lt;=3,"Q1","Q2")</f>
        <v/>
      </c>
      <c r="H222" s="133" t="inlineStr">
        <is>
          <t>New Business</t>
        </is>
      </c>
      <c r="I222" s="133" t="inlineStr">
        <is>
          <t>Anchor Coverage Partners</t>
        </is>
      </c>
      <c r="J222" s="133" t="inlineStr">
        <is>
          <t>Policy Admin Core</t>
        </is>
      </c>
      <c r="K222" s="135" t="n">
        <v>30000</v>
      </c>
      <c r="L222" s="148">
        <f>IFERROR(INDEX('Sales Roster &amp; Quotas'!$G$6:$G$20,MATCH($B222,'Sales Roster &amp; Quotas'!$B$6:$B$20,0)),0)</f>
        <v/>
      </c>
      <c r="M222" s="149">
        <f>SUMIFS($K$5:$K$274,$B$5:$B$274,$B222,$G$5:$G$274,$G222,$H$5:$H$274,"New Business")</f>
        <v/>
      </c>
      <c r="N222" s="150">
        <f>IFERROR(M222/L222,0)</f>
        <v/>
      </c>
      <c r="O222" s="149">
        <f>MIN(M222,L222)</f>
        <v/>
      </c>
      <c r="P222" s="149">
        <f>MAX(MIN(M222,L222*1.25)-L222,0)</f>
        <v/>
      </c>
      <c r="Q222" s="149">
        <f>MAX(M222-L222*1.25,0)</f>
        <v/>
      </c>
      <c r="R222" s="148">
        <f>O222*'Commission Plan Rules'!$F$6+P222*'Commission Plan Rules'!$F$7+Q222*'Commission Plan Rules'!$F$8</f>
        <v/>
      </c>
      <c r="S222" s="151">
        <f>IF(H222="New Business",IFERROR((K222/M222)*R222,0),IF(H222="Upsell",K222*'Commission Plan Rules'!$F$9,IF(H222="Renewal",K222*'Commission Plan Rules'!$F$10,0)))</f>
        <v/>
      </c>
      <c r="T222" s="141">
        <f>COUNTIFS($F$5:$F$274,F222,$K$5:$K$274,"&gt;"&amp;K222)+1</f>
        <v/>
      </c>
      <c r="U222" s="141">
        <f>F222&amp;"|"&amp;T222</f>
        <v/>
      </c>
    </row>
    <row r="223" ht="15" customHeight="1" s="107">
      <c r="A223" s="130" t="inlineStr">
        <is>
          <t>D00125</t>
        </is>
      </c>
      <c r="B223" s="130" t="inlineStr">
        <is>
          <t>R006</t>
        </is>
      </c>
      <c r="C223" s="140">
        <f>IFERROR(INDEX('Sales Roster &amp; Quotas'!$C$6:$C$20,MATCH($B223,'Sales Roster &amp; Quotas'!$B$6:$B$20,0)),"")</f>
        <v/>
      </c>
      <c r="D223" s="140">
        <f>IFERROR(INDEX('Sales Roster &amp; Quotas'!$D$6:$D$20,MATCH($B223,'Sales Roster &amp; Quotas'!$B$6:$B$20,0)),"")</f>
        <v/>
      </c>
      <c r="E223" s="131" t="n">
        <v>46163</v>
      </c>
      <c r="F223" s="141">
        <f>TEXT(E223,"yyyy-mm")</f>
        <v/>
      </c>
      <c r="G223" s="141">
        <f>IF(MONTH(E223)&lt;=3,"Q1","Q2")</f>
        <v/>
      </c>
      <c r="H223" s="130" t="inlineStr">
        <is>
          <t>Renewal</t>
        </is>
      </c>
      <c r="I223" s="130" t="inlineStr">
        <is>
          <t>Windham Insurance Solutions</t>
        </is>
      </c>
      <c r="J223" s="130" t="inlineStr">
        <is>
          <t>Policy Admin Core</t>
        </is>
      </c>
      <c r="K223" s="132" t="n">
        <v>18500</v>
      </c>
      <c r="L223" s="142">
        <f>IFERROR(INDEX('Sales Roster &amp; Quotas'!$G$6:$G$20,MATCH($B223,'Sales Roster &amp; Quotas'!$B$6:$B$20,0)),0)</f>
        <v/>
      </c>
      <c r="M223" s="143">
        <f>SUMIFS($K$5:$K$274,$B$5:$B$274,$B223,$G$5:$G$274,$G223,$H$5:$H$274,"New Business")</f>
        <v/>
      </c>
      <c r="N223" s="144">
        <f>IFERROR(M223/L223,0)</f>
        <v/>
      </c>
      <c r="O223" s="143">
        <f>MIN(M223,L223)</f>
        <v/>
      </c>
      <c r="P223" s="143">
        <f>MAX(MIN(M223,L223*1.25)-L223,0)</f>
        <v/>
      </c>
      <c r="Q223" s="143">
        <f>MAX(M223-L223*1.25,0)</f>
        <v/>
      </c>
      <c r="R223" s="142">
        <f>O223*'Commission Plan Rules'!$F$6+P223*'Commission Plan Rules'!$F$7+Q223*'Commission Plan Rules'!$F$8</f>
        <v/>
      </c>
      <c r="S223" s="145">
        <f>IF(H223="New Business",IFERROR((K223/M223)*R223,0),IF(H223="Upsell",K223*'Commission Plan Rules'!$F$9,IF(H223="Renewal",K223*'Commission Plan Rules'!$F$10,0)))</f>
        <v/>
      </c>
      <c r="T223" s="141">
        <f>COUNTIFS($F$5:$F$274,F223,$K$5:$K$274,"&gt;"&amp;K223)+1</f>
        <v/>
      </c>
      <c r="U223" s="141">
        <f>F223&amp;"|"&amp;T223</f>
        <v/>
      </c>
    </row>
    <row r="224" ht="15" customHeight="1" s="107">
      <c r="A224" s="133" t="inlineStr">
        <is>
          <t>D00081</t>
        </is>
      </c>
      <c r="B224" s="133" t="inlineStr">
        <is>
          <t>R004</t>
        </is>
      </c>
      <c r="C224" s="146">
        <f>IFERROR(INDEX('Sales Roster &amp; Quotas'!$C$6:$C$20,MATCH($B224,'Sales Roster &amp; Quotas'!$B$6:$B$20,0)),"")</f>
        <v/>
      </c>
      <c r="D224" s="146">
        <f>IFERROR(INDEX('Sales Roster &amp; Quotas'!$D$6:$D$20,MATCH($B224,'Sales Roster &amp; Quotas'!$B$6:$B$20,0)),"")</f>
        <v/>
      </c>
      <c r="E224" s="134" t="n">
        <v>46163</v>
      </c>
      <c r="F224" s="147">
        <f>TEXT(E224,"yyyy-mm")</f>
        <v/>
      </c>
      <c r="G224" s="147">
        <f>IF(MONTH(E224)&lt;=3,"Q1","Q2")</f>
        <v/>
      </c>
      <c r="H224" s="133" t="inlineStr">
        <is>
          <t>Renewal</t>
        </is>
      </c>
      <c r="I224" s="133" t="inlineStr">
        <is>
          <t>Fieldstone Insurance Group</t>
        </is>
      </c>
      <c r="J224" s="133" t="inlineStr">
        <is>
          <t>Policy Admin Core</t>
        </is>
      </c>
      <c r="K224" s="135" t="n">
        <v>14000</v>
      </c>
      <c r="L224" s="148">
        <f>IFERROR(INDEX('Sales Roster &amp; Quotas'!$G$6:$G$20,MATCH($B224,'Sales Roster &amp; Quotas'!$B$6:$B$20,0)),0)</f>
        <v/>
      </c>
      <c r="M224" s="149">
        <f>SUMIFS($K$5:$K$274,$B$5:$B$274,$B224,$G$5:$G$274,$G224,$H$5:$H$274,"New Business")</f>
        <v/>
      </c>
      <c r="N224" s="150">
        <f>IFERROR(M224/L224,0)</f>
        <v/>
      </c>
      <c r="O224" s="149">
        <f>MIN(M224,L224)</f>
        <v/>
      </c>
      <c r="P224" s="149">
        <f>MAX(MIN(M224,L224*1.25)-L224,0)</f>
        <v/>
      </c>
      <c r="Q224" s="149">
        <f>MAX(M224-L224*1.25,0)</f>
        <v/>
      </c>
      <c r="R224" s="148">
        <f>O224*'Commission Plan Rules'!$F$6+P224*'Commission Plan Rules'!$F$7+Q224*'Commission Plan Rules'!$F$8</f>
        <v/>
      </c>
      <c r="S224" s="151">
        <f>IF(H224="New Business",IFERROR((K224/M224)*R224,0),IF(H224="Upsell",K224*'Commission Plan Rules'!$F$9,IF(H224="Renewal",K224*'Commission Plan Rules'!$F$10,0)))</f>
        <v/>
      </c>
      <c r="T224" s="141">
        <f>COUNTIFS($F$5:$F$274,F224,$K$5:$K$274,"&gt;"&amp;K224)+1</f>
        <v/>
      </c>
      <c r="U224" s="141">
        <f>F224&amp;"|"&amp;T224</f>
        <v/>
      </c>
    </row>
    <row r="225" ht="15" customHeight="1" s="107">
      <c r="A225" s="130" t="inlineStr">
        <is>
          <t>D00152</t>
        </is>
      </c>
      <c r="B225" s="130" t="inlineStr">
        <is>
          <t>R008</t>
        </is>
      </c>
      <c r="C225" s="140">
        <f>IFERROR(INDEX('Sales Roster &amp; Quotas'!$C$6:$C$20,MATCH($B225,'Sales Roster &amp; Quotas'!$B$6:$B$20,0)),"")</f>
        <v/>
      </c>
      <c r="D225" s="140">
        <f>IFERROR(INDEX('Sales Roster &amp; Quotas'!$D$6:$D$20,MATCH($B225,'Sales Roster &amp; Quotas'!$B$6:$B$20,0)),"")</f>
        <v/>
      </c>
      <c r="E225" s="131" t="n">
        <v>46163</v>
      </c>
      <c r="F225" s="141">
        <f>TEXT(E225,"yyyy-mm")</f>
        <v/>
      </c>
      <c r="G225" s="141">
        <f>IF(MONTH(E225)&lt;=3,"Q1","Q2")</f>
        <v/>
      </c>
      <c r="H225" s="130" t="inlineStr">
        <is>
          <t>New Business</t>
        </is>
      </c>
      <c r="I225" s="130" t="inlineStr">
        <is>
          <t>Brookhaven Mutual Agency</t>
        </is>
      </c>
      <c r="J225" s="130" t="inlineStr">
        <is>
          <t>Claims Module</t>
        </is>
      </c>
      <c r="K225" s="132" t="n">
        <v>136000</v>
      </c>
      <c r="L225" s="142">
        <f>IFERROR(INDEX('Sales Roster &amp; Quotas'!$G$6:$G$20,MATCH($B225,'Sales Roster &amp; Quotas'!$B$6:$B$20,0)),0)</f>
        <v/>
      </c>
      <c r="M225" s="143">
        <f>SUMIFS($K$5:$K$274,$B$5:$B$274,$B225,$G$5:$G$274,$G225,$H$5:$H$274,"New Business")</f>
        <v/>
      </c>
      <c r="N225" s="144">
        <f>IFERROR(M225/L225,0)</f>
        <v/>
      </c>
      <c r="O225" s="143">
        <f>MIN(M225,L225)</f>
        <v/>
      </c>
      <c r="P225" s="143">
        <f>MAX(MIN(M225,L225*1.25)-L225,0)</f>
        <v/>
      </c>
      <c r="Q225" s="143">
        <f>MAX(M225-L225*1.25,0)</f>
        <v/>
      </c>
      <c r="R225" s="142">
        <f>O225*'Commission Plan Rules'!$F$6+P225*'Commission Plan Rules'!$F$7+Q225*'Commission Plan Rules'!$F$8</f>
        <v/>
      </c>
      <c r="S225" s="145">
        <f>IF(H225="New Business",IFERROR((K225/M225)*R225,0),IF(H225="Upsell",K225*'Commission Plan Rules'!$F$9,IF(H225="Renewal",K225*'Commission Plan Rules'!$F$10,0)))</f>
        <v/>
      </c>
      <c r="T225" s="141">
        <f>COUNTIFS($F$5:$F$274,F225,$K$5:$K$274,"&gt;"&amp;K225)+1</f>
        <v/>
      </c>
      <c r="U225" s="141">
        <f>F225&amp;"|"&amp;T225</f>
        <v/>
      </c>
    </row>
    <row r="226" ht="15" customHeight="1" s="107">
      <c r="A226" s="133" t="inlineStr">
        <is>
          <t>D00118</t>
        </is>
      </c>
      <c r="B226" s="133" t="inlineStr">
        <is>
          <t>R006</t>
        </is>
      </c>
      <c r="C226" s="146">
        <f>IFERROR(INDEX('Sales Roster &amp; Quotas'!$C$6:$C$20,MATCH($B226,'Sales Roster &amp; Quotas'!$B$6:$B$20,0)),"")</f>
        <v/>
      </c>
      <c r="D226" s="146">
        <f>IFERROR(INDEX('Sales Roster &amp; Quotas'!$D$6:$D$20,MATCH($B226,'Sales Roster &amp; Quotas'!$B$6:$B$20,0)),"")</f>
        <v/>
      </c>
      <c r="E226" s="134" t="n">
        <v>46166</v>
      </c>
      <c r="F226" s="147">
        <f>TEXT(E226,"yyyy-mm")</f>
        <v/>
      </c>
      <c r="G226" s="147">
        <f>IF(MONTH(E226)&lt;=3,"Q1","Q2")</f>
        <v/>
      </c>
      <c r="H226" s="133" t="inlineStr">
        <is>
          <t>New Business</t>
        </is>
      </c>
      <c r="I226" s="133" t="inlineStr">
        <is>
          <t>Meadowbrook Insurance Group</t>
        </is>
      </c>
      <c r="J226" s="133" t="inlineStr">
        <is>
          <t>Policy Admin Core</t>
        </is>
      </c>
      <c r="K226" s="135" t="n">
        <v>26000</v>
      </c>
      <c r="L226" s="148">
        <f>IFERROR(INDEX('Sales Roster &amp; Quotas'!$G$6:$G$20,MATCH($B226,'Sales Roster &amp; Quotas'!$B$6:$B$20,0)),0)</f>
        <v/>
      </c>
      <c r="M226" s="149">
        <f>SUMIFS($K$5:$K$274,$B$5:$B$274,$B226,$G$5:$G$274,$G226,$H$5:$H$274,"New Business")</f>
        <v/>
      </c>
      <c r="N226" s="150">
        <f>IFERROR(M226/L226,0)</f>
        <v/>
      </c>
      <c r="O226" s="149">
        <f>MIN(M226,L226)</f>
        <v/>
      </c>
      <c r="P226" s="149">
        <f>MAX(MIN(M226,L226*1.25)-L226,0)</f>
        <v/>
      </c>
      <c r="Q226" s="149">
        <f>MAX(M226-L226*1.25,0)</f>
        <v/>
      </c>
      <c r="R226" s="148">
        <f>O226*'Commission Plan Rules'!$F$6+P226*'Commission Plan Rules'!$F$7+Q226*'Commission Plan Rules'!$F$8</f>
        <v/>
      </c>
      <c r="S226" s="151">
        <f>IF(H226="New Business",IFERROR((K226/M226)*R226,0),IF(H226="Upsell",K226*'Commission Plan Rules'!$F$9,IF(H226="Renewal",K226*'Commission Plan Rules'!$F$10,0)))</f>
        <v/>
      </c>
      <c r="T226" s="141">
        <f>COUNTIFS($F$5:$F$274,F226,$K$5:$K$274,"&gt;"&amp;K226)+1</f>
        <v/>
      </c>
      <c r="U226" s="141">
        <f>F226&amp;"|"&amp;T226</f>
        <v/>
      </c>
    </row>
    <row r="227" ht="15" customHeight="1" s="107">
      <c r="A227" s="130" t="inlineStr">
        <is>
          <t>D00124</t>
        </is>
      </c>
      <c r="B227" s="130" t="inlineStr">
        <is>
          <t>R006</t>
        </is>
      </c>
      <c r="C227" s="140">
        <f>IFERROR(INDEX('Sales Roster &amp; Quotas'!$C$6:$C$20,MATCH($B227,'Sales Roster &amp; Quotas'!$B$6:$B$20,0)),"")</f>
        <v/>
      </c>
      <c r="D227" s="140">
        <f>IFERROR(INDEX('Sales Roster &amp; Quotas'!$D$6:$D$20,MATCH($B227,'Sales Roster &amp; Quotas'!$B$6:$B$20,0)),"")</f>
        <v/>
      </c>
      <c r="E227" s="131" t="n">
        <v>46167</v>
      </c>
      <c r="F227" s="141">
        <f>TEXT(E227,"yyyy-mm")</f>
        <v/>
      </c>
      <c r="G227" s="141">
        <f>IF(MONTH(E227)&lt;=3,"Q1","Q2")</f>
        <v/>
      </c>
      <c r="H227" s="130" t="inlineStr">
        <is>
          <t>Renewal</t>
        </is>
      </c>
      <c r="I227" s="130" t="inlineStr">
        <is>
          <t>Vantage Insurance Group</t>
        </is>
      </c>
      <c r="J227" s="130" t="inlineStr">
        <is>
          <t>Policy Admin Core</t>
        </is>
      </c>
      <c r="K227" s="132" t="n">
        <v>27500</v>
      </c>
      <c r="L227" s="142">
        <f>IFERROR(INDEX('Sales Roster &amp; Quotas'!$G$6:$G$20,MATCH($B227,'Sales Roster &amp; Quotas'!$B$6:$B$20,0)),0)</f>
        <v/>
      </c>
      <c r="M227" s="143">
        <f>SUMIFS($K$5:$K$274,$B$5:$B$274,$B227,$G$5:$G$274,$G227,$H$5:$H$274,"New Business")</f>
        <v/>
      </c>
      <c r="N227" s="144">
        <f>IFERROR(M227/L227,0)</f>
        <v/>
      </c>
      <c r="O227" s="143">
        <f>MIN(M227,L227)</f>
        <v/>
      </c>
      <c r="P227" s="143">
        <f>MAX(MIN(M227,L227*1.25)-L227,0)</f>
        <v/>
      </c>
      <c r="Q227" s="143">
        <f>MAX(M227-L227*1.25,0)</f>
        <v/>
      </c>
      <c r="R227" s="142">
        <f>O227*'Commission Plan Rules'!$F$6+P227*'Commission Plan Rules'!$F$7+Q227*'Commission Plan Rules'!$F$8</f>
        <v/>
      </c>
      <c r="S227" s="145">
        <f>IF(H227="New Business",IFERROR((K227/M227)*R227,0),IF(H227="Upsell",K227*'Commission Plan Rules'!$F$9,IF(H227="Renewal",K227*'Commission Plan Rules'!$F$10,0)))</f>
        <v/>
      </c>
      <c r="T227" s="141">
        <f>COUNTIFS($F$5:$F$274,F227,$K$5:$K$274,"&gt;"&amp;K227)+1</f>
        <v/>
      </c>
      <c r="U227" s="141">
        <f>F227&amp;"|"&amp;T227</f>
        <v/>
      </c>
    </row>
    <row r="228" ht="15" customHeight="1" s="107">
      <c r="A228" s="133" t="inlineStr">
        <is>
          <t>D00171</t>
        </is>
      </c>
      <c r="B228" s="133" t="inlineStr">
        <is>
          <t>R009</t>
        </is>
      </c>
      <c r="C228" s="146">
        <f>IFERROR(INDEX('Sales Roster &amp; Quotas'!$C$6:$C$20,MATCH($B228,'Sales Roster &amp; Quotas'!$B$6:$B$20,0)),"")</f>
        <v/>
      </c>
      <c r="D228" s="146">
        <f>IFERROR(INDEX('Sales Roster &amp; Quotas'!$D$6:$D$20,MATCH($B228,'Sales Roster &amp; Quotas'!$B$6:$B$20,0)),"")</f>
        <v/>
      </c>
      <c r="E228" s="134" t="n">
        <v>46167</v>
      </c>
      <c r="F228" s="147">
        <f>TEXT(E228,"yyyy-mm")</f>
        <v/>
      </c>
      <c r="G228" s="147">
        <f>IF(MONTH(E228)&lt;=3,"Q1","Q2")</f>
        <v/>
      </c>
      <c r="H228" s="133" t="inlineStr">
        <is>
          <t>New Business</t>
        </is>
      </c>
      <c r="I228" s="133" t="inlineStr">
        <is>
          <t>Lakeside Underwriters</t>
        </is>
      </c>
      <c r="J228" s="133" t="inlineStr">
        <is>
          <t>Policy Admin Core</t>
        </is>
      </c>
      <c r="K228" s="135" t="n">
        <v>14500</v>
      </c>
      <c r="L228" s="148">
        <f>IFERROR(INDEX('Sales Roster &amp; Quotas'!$G$6:$G$20,MATCH($B228,'Sales Roster &amp; Quotas'!$B$6:$B$20,0)),0)</f>
        <v/>
      </c>
      <c r="M228" s="149">
        <f>SUMIFS($K$5:$K$274,$B$5:$B$274,$B228,$G$5:$G$274,$G228,$H$5:$H$274,"New Business")</f>
        <v/>
      </c>
      <c r="N228" s="150">
        <f>IFERROR(M228/L228,0)</f>
        <v/>
      </c>
      <c r="O228" s="149">
        <f>MIN(M228,L228)</f>
        <v/>
      </c>
      <c r="P228" s="149">
        <f>MAX(MIN(M228,L228*1.25)-L228,0)</f>
        <v/>
      </c>
      <c r="Q228" s="149">
        <f>MAX(M228-L228*1.25,0)</f>
        <v/>
      </c>
      <c r="R228" s="148">
        <f>O228*'Commission Plan Rules'!$F$6+P228*'Commission Plan Rules'!$F$7+Q228*'Commission Plan Rules'!$F$8</f>
        <v/>
      </c>
      <c r="S228" s="151">
        <f>IF(H228="New Business",IFERROR((K228/M228)*R228,0),IF(H228="Upsell",K228*'Commission Plan Rules'!$F$9,IF(H228="Renewal",K228*'Commission Plan Rules'!$F$10,0)))</f>
        <v/>
      </c>
      <c r="T228" s="141">
        <f>COUNTIFS($F$5:$F$274,F228,$K$5:$K$274,"&gt;"&amp;K228)+1</f>
        <v/>
      </c>
      <c r="U228" s="141">
        <f>F228&amp;"|"&amp;T228</f>
        <v/>
      </c>
    </row>
    <row r="229" ht="15" customHeight="1" s="107">
      <c r="A229" s="130" t="inlineStr">
        <is>
          <t>D00018</t>
        </is>
      </c>
      <c r="B229" s="130" t="inlineStr">
        <is>
          <t>R001</t>
        </is>
      </c>
      <c r="C229" s="140">
        <f>IFERROR(INDEX('Sales Roster &amp; Quotas'!$C$6:$C$20,MATCH($B229,'Sales Roster &amp; Quotas'!$B$6:$B$20,0)),"")</f>
        <v/>
      </c>
      <c r="D229" s="140">
        <f>IFERROR(INDEX('Sales Roster &amp; Quotas'!$D$6:$D$20,MATCH($B229,'Sales Roster &amp; Quotas'!$B$6:$B$20,0)),"")</f>
        <v/>
      </c>
      <c r="E229" s="131" t="n">
        <v>46169</v>
      </c>
      <c r="F229" s="141">
        <f>TEXT(E229,"yyyy-mm")</f>
        <v/>
      </c>
      <c r="G229" s="141">
        <f>IF(MONTH(E229)&lt;=3,"Q1","Q2")</f>
        <v/>
      </c>
      <c r="H229" s="130" t="inlineStr">
        <is>
          <t>New Business</t>
        </is>
      </c>
      <c r="I229" s="130" t="inlineStr">
        <is>
          <t>Granite Insurance Brokers</t>
        </is>
      </c>
      <c r="J229" s="130" t="inlineStr">
        <is>
          <t>Policy Admin Core</t>
        </is>
      </c>
      <c r="K229" s="132" t="n">
        <v>61500</v>
      </c>
      <c r="L229" s="142">
        <f>IFERROR(INDEX('Sales Roster &amp; Quotas'!$G$6:$G$20,MATCH($B229,'Sales Roster &amp; Quotas'!$B$6:$B$20,0)),0)</f>
        <v/>
      </c>
      <c r="M229" s="143">
        <f>SUMIFS($K$5:$K$274,$B$5:$B$274,$B229,$G$5:$G$274,$G229,$H$5:$H$274,"New Business")</f>
        <v/>
      </c>
      <c r="N229" s="144">
        <f>IFERROR(M229/L229,0)</f>
        <v/>
      </c>
      <c r="O229" s="143">
        <f>MIN(M229,L229)</f>
        <v/>
      </c>
      <c r="P229" s="143">
        <f>MAX(MIN(M229,L229*1.25)-L229,0)</f>
        <v/>
      </c>
      <c r="Q229" s="143">
        <f>MAX(M229-L229*1.25,0)</f>
        <v/>
      </c>
      <c r="R229" s="142">
        <f>O229*'Commission Plan Rules'!$F$6+P229*'Commission Plan Rules'!$F$7+Q229*'Commission Plan Rules'!$F$8</f>
        <v/>
      </c>
      <c r="S229" s="145">
        <f>IF(H229="New Business",IFERROR((K229/M229)*R229,0),IF(H229="Upsell",K229*'Commission Plan Rules'!$F$9,IF(H229="Renewal",K229*'Commission Plan Rules'!$F$10,0)))</f>
        <v/>
      </c>
      <c r="T229" s="141">
        <f>COUNTIFS($F$5:$F$274,F229,$K$5:$K$274,"&gt;"&amp;K229)+1</f>
        <v/>
      </c>
      <c r="U229" s="141">
        <f>F229&amp;"|"&amp;T229</f>
        <v/>
      </c>
    </row>
    <row r="230" ht="15" customHeight="1" s="107">
      <c r="A230" s="133" t="inlineStr">
        <is>
          <t>D00214</t>
        </is>
      </c>
      <c r="B230" s="133" t="inlineStr">
        <is>
          <t>R011</t>
        </is>
      </c>
      <c r="C230" s="146">
        <f>IFERROR(INDEX('Sales Roster &amp; Quotas'!$C$6:$C$20,MATCH($B230,'Sales Roster &amp; Quotas'!$B$6:$B$20,0)),"")</f>
        <v/>
      </c>
      <c r="D230" s="146">
        <f>IFERROR(INDEX('Sales Roster &amp; Quotas'!$D$6:$D$20,MATCH($B230,'Sales Roster &amp; Quotas'!$B$6:$B$20,0)),"")</f>
        <v/>
      </c>
      <c r="E230" s="134" t="n">
        <v>46170</v>
      </c>
      <c r="F230" s="147">
        <f>TEXT(E230,"yyyy-mm")</f>
        <v/>
      </c>
      <c r="G230" s="147">
        <f>IF(MONTH(E230)&lt;=3,"Q1","Q2")</f>
        <v/>
      </c>
      <c r="H230" s="133" t="inlineStr">
        <is>
          <t>Renewal</t>
        </is>
      </c>
      <c r="I230" s="133" t="inlineStr">
        <is>
          <t>Overlook Agency Partners</t>
        </is>
      </c>
      <c r="J230" s="133" t="inlineStr">
        <is>
          <t>Policy Admin Core</t>
        </is>
      </c>
      <c r="K230" s="135" t="n">
        <v>30000</v>
      </c>
      <c r="L230" s="148">
        <f>IFERROR(INDEX('Sales Roster &amp; Quotas'!$G$6:$G$20,MATCH($B230,'Sales Roster &amp; Quotas'!$B$6:$B$20,0)),0)</f>
        <v/>
      </c>
      <c r="M230" s="149">
        <f>SUMIFS($K$5:$K$274,$B$5:$B$274,$B230,$G$5:$G$274,$G230,$H$5:$H$274,"New Business")</f>
        <v/>
      </c>
      <c r="N230" s="150">
        <f>IFERROR(M230/L230,0)</f>
        <v/>
      </c>
      <c r="O230" s="149">
        <f>MIN(M230,L230)</f>
        <v/>
      </c>
      <c r="P230" s="149">
        <f>MAX(MIN(M230,L230*1.25)-L230,0)</f>
        <v/>
      </c>
      <c r="Q230" s="149">
        <f>MAX(M230-L230*1.25,0)</f>
        <v/>
      </c>
      <c r="R230" s="148">
        <f>O230*'Commission Plan Rules'!$F$6+P230*'Commission Plan Rules'!$F$7+Q230*'Commission Plan Rules'!$F$8</f>
        <v/>
      </c>
      <c r="S230" s="151">
        <f>IF(H230="New Business",IFERROR((K230/M230)*R230,0),IF(H230="Upsell",K230*'Commission Plan Rules'!$F$9,IF(H230="Renewal",K230*'Commission Plan Rules'!$F$10,0)))</f>
        <v/>
      </c>
      <c r="T230" s="141">
        <f>COUNTIFS($F$5:$F$274,F230,$K$5:$K$274,"&gt;"&amp;K230)+1</f>
        <v/>
      </c>
      <c r="U230" s="141">
        <f>F230&amp;"|"&amp;T230</f>
        <v/>
      </c>
    </row>
    <row r="231" ht="15" customHeight="1" s="107">
      <c r="A231" s="130" t="inlineStr">
        <is>
          <t>D00082</t>
        </is>
      </c>
      <c r="B231" s="130" t="inlineStr">
        <is>
          <t>R004</t>
        </is>
      </c>
      <c r="C231" s="140">
        <f>IFERROR(INDEX('Sales Roster &amp; Quotas'!$C$6:$C$20,MATCH($B231,'Sales Roster &amp; Quotas'!$B$6:$B$20,0)),"")</f>
        <v/>
      </c>
      <c r="D231" s="140">
        <f>IFERROR(INDEX('Sales Roster &amp; Quotas'!$D$6:$D$20,MATCH($B231,'Sales Roster &amp; Quotas'!$B$6:$B$20,0)),"")</f>
        <v/>
      </c>
      <c r="E231" s="131" t="n">
        <v>46170</v>
      </c>
      <c r="F231" s="141">
        <f>TEXT(E231,"yyyy-mm")</f>
        <v/>
      </c>
      <c r="G231" s="141">
        <f>IF(MONTH(E231)&lt;=3,"Q1","Q2")</f>
        <v/>
      </c>
      <c r="H231" s="130" t="inlineStr">
        <is>
          <t>Renewal</t>
        </is>
      </c>
      <c r="I231" s="130" t="inlineStr">
        <is>
          <t>Windham Coverage Partners</t>
        </is>
      </c>
      <c r="J231" s="130" t="inlineStr">
        <is>
          <t>Claims Module</t>
        </is>
      </c>
      <c r="K231" s="132" t="n">
        <v>4000</v>
      </c>
      <c r="L231" s="142">
        <f>IFERROR(INDEX('Sales Roster &amp; Quotas'!$G$6:$G$20,MATCH($B231,'Sales Roster &amp; Quotas'!$B$6:$B$20,0)),0)</f>
        <v/>
      </c>
      <c r="M231" s="143">
        <f>SUMIFS($K$5:$K$274,$B$5:$B$274,$B231,$G$5:$G$274,$G231,$H$5:$H$274,"New Business")</f>
        <v/>
      </c>
      <c r="N231" s="144">
        <f>IFERROR(M231/L231,0)</f>
        <v/>
      </c>
      <c r="O231" s="143">
        <f>MIN(M231,L231)</f>
        <v/>
      </c>
      <c r="P231" s="143">
        <f>MAX(MIN(M231,L231*1.25)-L231,0)</f>
        <v/>
      </c>
      <c r="Q231" s="143">
        <f>MAX(M231-L231*1.25,0)</f>
        <v/>
      </c>
      <c r="R231" s="142">
        <f>O231*'Commission Plan Rules'!$F$6+P231*'Commission Plan Rules'!$F$7+Q231*'Commission Plan Rules'!$F$8</f>
        <v/>
      </c>
      <c r="S231" s="145">
        <f>IF(H231="New Business",IFERROR((K231/M231)*R231,0),IF(H231="Upsell",K231*'Commission Plan Rules'!$F$9,IF(H231="Renewal",K231*'Commission Plan Rules'!$F$10,0)))</f>
        <v/>
      </c>
      <c r="T231" s="141">
        <f>COUNTIFS($F$5:$F$274,F231,$K$5:$K$274,"&gt;"&amp;K231)+1</f>
        <v/>
      </c>
      <c r="U231" s="141">
        <f>F231&amp;"|"&amp;T231</f>
        <v/>
      </c>
    </row>
    <row r="232" ht="15" customHeight="1" s="107">
      <c r="A232" s="133" t="inlineStr">
        <is>
          <t>D00267</t>
        </is>
      </c>
      <c r="B232" s="133" t="inlineStr">
        <is>
          <t>R015</t>
        </is>
      </c>
      <c r="C232" s="146">
        <f>IFERROR(INDEX('Sales Roster &amp; Quotas'!$C$6:$C$20,MATCH($B232,'Sales Roster &amp; Quotas'!$B$6:$B$20,0)),"")</f>
        <v/>
      </c>
      <c r="D232" s="146">
        <f>IFERROR(INDEX('Sales Roster &amp; Quotas'!$D$6:$D$20,MATCH($B232,'Sales Roster &amp; Quotas'!$B$6:$B$20,0)),"")</f>
        <v/>
      </c>
      <c r="E232" s="134" t="n">
        <v>46170</v>
      </c>
      <c r="F232" s="147">
        <f>TEXT(E232,"yyyy-mm")</f>
        <v/>
      </c>
      <c r="G232" s="147">
        <f>IF(MONTH(E232)&lt;=3,"Q1","Q2")</f>
        <v/>
      </c>
      <c r="H232" s="133" t="inlineStr">
        <is>
          <t>New Business</t>
        </is>
      </c>
      <c r="I232" s="133" t="inlineStr">
        <is>
          <t>Northgate Insurance Solutions</t>
        </is>
      </c>
      <c r="J232" s="133" t="inlineStr">
        <is>
          <t>Policy Admin Core</t>
        </is>
      </c>
      <c r="K232" s="135" t="n">
        <v>168000</v>
      </c>
      <c r="L232" s="148">
        <f>IFERROR(INDEX('Sales Roster &amp; Quotas'!$G$6:$G$20,MATCH($B232,'Sales Roster &amp; Quotas'!$B$6:$B$20,0)),0)</f>
        <v/>
      </c>
      <c r="M232" s="149">
        <f>SUMIFS($K$5:$K$274,$B$5:$B$274,$B232,$G$5:$G$274,$G232,$H$5:$H$274,"New Business")</f>
        <v/>
      </c>
      <c r="N232" s="150">
        <f>IFERROR(M232/L232,0)</f>
        <v/>
      </c>
      <c r="O232" s="149">
        <f>MIN(M232,L232)</f>
        <v/>
      </c>
      <c r="P232" s="149">
        <f>MAX(MIN(M232,L232*1.25)-L232,0)</f>
        <v/>
      </c>
      <c r="Q232" s="149">
        <f>MAX(M232-L232*1.25,0)</f>
        <v/>
      </c>
      <c r="R232" s="148">
        <f>O232*'Commission Plan Rules'!$F$6+P232*'Commission Plan Rules'!$F$7+Q232*'Commission Plan Rules'!$F$8</f>
        <v/>
      </c>
      <c r="S232" s="151">
        <f>IF(H232="New Business",IFERROR((K232/M232)*R232,0),IF(H232="Upsell",K232*'Commission Plan Rules'!$F$9,IF(H232="Renewal",K232*'Commission Plan Rules'!$F$10,0)))</f>
        <v/>
      </c>
      <c r="T232" s="141">
        <f>COUNTIFS($F$5:$F$274,F232,$K$5:$K$274,"&gt;"&amp;K232)+1</f>
        <v/>
      </c>
      <c r="U232" s="141">
        <f>F232&amp;"|"&amp;T232</f>
        <v/>
      </c>
    </row>
    <row r="233" ht="15" customHeight="1" s="107">
      <c r="A233" s="130" t="inlineStr">
        <is>
          <t>D00253</t>
        </is>
      </c>
      <c r="B233" s="130" t="inlineStr">
        <is>
          <t>R014</t>
        </is>
      </c>
      <c r="C233" s="140">
        <f>IFERROR(INDEX('Sales Roster &amp; Quotas'!$C$6:$C$20,MATCH($B233,'Sales Roster &amp; Quotas'!$B$6:$B$20,0)),"")</f>
        <v/>
      </c>
      <c r="D233" s="140">
        <f>IFERROR(INDEX('Sales Roster &amp; Quotas'!$D$6:$D$20,MATCH($B233,'Sales Roster &amp; Quotas'!$B$6:$B$20,0)),"")</f>
        <v/>
      </c>
      <c r="E233" s="131" t="n">
        <v>46175</v>
      </c>
      <c r="F233" s="141">
        <f>TEXT(E233,"yyyy-mm")</f>
        <v/>
      </c>
      <c r="G233" s="141">
        <f>IF(MONTH(E233)&lt;=3,"Q1","Q2")</f>
        <v/>
      </c>
      <c r="H233" s="130" t="inlineStr">
        <is>
          <t>Renewal</t>
        </is>
      </c>
      <c r="I233" s="130" t="inlineStr">
        <is>
          <t>Overlook Mutual Agency</t>
        </is>
      </c>
      <c r="J233" s="130" t="inlineStr">
        <is>
          <t>Claims Module</t>
        </is>
      </c>
      <c r="K233" s="132" t="n">
        <v>11000</v>
      </c>
      <c r="L233" s="142">
        <f>IFERROR(INDEX('Sales Roster &amp; Quotas'!$G$6:$G$20,MATCH($B233,'Sales Roster &amp; Quotas'!$B$6:$B$20,0)),0)</f>
        <v/>
      </c>
      <c r="M233" s="143">
        <f>SUMIFS($K$5:$K$274,$B$5:$B$274,$B233,$G$5:$G$274,$G233,$H$5:$H$274,"New Business")</f>
        <v/>
      </c>
      <c r="N233" s="144">
        <f>IFERROR(M233/L233,0)</f>
        <v/>
      </c>
      <c r="O233" s="143">
        <f>MIN(M233,L233)</f>
        <v/>
      </c>
      <c r="P233" s="143">
        <f>MAX(MIN(M233,L233*1.25)-L233,0)</f>
        <v/>
      </c>
      <c r="Q233" s="143">
        <f>MAX(M233-L233*1.25,0)</f>
        <v/>
      </c>
      <c r="R233" s="142">
        <f>O233*'Commission Plan Rules'!$F$6+P233*'Commission Plan Rules'!$F$7+Q233*'Commission Plan Rules'!$F$8</f>
        <v/>
      </c>
      <c r="S233" s="145">
        <f>IF(H233="New Business",IFERROR((K233/M233)*R233,0),IF(H233="Upsell",K233*'Commission Plan Rules'!$F$9,IF(H233="Renewal",K233*'Commission Plan Rules'!$F$10,0)))</f>
        <v/>
      </c>
      <c r="T233" s="141">
        <f>COUNTIFS($F$5:$F$274,F233,$K$5:$K$274,"&gt;"&amp;K233)+1</f>
        <v/>
      </c>
      <c r="U233" s="141">
        <f>F233&amp;"|"&amp;T233</f>
        <v/>
      </c>
    </row>
    <row r="234" ht="15" customHeight="1" s="107">
      <c r="A234" s="133" t="inlineStr">
        <is>
          <t>D00120</t>
        </is>
      </c>
      <c r="B234" s="133" t="inlineStr">
        <is>
          <t>R006</t>
        </is>
      </c>
      <c r="C234" s="146">
        <f>IFERROR(INDEX('Sales Roster &amp; Quotas'!$C$6:$C$20,MATCH($B234,'Sales Roster &amp; Quotas'!$B$6:$B$20,0)),"")</f>
        <v/>
      </c>
      <c r="D234" s="146">
        <f>IFERROR(INDEX('Sales Roster &amp; Quotas'!$D$6:$D$20,MATCH($B234,'Sales Roster &amp; Quotas'!$B$6:$B$20,0)),"")</f>
        <v/>
      </c>
      <c r="E234" s="134" t="n">
        <v>46175</v>
      </c>
      <c r="F234" s="147">
        <f>TEXT(E234,"yyyy-mm")</f>
        <v/>
      </c>
      <c r="G234" s="147">
        <f>IF(MONTH(E234)&lt;=3,"Q1","Q2")</f>
        <v/>
      </c>
      <c r="H234" s="133" t="inlineStr">
        <is>
          <t>Upsell</t>
        </is>
      </c>
      <c r="I234" s="133" t="inlineStr">
        <is>
          <t>Brookhaven Risk Advisors</t>
        </is>
      </c>
      <c r="J234" s="133" t="inlineStr">
        <is>
          <t>Policy Admin Core</t>
        </is>
      </c>
      <c r="K234" s="135" t="n">
        <v>33000</v>
      </c>
      <c r="L234" s="148">
        <f>IFERROR(INDEX('Sales Roster &amp; Quotas'!$G$6:$G$20,MATCH($B234,'Sales Roster &amp; Quotas'!$B$6:$B$20,0)),0)</f>
        <v/>
      </c>
      <c r="M234" s="149">
        <f>SUMIFS($K$5:$K$274,$B$5:$B$274,$B234,$G$5:$G$274,$G234,$H$5:$H$274,"New Business")</f>
        <v/>
      </c>
      <c r="N234" s="150">
        <f>IFERROR(M234/L234,0)</f>
        <v/>
      </c>
      <c r="O234" s="149">
        <f>MIN(M234,L234)</f>
        <v/>
      </c>
      <c r="P234" s="149">
        <f>MAX(MIN(M234,L234*1.25)-L234,0)</f>
        <v/>
      </c>
      <c r="Q234" s="149">
        <f>MAX(M234-L234*1.25,0)</f>
        <v/>
      </c>
      <c r="R234" s="148">
        <f>O234*'Commission Plan Rules'!$F$6+P234*'Commission Plan Rules'!$F$7+Q234*'Commission Plan Rules'!$F$8</f>
        <v/>
      </c>
      <c r="S234" s="151">
        <f>IF(H234="New Business",IFERROR((K234/M234)*R234,0),IF(H234="Upsell",K234*'Commission Plan Rules'!$F$9,IF(H234="Renewal",K234*'Commission Plan Rules'!$F$10,0)))</f>
        <v/>
      </c>
      <c r="T234" s="141">
        <f>COUNTIFS($F$5:$F$274,F234,$K$5:$K$274,"&gt;"&amp;K234)+1</f>
        <v/>
      </c>
      <c r="U234" s="141">
        <f>F234&amp;"|"&amp;T234</f>
        <v/>
      </c>
    </row>
    <row r="235" ht="15" customHeight="1" s="107">
      <c r="A235" s="130" t="inlineStr">
        <is>
          <t>D00094</t>
        </is>
      </c>
      <c r="B235" s="130" t="inlineStr">
        <is>
          <t>R005</t>
        </is>
      </c>
      <c r="C235" s="140">
        <f>IFERROR(INDEX('Sales Roster &amp; Quotas'!$C$6:$C$20,MATCH($B235,'Sales Roster &amp; Quotas'!$B$6:$B$20,0)),"")</f>
        <v/>
      </c>
      <c r="D235" s="140">
        <f>IFERROR(INDEX('Sales Roster &amp; Quotas'!$D$6:$D$20,MATCH($B235,'Sales Roster &amp; Quotas'!$B$6:$B$20,0)),"")</f>
        <v/>
      </c>
      <c r="E235" s="131" t="n">
        <v>46175</v>
      </c>
      <c r="F235" s="141">
        <f>TEXT(E235,"yyyy-mm")</f>
        <v/>
      </c>
      <c r="G235" s="141">
        <f>IF(MONTH(E235)&lt;=3,"Q1","Q2")</f>
        <v/>
      </c>
      <c r="H235" s="130" t="inlineStr">
        <is>
          <t>New Business</t>
        </is>
      </c>
      <c r="I235" s="130" t="inlineStr">
        <is>
          <t>Bridgeway Coverage Partners</t>
        </is>
      </c>
      <c r="J235" s="130" t="inlineStr">
        <is>
          <t>Analytics Add-On</t>
        </is>
      </c>
      <c r="K235" s="132" t="n">
        <v>8500</v>
      </c>
      <c r="L235" s="142">
        <f>IFERROR(INDEX('Sales Roster &amp; Quotas'!$G$6:$G$20,MATCH($B235,'Sales Roster &amp; Quotas'!$B$6:$B$20,0)),0)</f>
        <v/>
      </c>
      <c r="M235" s="143">
        <f>SUMIFS($K$5:$K$274,$B$5:$B$274,$B235,$G$5:$G$274,$G235,$H$5:$H$274,"New Business")</f>
        <v/>
      </c>
      <c r="N235" s="144">
        <f>IFERROR(M235/L235,0)</f>
        <v/>
      </c>
      <c r="O235" s="143">
        <f>MIN(M235,L235)</f>
        <v/>
      </c>
      <c r="P235" s="143">
        <f>MAX(MIN(M235,L235*1.25)-L235,0)</f>
        <v/>
      </c>
      <c r="Q235" s="143">
        <f>MAX(M235-L235*1.25,0)</f>
        <v/>
      </c>
      <c r="R235" s="142">
        <f>O235*'Commission Plan Rules'!$F$6+P235*'Commission Plan Rules'!$F$7+Q235*'Commission Plan Rules'!$F$8</f>
        <v/>
      </c>
      <c r="S235" s="145">
        <f>IF(H235="New Business",IFERROR((K235/M235)*R235,0),IF(H235="Upsell",K235*'Commission Plan Rules'!$F$9,IF(H235="Renewal",K235*'Commission Plan Rules'!$F$10,0)))</f>
        <v/>
      </c>
      <c r="T235" s="141">
        <f>COUNTIFS($F$5:$F$274,F235,$K$5:$K$274,"&gt;"&amp;K235)+1</f>
        <v/>
      </c>
      <c r="U235" s="141">
        <f>F235&amp;"|"&amp;T235</f>
        <v/>
      </c>
    </row>
    <row r="236" ht="15" customHeight="1" s="107">
      <c r="A236" s="133" t="inlineStr">
        <is>
          <t>D00092</t>
        </is>
      </c>
      <c r="B236" s="133" t="inlineStr">
        <is>
          <t>R005</t>
        </is>
      </c>
      <c r="C236" s="146">
        <f>IFERROR(INDEX('Sales Roster &amp; Quotas'!$C$6:$C$20,MATCH($B236,'Sales Roster &amp; Quotas'!$B$6:$B$20,0)),"")</f>
        <v/>
      </c>
      <c r="D236" s="146">
        <f>IFERROR(INDEX('Sales Roster &amp; Quotas'!$D$6:$D$20,MATCH($B236,'Sales Roster &amp; Quotas'!$B$6:$B$20,0)),"")</f>
        <v/>
      </c>
      <c r="E236" s="134" t="n">
        <v>46176</v>
      </c>
      <c r="F236" s="147">
        <f>TEXT(E236,"yyyy-mm")</f>
        <v/>
      </c>
      <c r="G236" s="147">
        <f>IF(MONTH(E236)&lt;=3,"Q1","Q2")</f>
        <v/>
      </c>
      <c r="H236" s="133" t="inlineStr">
        <is>
          <t>New Business</t>
        </is>
      </c>
      <c r="I236" s="133" t="inlineStr">
        <is>
          <t>Coastal Underwriters</t>
        </is>
      </c>
      <c r="J236" s="133" t="inlineStr">
        <is>
          <t>Policy Admin Core</t>
        </is>
      </c>
      <c r="K236" s="135" t="n">
        <v>50500</v>
      </c>
      <c r="L236" s="148">
        <f>IFERROR(INDEX('Sales Roster &amp; Quotas'!$G$6:$G$20,MATCH($B236,'Sales Roster &amp; Quotas'!$B$6:$B$20,0)),0)</f>
        <v/>
      </c>
      <c r="M236" s="149">
        <f>SUMIFS($K$5:$K$274,$B$5:$B$274,$B236,$G$5:$G$274,$G236,$H$5:$H$274,"New Business")</f>
        <v/>
      </c>
      <c r="N236" s="150">
        <f>IFERROR(M236/L236,0)</f>
        <v/>
      </c>
      <c r="O236" s="149">
        <f>MIN(M236,L236)</f>
        <v/>
      </c>
      <c r="P236" s="149">
        <f>MAX(MIN(M236,L236*1.25)-L236,0)</f>
        <v/>
      </c>
      <c r="Q236" s="149">
        <f>MAX(M236-L236*1.25,0)</f>
        <v/>
      </c>
      <c r="R236" s="148">
        <f>O236*'Commission Plan Rules'!$F$6+P236*'Commission Plan Rules'!$F$7+Q236*'Commission Plan Rules'!$F$8</f>
        <v/>
      </c>
      <c r="S236" s="151">
        <f>IF(H236="New Business",IFERROR((K236/M236)*R236,0),IF(H236="Upsell",K236*'Commission Plan Rules'!$F$9,IF(H236="Renewal",K236*'Commission Plan Rules'!$F$10,0)))</f>
        <v/>
      </c>
      <c r="T236" s="141">
        <f>COUNTIFS($F$5:$F$274,F236,$K$5:$K$274,"&gt;"&amp;K236)+1</f>
        <v/>
      </c>
      <c r="U236" s="141">
        <f>F236&amp;"|"&amp;T236</f>
        <v/>
      </c>
    </row>
    <row r="237" ht="15" customHeight="1" s="107">
      <c r="A237" s="130" t="inlineStr">
        <is>
          <t>D00156</t>
        </is>
      </c>
      <c r="B237" s="130" t="inlineStr">
        <is>
          <t>R008</t>
        </is>
      </c>
      <c r="C237" s="140">
        <f>IFERROR(INDEX('Sales Roster &amp; Quotas'!$C$6:$C$20,MATCH($B237,'Sales Roster &amp; Quotas'!$B$6:$B$20,0)),"")</f>
        <v/>
      </c>
      <c r="D237" s="140">
        <f>IFERROR(INDEX('Sales Roster &amp; Quotas'!$D$6:$D$20,MATCH($B237,'Sales Roster &amp; Quotas'!$B$6:$B$20,0)),"")</f>
        <v/>
      </c>
      <c r="E237" s="131" t="n">
        <v>46176</v>
      </c>
      <c r="F237" s="141">
        <f>TEXT(E237,"yyyy-mm")</f>
        <v/>
      </c>
      <c r="G237" s="141">
        <f>IF(MONTH(E237)&lt;=3,"Q1","Q2")</f>
        <v/>
      </c>
      <c r="H237" s="130" t="inlineStr">
        <is>
          <t>Renewal</t>
        </is>
      </c>
      <c r="I237" s="130" t="inlineStr">
        <is>
          <t>Redwood Underwriters</t>
        </is>
      </c>
      <c r="J237" s="130" t="inlineStr">
        <is>
          <t>Claims Module</t>
        </is>
      </c>
      <c r="K237" s="132" t="n">
        <v>32000</v>
      </c>
      <c r="L237" s="142">
        <f>IFERROR(INDEX('Sales Roster &amp; Quotas'!$G$6:$G$20,MATCH($B237,'Sales Roster &amp; Quotas'!$B$6:$B$20,0)),0)</f>
        <v/>
      </c>
      <c r="M237" s="143">
        <f>SUMIFS($K$5:$K$274,$B$5:$B$274,$B237,$G$5:$G$274,$G237,$H$5:$H$274,"New Business")</f>
        <v/>
      </c>
      <c r="N237" s="144">
        <f>IFERROR(M237/L237,0)</f>
        <v/>
      </c>
      <c r="O237" s="143">
        <f>MIN(M237,L237)</f>
        <v/>
      </c>
      <c r="P237" s="143">
        <f>MAX(MIN(M237,L237*1.25)-L237,0)</f>
        <v/>
      </c>
      <c r="Q237" s="143">
        <f>MAX(M237-L237*1.25,0)</f>
        <v/>
      </c>
      <c r="R237" s="142">
        <f>O237*'Commission Plan Rules'!$F$6+P237*'Commission Plan Rules'!$F$7+Q237*'Commission Plan Rules'!$F$8</f>
        <v/>
      </c>
      <c r="S237" s="145">
        <f>IF(H237="New Business",IFERROR((K237/M237)*R237,0),IF(H237="Upsell",K237*'Commission Plan Rules'!$F$9,IF(H237="Renewal",K237*'Commission Plan Rules'!$F$10,0)))</f>
        <v/>
      </c>
      <c r="T237" s="141">
        <f>COUNTIFS($F$5:$F$274,F237,$K$5:$K$274,"&gt;"&amp;K237)+1</f>
        <v/>
      </c>
      <c r="U237" s="141">
        <f>F237&amp;"|"&amp;T237</f>
        <v/>
      </c>
    </row>
    <row r="238" ht="15" customHeight="1" s="107">
      <c r="A238" s="133" t="inlineStr">
        <is>
          <t>D00242</t>
        </is>
      </c>
      <c r="B238" s="133" t="inlineStr">
        <is>
          <t>R013</t>
        </is>
      </c>
      <c r="C238" s="146">
        <f>IFERROR(INDEX('Sales Roster &amp; Quotas'!$C$6:$C$20,MATCH($B238,'Sales Roster &amp; Quotas'!$B$6:$B$20,0)),"")</f>
        <v/>
      </c>
      <c r="D238" s="146">
        <f>IFERROR(INDEX('Sales Roster &amp; Quotas'!$D$6:$D$20,MATCH($B238,'Sales Roster &amp; Quotas'!$B$6:$B$20,0)),"")</f>
        <v/>
      </c>
      <c r="E238" s="134" t="n">
        <v>46177</v>
      </c>
      <c r="F238" s="147">
        <f>TEXT(E238,"yyyy-mm")</f>
        <v/>
      </c>
      <c r="G238" s="147">
        <f>IF(MONTH(E238)&lt;=3,"Q1","Q2")</f>
        <v/>
      </c>
      <c r="H238" s="133" t="inlineStr">
        <is>
          <t>Renewal</t>
        </is>
      </c>
      <c r="I238" s="133" t="inlineStr">
        <is>
          <t>Bridgeway Insurance Brokers</t>
        </is>
      </c>
      <c r="J238" s="133" t="inlineStr">
        <is>
          <t>Policy Admin Core</t>
        </is>
      </c>
      <c r="K238" s="135" t="n">
        <v>179000</v>
      </c>
      <c r="L238" s="148">
        <f>IFERROR(INDEX('Sales Roster &amp; Quotas'!$G$6:$G$20,MATCH($B238,'Sales Roster &amp; Quotas'!$B$6:$B$20,0)),0)</f>
        <v/>
      </c>
      <c r="M238" s="149">
        <f>SUMIFS($K$5:$K$274,$B$5:$B$274,$B238,$G$5:$G$274,$G238,$H$5:$H$274,"New Business")</f>
        <v/>
      </c>
      <c r="N238" s="150">
        <f>IFERROR(M238/L238,0)</f>
        <v/>
      </c>
      <c r="O238" s="149">
        <f>MIN(M238,L238)</f>
        <v/>
      </c>
      <c r="P238" s="149">
        <f>MAX(MIN(M238,L238*1.25)-L238,0)</f>
        <v/>
      </c>
      <c r="Q238" s="149">
        <f>MAX(M238-L238*1.25,0)</f>
        <v/>
      </c>
      <c r="R238" s="148">
        <f>O238*'Commission Plan Rules'!$F$6+P238*'Commission Plan Rules'!$F$7+Q238*'Commission Plan Rules'!$F$8</f>
        <v/>
      </c>
      <c r="S238" s="151">
        <f>IF(H238="New Business",IFERROR((K238/M238)*R238,0),IF(H238="Upsell",K238*'Commission Plan Rules'!$F$9,IF(H238="Renewal",K238*'Commission Plan Rules'!$F$10,0)))</f>
        <v/>
      </c>
      <c r="T238" s="141">
        <f>COUNTIFS($F$5:$F$274,F238,$K$5:$K$274,"&gt;"&amp;K238)+1</f>
        <v/>
      </c>
      <c r="U238" s="141">
        <f>F238&amp;"|"&amp;T238</f>
        <v/>
      </c>
    </row>
    <row r="239" ht="15" customHeight="1" s="107">
      <c r="A239" s="130" t="inlineStr">
        <is>
          <t>D00063</t>
        </is>
      </c>
      <c r="B239" s="130" t="inlineStr">
        <is>
          <t>R003</t>
        </is>
      </c>
      <c r="C239" s="140">
        <f>IFERROR(INDEX('Sales Roster &amp; Quotas'!$C$6:$C$20,MATCH($B239,'Sales Roster &amp; Quotas'!$B$6:$B$20,0)),"")</f>
        <v/>
      </c>
      <c r="D239" s="140">
        <f>IFERROR(INDEX('Sales Roster &amp; Quotas'!$D$6:$D$20,MATCH($B239,'Sales Roster &amp; Quotas'!$B$6:$B$20,0)),"")</f>
        <v/>
      </c>
      <c r="E239" s="131" t="n">
        <v>46177</v>
      </c>
      <c r="F239" s="141">
        <f>TEXT(E239,"yyyy-mm")</f>
        <v/>
      </c>
      <c r="G239" s="141">
        <f>IF(MONTH(E239)&lt;=3,"Q1","Q2")</f>
        <v/>
      </c>
      <c r="H239" s="130" t="inlineStr">
        <is>
          <t>Renewal</t>
        </is>
      </c>
      <c r="I239" s="130" t="inlineStr">
        <is>
          <t>Millbrook Risk Advisors</t>
        </is>
      </c>
      <c r="J239" s="130" t="inlineStr">
        <is>
          <t>Analytics Add-On</t>
        </is>
      </c>
      <c r="K239" s="132" t="n">
        <v>27000</v>
      </c>
      <c r="L239" s="142">
        <f>IFERROR(INDEX('Sales Roster &amp; Quotas'!$G$6:$G$20,MATCH($B239,'Sales Roster &amp; Quotas'!$B$6:$B$20,0)),0)</f>
        <v/>
      </c>
      <c r="M239" s="143">
        <f>SUMIFS($K$5:$K$274,$B$5:$B$274,$B239,$G$5:$G$274,$G239,$H$5:$H$274,"New Business")</f>
        <v/>
      </c>
      <c r="N239" s="144">
        <f>IFERROR(M239/L239,0)</f>
        <v/>
      </c>
      <c r="O239" s="143">
        <f>MIN(M239,L239)</f>
        <v/>
      </c>
      <c r="P239" s="143">
        <f>MAX(MIN(M239,L239*1.25)-L239,0)</f>
        <v/>
      </c>
      <c r="Q239" s="143">
        <f>MAX(M239-L239*1.25,0)</f>
        <v/>
      </c>
      <c r="R239" s="142">
        <f>O239*'Commission Plan Rules'!$F$6+P239*'Commission Plan Rules'!$F$7+Q239*'Commission Plan Rules'!$F$8</f>
        <v/>
      </c>
      <c r="S239" s="145">
        <f>IF(H239="New Business",IFERROR((K239/M239)*R239,0),IF(H239="Upsell",K239*'Commission Plan Rules'!$F$9,IF(H239="Renewal",K239*'Commission Plan Rules'!$F$10,0)))</f>
        <v/>
      </c>
      <c r="T239" s="141">
        <f>COUNTIFS($F$5:$F$274,F239,$K$5:$K$274,"&gt;"&amp;K239)+1</f>
        <v/>
      </c>
      <c r="U239" s="141">
        <f>F239&amp;"|"&amp;T239</f>
        <v/>
      </c>
    </row>
    <row r="240" ht="15" customHeight="1" s="107">
      <c r="A240" s="133" t="inlineStr">
        <is>
          <t>D00036</t>
        </is>
      </c>
      <c r="B240" s="133" t="inlineStr">
        <is>
          <t>R002</t>
        </is>
      </c>
      <c r="C240" s="146">
        <f>IFERROR(INDEX('Sales Roster &amp; Quotas'!$C$6:$C$20,MATCH($B240,'Sales Roster &amp; Quotas'!$B$6:$B$20,0)),"")</f>
        <v/>
      </c>
      <c r="D240" s="146">
        <f>IFERROR(INDEX('Sales Roster &amp; Quotas'!$D$6:$D$20,MATCH($B240,'Sales Roster &amp; Quotas'!$B$6:$B$20,0)),"")</f>
        <v/>
      </c>
      <c r="E240" s="134" t="n">
        <v>46177</v>
      </c>
      <c r="F240" s="147">
        <f>TEXT(E240,"yyyy-mm")</f>
        <v/>
      </c>
      <c r="G240" s="147">
        <f>IF(MONTH(E240)&lt;=3,"Q1","Q2")</f>
        <v/>
      </c>
      <c r="H240" s="133" t="inlineStr">
        <is>
          <t>New Business</t>
        </is>
      </c>
      <c r="I240" s="133" t="inlineStr">
        <is>
          <t>Millbrook Agency Partners</t>
        </is>
      </c>
      <c r="J240" s="133" t="inlineStr">
        <is>
          <t>Policy Admin Core</t>
        </is>
      </c>
      <c r="K240" s="135" t="n">
        <v>66000</v>
      </c>
      <c r="L240" s="148">
        <f>IFERROR(INDEX('Sales Roster &amp; Quotas'!$G$6:$G$20,MATCH($B240,'Sales Roster &amp; Quotas'!$B$6:$B$20,0)),0)</f>
        <v/>
      </c>
      <c r="M240" s="149">
        <f>SUMIFS($K$5:$K$274,$B$5:$B$274,$B240,$G$5:$G$274,$G240,$H$5:$H$274,"New Business")</f>
        <v/>
      </c>
      <c r="N240" s="150">
        <f>IFERROR(M240/L240,0)</f>
        <v/>
      </c>
      <c r="O240" s="149">
        <f>MIN(M240,L240)</f>
        <v/>
      </c>
      <c r="P240" s="149">
        <f>MAX(MIN(M240,L240*1.25)-L240,0)</f>
        <v/>
      </c>
      <c r="Q240" s="149">
        <f>MAX(M240-L240*1.25,0)</f>
        <v/>
      </c>
      <c r="R240" s="148">
        <f>O240*'Commission Plan Rules'!$F$6+P240*'Commission Plan Rules'!$F$7+Q240*'Commission Plan Rules'!$F$8</f>
        <v/>
      </c>
      <c r="S240" s="151">
        <f>IF(H240="New Business",IFERROR((K240/M240)*R240,0),IF(H240="Upsell",K240*'Commission Plan Rules'!$F$9,IF(H240="Renewal",K240*'Commission Plan Rules'!$F$10,0)))</f>
        <v/>
      </c>
      <c r="T240" s="141">
        <f>COUNTIFS($F$5:$F$274,F240,$K$5:$K$274,"&gt;"&amp;K240)+1</f>
        <v/>
      </c>
      <c r="U240" s="141">
        <f>F240&amp;"|"&amp;T240</f>
        <v/>
      </c>
    </row>
    <row r="241" ht="15" customHeight="1" s="107">
      <c r="A241" s="130" t="inlineStr">
        <is>
          <t>D00239</t>
        </is>
      </c>
      <c r="B241" s="130" t="inlineStr">
        <is>
          <t>R013</t>
        </is>
      </c>
      <c r="C241" s="140">
        <f>IFERROR(INDEX('Sales Roster &amp; Quotas'!$C$6:$C$20,MATCH($B241,'Sales Roster &amp; Quotas'!$B$6:$B$20,0)),"")</f>
        <v/>
      </c>
      <c r="D241" s="140">
        <f>IFERROR(INDEX('Sales Roster &amp; Quotas'!$D$6:$D$20,MATCH($B241,'Sales Roster &amp; Quotas'!$B$6:$B$20,0)),"")</f>
        <v/>
      </c>
      <c r="E241" s="131" t="n">
        <v>46177</v>
      </c>
      <c r="F241" s="141">
        <f>TEXT(E241,"yyyy-mm")</f>
        <v/>
      </c>
      <c r="G241" s="141">
        <f>IF(MONTH(E241)&lt;=3,"Q1","Q2")</f>
        <v/>
      </c>
      <c r="H241" s="130" t="inlineStr">
        <is>
          <t>New Business</t>
        </is>
      </c>
      <c r="I241" s="130" t="inlineStr">
        <is>
          <t>Ironwood Agency Partners</t>
        </is>
      </c>
      <c r="J241" s="130" t="inlineStr">
        <is>
          <t>Policy Admin Core</t>
        </is>
      </c>
      <c r="K241" s="132" t="n">
        <v>322000</v>
      </c>
      <c r="L241" s="142">
        <f>IFERROR(INDEX('Sales Roster &amp; Quotas'!$G$6:$G$20,MATCH($B241,'Sales Roster &amp; Quotas'!$B$6:$B$20,0)),0)</f>
        <v/>
      </c>
      <c r="M241" s="143">
        <f>SUMIFS($K$5:$K$274,$B$5:$B$274,$B241,$G$5:$G$274,$G241,$H$5:$H$274,"New Business")</f>
        <v/>
      </c>
      <c r="N241" s="144">
        <f>IFERROR(M241/L241,0)</f>
        <v/>
      </c>
      <c r="O241" s="143">
        <f>MIN(M241,L241)</f>
        <v/>
      </c>
      <c r="P241" s="143">
        <f>MAX(MIN(M241,L241*1.25)-L241,0)</f>
        <v/>
      </c>
      <c r="Q241" s="143">
        <f>MAX(M241-L241*1.25,0)</f>
        <v/>
      </c>
      <c r="R241" s="142">
        <f>O241*'Commission Plan Rules'!$F$6+P241*'Commission Plan Rules'!$F$7+Q241*'Commission Plan Rules'!$F$8</f>
        <v/>
      </c>
      <c r="S241" s="145">
        <f>IF(H241="New Business",IFERROR((K241/M241)*R241,0),IF(H241="Upsell",K241*'Commission Plan Rules'!$F$9,IF(H241="Renewal",K241*'Commission Plan Rules'!$F$10,0)))</f>
        <v/>
      </c>
      <c r="T241" s="141">
        <f>COUNTIFS($F$5:$F$274,F241,$K$5:$K$274,"&gt;"&amp;K241)+1</f>
        <v/>
      </c>
      <c r="U241" s="141">
        <f>F241&amp;"|"&amp;T241</f>
        <v/>
      </c>
    </row>
    <row r="242" ht="15" customHeight="1" s="107">
      <c r="A242" s="133" t="inlineStr">
        <is>
          <t>D00096</t>
        </is>
      </c>
      <c r="B242" s="133" t="inlineStr">
        <is>
          <t>R005</t>
        </is>
      </c>
      <c r="C242" s="146">
        <f>IFERROR(INDEX('Sales Roster &amp; Quotas'!$C$6:$C$20,MATCH($B242,'Sales Roster &amp; Quotas'!$B$6:$B$20,0)),"")</f>
        <v/>
      </c>
      <c r="D242" s="146">
        <f>IFERROR(INDEX('Sales Roster &amp; Quotas'!$D$6:$D$20,MATCH($B242,'Sales Roster &amp; Quotas'!$B$6:$B$20,0)),"")</f>
        <v/>
      </c>
      <c r="E242" s="134" t="n">
        <v>46178</v>
      </c>
      <c r="F242" s="147">
        <f>TEXT(E242,"yyyy-mm")</f>
        <v/>
      </c>
      <c r="G242" s="147">
        <f>IF(MONTH(E242)&lt;=3,"Q1","Q2")</f>
        <v/>
      </c>
      <c r="H242" s="133" t="inlineStr">
        <is>
          <t>New Business</t>
        </is>
      </c>
      <c r="I242" s="133" t="inlineStr">
        <is>
          <t>Cedarline Underwriters</t>
        </is>
      </c>
      <c r="J242" s="133" t="inlineStr">
        <is>
          <t>Client Portal</t>
        </is>
      </c>
      <c r="K242" s="135" t="n">
        <v>67000</v>
      </c>
      <c r="L242" s="148">
        <f>IFERROR(INDEX('Sales Roster &amp; Quotas'!$G$6:$G$20,MATCH($B242,'Sales Roster &amp; Quotas'!$B$6:$B$20,0)),0)</f>
        <v/>
      </c>
      <c r="M242" s="149">
        <f>SUMIFS($K$5:$K$274,$B$5:$B$274,$B242,$G$5:$G$274,$G242,$H$5:$H$274,"New Business")</f>
        <v/>
      </c>
      <c r="N242" s="150">
        <f>IFERROR(M242/L242,0)</f>
        <v/>
      </c>
      <c r="O242" s="149">
        <f>MIN(M242,L242)</f>
        <v/>
      </c>
      <c r="P242" s="149">
        <f>MAX(MIN(M242,L242*1.25)-L242,0)</f>
        <v/>
      </c>
      <c r="Q242" s="149">
        <f>MAX(M242-L242*1.25,0)</f>
        <v/>
      </c>
      <c r="R242" s="148">
        <f>O242*'Commission Plan Rules'!$F$6+P242*'Commission Plan Rules'!$F$7+Q242*'Commission Plan Rules'!$F$8</f>
        <v/>
      </c>
      <c r="S242" s="151">
        <f>IF(H242="New Business",IFERROR((K242/M242)*R242,0),IF(H242="Upsell",K242*'Commission Plan Rules'!$F$9,IF(H242="Renewal",K242*'Commission Plan Rules'!$F$10,0)))</f>
        <v/>
      </c>
      <c r="T242" s="141">
        <f>COUNTIFS($F$5:$F$274,F242,$K$5:$K$274,"&gt;"&amp;K242)+1</f>
        <v/>
      </c>
      <c r="U242" s="141">
        <f>F242&amp;"|"&amp;T242</f>
        <v/>
      </c>
    </row>
    <row r="243" ht="15" customHeight="1" s="107">
      <c r="A243" s="130" t="inlineStr">
        <is>
          <t>D00268</t>
        </is>
      </c>
      <c r="B243" s="130" t="inlineStr">
        <is>
          <t>R015</t>
        </is>
      </c>
      <c r="C243" s="140">
        <f>IFERROR(INDEX('Sales Roster &amp; Quotas'!$C$6:$C$20,MATCH($B243,'Sales Roster &amp; Quotas'!$B$6:$B$20,0)),"")</f>
        <v/>
      </c>
      <c r="D243" s="140">
        <f>IFERROR(INDEX('Sales Roster &amp; Quotas'!$D$6:$D$20,MATCH($B243,'Sales Roster &amp; Quotas'!$B$6:$B$20,0)),"")</f>
        <v/>
      </c>
      <c r="E243" s="131" t="n">
        <v>46178</v>
      </c>
      <c r="F243" s="141">
        <f>TEXT(E243,"yyyy-mm")</f>
        <v/>
      </c>
      <c r="G243" s="141">
        <f>IF(MONTH(E243)&lt;=3,"Q1","Q2")</f>
        <v/>
      </c>
      <c r="H243" s="130" t="inlineStr">
        <is>
          <t>Renewal</t>
        </is>
      </c>
      <c r="I243" s="130" t="inlineStr">
        <is>
          <t>Harborview Coverage Partners</t>
        </is>
      </c>
      <c r="J243" s="130" t="inlineStr">
        <is>
          <t>Policy Admin Core</t>
        </is>
      </c>
      <c r="K243" s="132" t="n">
        <v>71500</v>
      </c>
      <c r="L243" s="142">
        <f>IFERROR(INDEX('Sales Roster &amp; Quotas'!$G$6:$G$20,MATCH($B243,'Sales Roster &amp; Quotas'!$B$6:$B$20,0)),0)</f>
        <v/>
      </c>
      <c r="M243" s="143">
        <f>SUMIFS($K$5:$K$274,$B$5:$B$274,$B243,$G$5:$G$274,$G243,$H$5:$H$274,"New Business")</f>
        <v/>
      </c>
      <c r="N243" s="144">
        <f>IFERROR(M243/L243,0)</f>
        <v/>
      </c>
      <c r="O243" s="143">
        <f>MIN(M243,L243)</f>
        <v/>
      </c>
      <c r="P243" s="143">
        <f>MAX(MIN(M243,L243*1.25)-L243,0)</f>
        <v/>
      </c>
      <c r="Q243" s="143">
        <f>MAX(M243-L243*1.25,0)</f>
        <v/>
      </c>
      <c r="R243" s="142">
        <f>O243*'Commission Plan Rules'!$F$6+P243*'Commission Plan Rules'!$F$7+Q243*'Commission Plan Rules'!$F$8</f>
        <v/>
      </c>
      <c r="S243" s="145">
        <f>IF(H243="New Business",IFERROR((K243/M243)*R243,0),IF(H243="Upsell",K243*'Commission Plan Rules'!$F$9,IF(H243="Renewal",K243*'Commission Plan Rules'!$F$10,0)))</f>
        <v/>
      </c>
      <c r="T243" s="141">
        <f>COUNTIFS($F$5:$F$274,F243,$K$5:$K$274,"&gt;"&amp;K243)+1</f>
        <v/>
      </c>
      <c r="U243" s="141">
        <f>F243&amp;"|"&amp;T243</f>
        <v/>
      </c>
    </row>
    <row r="244" ht="15" customHeight="1" s="107">
      <c r="A244" s="133" t="inlineStr">
        <is>
          <t>D00014</t>
        </is>
      </c>
      <c r="B244" s="133" t="inlineStr">
        <is>
          <t>R001</t>
        </is>
      </c>
      <c r="C244" s="146">
        <f>IFERROR(INDEX('Sales Roster &amp; Quotas'!$C$6:$C$20,MATCH($B244,'Sales Roster &amp; Quotas'!$B$6:$B$20,0)),"")</f>
        <v/>
      </c>
      <c r="D244" s="146">
        <f>IFERROR(INDEX('Sales Roster &amp; Quotas'!$D$6:$D$20,MATCH($B244,'Sales Roster &amp; Quotas'!$B$6:$B$20,0)),"")</f>
        <v/>
      </c>
      <c r="E244" s="134" t="n">
        <v>46179</v>
      </c>
      <c r="F244" s="147">
        <f>TEXT(E244,"yyyy-mm")</f>
        <v/>
      </c>
      <c r="G244" s="147">
        <f>IF(MONTH(E244)&lt;=3,"Q1","Q2")</f>
        <v/>
      </c>
      <c r="H244" s="133" t="inlineStr">
        <is>
          <t>New Business</t>
        </is>
      </c>
      <c r="I244" s="133" t="inlineStr">
        <is>
          <t>Pinnacle Insurance Solutions</t>
        </is>
      </c>
      <c r="J244" s="133" t="inlineStr">
        <is>
          <t>Claims Module</t>
        </is>
      </c>
      <c r="K244" s="135" t="n">
        <v>20500</v>
      </c>
      <c r="L244" s="148">
        <f>IFERROR(INDEX('Sales Roster &amp; Quotas'!$G$6:$G$20,MATCH($B244,'Sales Roster &amp; Quotas'!$B$6:$B$20,0)),0)</f>
        <v/>
      </c>
      <c r="M244" s="149">
        <f>SUMIFS($K$5:$K$274,$B$5:$B$274,$B244,$G$5:$G$274,$G244,$H$5:$H$274,"New Business")</f>
        <v/>
      </c>
      <c r="N244" s="150">
        <f>IFERROR(M244/L244,0)</f>
        <v/>
      </c>
      <c r="O244" s="149">
        <f>MIN(M244,L244)</f>
        <v/>
      </c>
      <c r="P244" s="149">
        <f>MAX(MIN(M244,L244*1.25)-L244,0)</f>
        <v/>
      </c>
      <c r="Q244" s="149">
        <f>MAX(M244-L244*1.25,0)</f>
        <v/>
      </c>
      <c r="R244" s="148">
        <f>O244*'Commission Plan Rules'!$F$6+P244*'Commission Plan Rules'!$F$7+Q244*'Commission Plan Rules'!$F$8</f>
        <v/>
      </c>
      <c r="S244" s="151">
        <f>IF(H244="New Business",IFERROR((K244/M244)*R244,0),IF(H244="Upsell",K244*'Commission Plan Rules'!$F$9,IF(H244="Renewal",K244*'Commission Plan Rules'!$F$10,0)))</f>
        <v/>
      </c>
      <c r="T244" s="141">
        <f>COUNTIFS($F$5:$F$274,F244,$K$5:$K$274,"&gt;"&amp;K244)+1</f>
        <v/>
      </c>
      <c r="U244" s="141">
        <f>F244&amp;"|"&amp;T244</f>
        <v/>
      </c>
    </row>
    <row r="245" ht="15" customHeight="1" s="107">
      <c r="A245" s="130" t="inlineStr">
        <is>
          <t>D00098</t>
        </is>
      </c>
      <c r="B245" s="130" t="inlineStr">
        <is>
          <t>R005</t>
        </is>
      </c>
      <c r="C245" s="140">
        <f>IFERROR(INDEX('Sales Roster &amp; Quotas'!$C$6:$C$20,MATCH($B245,'Sales Roster &amp; Quotas'!$B$6:$B$20,0)),"")</f>
        <v/>
      </c>
      <c r="D245" s="140">
        <f>IFERROR(INDEX('Sales Roster &amp; Quotas'!$D$6:$D$20,MATCH($B245,'Sales Roster &amp; Quotas'!$B$6:$B$20,0)),"")</f>
        <v/>
      </c>
      <c r="E245" s="131" t="n">
        <v>46179</v>
      </c>
      <c r="F245" s="141">
        <f>TEXT(E245,"yyyy-mm")</f>
        <v/>
      </c>
      <c r="G245" s="141">
        <f>IF(MONTH(E245)&lt;=3,"Q1","Q2")</f>
        <v/>
      </c>
      <c r="H245" s="130" t="inlineStr">
        <is>
          <t>Renewal</t>
        </is>
      </c>
      <c r="I245" s="130" t="inlineStr">
        <is>
          <t>Hillcrest Insurance Solutions</t>
        </is>
      </c>
      <c r="J245" s="130" t="inlineStr">
        <is>
          <t>Claims Module</t>
        </is>
      </c>
      <c r="K245" s="132" t="n">
        <v>28500</v>
      </c>
      <c r="L245" s="142">
        <f>IFERROR(INDEX('Sales Roster &amp; Quotas'!$G$6:$G$20,MATCH($B245,'Sales Roster &amp; Quotas'!$B$6:$B$20,0)),0)</f>
        <v/>
      </c>
      <c r="M245" s="143">
        <f>SUMIFS($K$5:$K$274,$B$5:$B$274,$B245,$G$5:$G$274,$G245,$H$5:$H$274,"New Business")</f>
        <v/>
      </c>
      <c r="N245" s="144">
        <f>IFERROR(M245/L245,0)</f>
        <v/>
      </c>
      <c r="O245" s="143">
        <f>MIN(M245,L245)</f>
        <v/>
      </c>
      <c r="P245" s="143">
        <f>MAX(MIN(M245,L245*1.25)-L245,0)</f>
        <v/>
      </c>
      <c r="Q245" s="143">
        <f>MAX(M245-L245*1.25,0)</f>
        <v/>
      </c>
      <c r="R245" s="142">
        <f>O245*'Commission Plan Rules'!$F$6+P245*'Commission Plan Rules'!$F$7+Q245*'Commission Plan Rules'!$F$8</f>
        <v/>
      </c>
      <c r="S245" s="145">
        <f>IF(H245="New Business",IFERROR((K245/M245)*R245,0),IF(H245="Upsell",K245*'Commission Plan Rules'!$F$9,IF(H245="Renewal",K245*'Commission Plan Rules'!$F$10,0)))</f>
        <v/>
      </c>
      <c r="T245" s="141">
        <f>COUNTIFS($F$5:$F$274,F245,$K$5:$K$274,"&gt;"&amp;K245)+1</f>
        <v/>
      </c>
      <c r="U245" s="141">
        <f>F245&amp;"|"&amp;T245</f>
        <v/>
      </c>
    </row>
    <row r="246" ht="15" customHeight="1" s="107">
      <c r="A246" s="133" t="inlineStr">
        <is>
          <t>D00172</t>
        </is>
      </c>
      <c r="B246" s="133" t="inlineStr">
        <is>
          <t>R009</t>
        </is>
      </c>
      <c r="C246" s="146">
        <f>IFERROR(INDEX('Sales Roster &amp; Quotas'!$C$6:$C$20,MATCH($B246,'Sales Roster &amp; Quotas'!$B$6:$B$20,0)),"")</f>
        <v/>
      </c>
      <c r="D246" s="146">
        <f>IFERROR(INDEX('Sales Roster &amp; Quotas'!$D$6:$D$20,MATCH($B246,'Sales Roster &amp; Quotas'!$B$6:$B$20,0)),"")</f>
        <v/>
      </c>
      <c r="E246" s="134" t="n">
        <v>46180</v>
      </c>
      <c r="F246" s="147">
        <f>TEXT(E246,"yyyy-mm")</f>
        <v/>
      </c>
      <c r="G246" s="147">
        <f>IF(MONTH(E246)&lt;=3,"Q1","Q2")</f>
        <v/>
      </c>
      <c r="H246" s="133" t="inlineStr">
        <is>
          <t>New Business</t>
        </is>
      </c>
      <c r="I246" s="133" t="inlineStr">
        <is>
          <t>Northgate Insurance Brokers</t>
        </is>
      </c>
      <c r="J246" s="133" t="inlineStr">
        <is>
          <t>Policy Admin Core</t>
        </is>
      </c>
      <c r="K246" s="135" t="n">
        <v>238500</v>
      </c>
      <c r="L246" s="148">
        <f>IFERROR(INDEX('Sales Roster &amp; Quotas'!$G$6:$G$20,MATCH($B246,'Sales Roster &amp; Quotas'!$B$6:$B$20,0)),0)</f>
        <v/>
      </c>
      <c r="M246" s="149">
        <f>SUMIFS($K$5:$K$274,$B$5:$B$274,$B246,$G$5:$G$274,$G246,$H$5:$H$274,"New Business")</f>
        <v/>
      </c>
      <c r="N246" s="150">
        <f>IFERROR(M246/L246,0)</f>
        <v/>
      </c>
      <c r="O246" s="149">
        <f>MIN(M246,L246)</f>
        <v/>
      </c>
      <c r="P246" s="149">
        <f>MAX(MIN(M246,L246*1.25)-L246,0)</f>
        <v/>
      </c>
      <c r="Q246" s="149">
        <f>MAX(M246-L246*1.25,0)</f>
        <v/>
      </c>
      <c r="R246" s="148">
        <f>O246*'Commission Plan Rules'!$F$6+P246*'Commission Plan Rules'!$F$7+Q246*'Commission Plan Rules'!$F$8</f>
        <v/>
      </c>
      <c r="S246" s="151">
        <f>IF(H246="New Business",IFERROR((K246/M246)*R246,0),IF(H246="Upsell",K246*'Commission Plan Rules'!$F$9,IF(H246="Renewal",K246*'Commission Plan Rules'!$F$10,0)))</f>
        <v/>
      </c>
      <c r="T246" s="141">
        <f>COUNTIFS($F$5:$F$274,F246,$K$5:$K$274,"&gt;"&amp;K246)+1</f>
        <v/>
      </c>
      <c r="U246" s="141">
        <f>F246&amp;"|"&amp;T246</f>
        <v/>
      </c>
    </row>
    <row r="247" ht="15" customHeight="1" s="107">
      <c r="A247" s="130" t="inlineStr">
        <is>
          <t>D00271</t>
        </is>
      </c>
      <c r="B247" s="130" t="inlineStr">
        <is>
          <t>R015</t>
        </is>
      </c>
      <c r="C247" s="140">
        <f>IFERROR(INDEX('Sales Roster &amp; Quotas'!$C$6:$C$20,MATCH($B247,'Sales Roster &amp; Quotas'!$B$6:$B$20,0)),"")</f>
        <v/>
      </c>
      <c r="D247" s="140">
        <f>IFERROR(INDEX('Sales Roster &amp; Quotas'!$D$6:$D$20,MATCH($B247,'Sales Roster &amp; Quotas'!$B$6:$B$20,0)),"")</f>
        <v/>
      </c>
      <c r="E247" s="131" t="n">
        <v>46180</v>
      </c>
      <c r="F247" s="141">
        <f>TEXT(E247,"yyyy-mm")</f>
        <v/>
      </c>
      <c r="G247" s="141">
        <f>IF(MONTH(E247)&lt;=3,"Q1","Q2")</f>
        <v/>
      </c>
      <c r="H247" s="130" t="inlineStr">
        <is>
          <t>Renewal</t>
        </is>
      </c>
      <c r="I247" s="130" t="inlineStr">
        <is>
          <t>Beacon Insurance Solutions</t>
        </is>
      </c>
      <c r="J247" s="130" t="inlineStr">
        <is>
          <t>Policy Admin Core</t>
        </is>
      </c>
      <c r="K247" s="132" t="n">
        <v>112500</v>
      </c>
      <c r="L247" s="142">
        <f>IFERROR(INDEX('Sales Roster &amp; Quotas'!$G$6:$G$20,MATCH($B247,'Sales Roster &amp; Quotas'!$B$6:$B$20,0)),0)</f>
        <v/>
      </c>
      <c r="M247" s="143">
        <f>SUMIFS($K$5:$K$274,$B$5:$B$274,$B247,$G$5:$G$274,$G247,$H$5:$H$274,"New Business")</f>
        <v/>
      </c>
      <c r="N247" s="144">
        <f>IFERROR(M247/L247,0)</f>
        <v/>
      </c>
      <c r="O247" s="143">
        <f>MIN(M247,L247)</f>
        <v/>
      </c>
      <c r="P247" s="143">
        <f>MAX(MIN(M247,L247*1.25)-L247,0)</f>
        <v/>
      </c>
      <c r="Q247" s="143">
        <f>MAX(M247-L247*1.25,0)</f>
        <v/>
      </c>
      <c r="R247" s="142">
        <f>O247*'Commission Plan Rules'!$F$6+P247*'Commission Plan Rules'!$F$7+Q247*'Commission Plan Rules'!$F$8</f>
        <v/>
      </c>
      <c r="S247" s="145">
        <f>IF(H247="New Business",IFERROR((K247/M247)*R247,0),IF(H247="Upsell",K247*'Commission Plan Rules'!$F$9,IF(H247="Renewal",K247*'Commission Plan Rules'!$F$10,0)))</f>
        <v/>
      </c>
      <c r="T247" s="141">
        <f>COUNTIFS($F$5:$F$274,F247,$K$5:$K$274,"&gt;"&amp;K247)+1</f>
        <v/>
      </c>
      <c r="U247" s="141">
        <f>F247&amp;"|"&amp;T247</f>
        <v/>
      </c>
    </row>
    <row r="248" ht="15" customHeight="1" s="107">
      <c r="A248" s="133" t="inlineStr">
        <is>
          <t>D00190</t>
        </is>
      </c>
      <c r="B248" s="133" t="inlineStr">
        <is>
          <t>R010</t>
        </is>
      </c>
      <c r="C248" s="146">
        <f>IFERROR(INDEX('Sales Roster &amp; Quotas'!$C$6:$C$20,MATCH($B248,'Sales Roster &amp; Quotas'!$B$6:$B$20,0)),"")</f>
        <v/>
      </c>
      <c r="D248" s="146">
        <f>IFERROR(INDEX('Sales Roster &amp; Quotas'!$D$6:$D$20,MATCH($B248,'Sales Roster &amp; Quotas'!$B$6:$B$20,0)),"")</f>
        <v/>
      </c>
      <c r="E248" s="134" t="n">
        <v>46180</v>
      </c>
      <c r="F248" s="147">
        <f>TEXT(E248,"yyyy-mm")</f>
        <v/>
      </c>
      <c r="G248" s="147">
        <f>IF(MONTH(E248)&lt;=3,"Q1","Q2")</f>
        <v/>
      </c>
      <c r="H248" s="133" t="inlineStr">
        <is>
          <t>New Business</t>
        </is>
      </c>
      <c r="I248" s="133" t="inlineStr">
        <is>
          <t>Anchor Insurance Solutions</t>
        </is>
      </c>
      <c r="J248" s="133" t="inlineStr">
        <is>
          <t>Policy Admin Core</t>
        </is>
      </c>
      <c r="K248" s="135" t="n">
        <v>73500</v>
      </c>
      <c r="L248" s="148">
        <f>IFERROR(INDEX('Sales Roster &amp; Quotas'!$G$6:$G$20,MATCH($B248,'Sales Roster &amp; Quotas'!$B$6:$B$20,0)),0)</f>
        <v/>
      </c>
      <c r="M248" s="149">
        <f>SUMIFS($K$5:$K$274,$B$5:$B$274,$B248,$G$5:$G$274,$G248,$H$5:$H$274,"New Business")</f>
        <v/>
      </c>
      <c r="N248" s="150">
        <f>IFERROR(M248/L248,0)</f>
        <v/>
      </c>
      <c r="O248" s="149">
        <f>MIN(M248,L248)</f>
        <v/>
      </c>
      <c r="P248" s="149">
        <f>MAX(MIN(M248,L248*1.25)-L248,0)</f>
        <v/>
      </c>
      <c r="Q248" s="149">
        <f>MAX(M248-L248*1.25,0)</f>
        <v/>
      </c>
      <c r="R248" s="148">
        <f>O248*'Commission Plan Rules'!$F$6+P248*'Commission Plan Rules'!$F$7+Q248*'Commission Plan Rules'!$F$8</f>
        <v/>
      </c>
      <c r="S248" s="151">
        <f>IF(H248="New Business",IFERROR((K248/M248)*R248,0),IF(H248="Upsell",K248*'Commission Plan Rules'!$F$9,IF(H248="Renewal",K248*'Commission Plan Rules'!$F$10,0)))</f>
        <v/>
      </c>
      <c r="T248" s="141">
        <f>COUNTIFS($F$5:$F$274,F248,$K$5:$K$274,"&gt;"&amp;K248)+1</f>
        <v/>
      </c>
      <c r="U248" s="141">
        <f>F248&amp;"|"&amp;T248</f>
        <v/>
      </c>
    </row>
    <row r="249" ht="15" customHeight="1" s="107">
      <c r="A249" s="130" t="inlineStr">
        <is>
          <t>D00207</t>
        </is>
      </c>
      <c r="B249" s="130" t="inlineStr">
        <is>
          <t>R011</t>
        </is>
      </c>
      <c r="C249" s="140">
        <f>IFERROR(INDEX('Sales Roster &amp; Quotas'!$C$6:$C$20,MATCH($B249,'Sales Roster &amp; Quotas'!$B$6:$B$20,0)),"")</f>
        <v/>
      </c>
      <c r="D249" s="140">
        <f>IFERROR(INDEX('Sales Roster &amp; Quotas'!$D$6:$D$20,MATCH($B249,'Sales Roster &amp; Quotas'!$B$6:$B$20,0)),"")</f>
        <v/>
      </c>
      <c r="E249" s="131" t="n">
        <v>46181</v>
      </c>
      <c r="F249" s="141">
        <f>TEXT(E249,"yyyy-mm")</f>
        <v/>
      </c>
      <c r="G249" s="141">
        <f>IF(MONTH(E249)&lt;=3,"Q1","Q2")</f>
        <v/>
      </c>
      <c r="H249" s="130" t="inlineStr">
        <is>
          <t>New Business</t>
        </is>
      </c>
      <c r="I249" s="130" t="inlineStr">
        <is>
          <t>Ironwood Insurance Solutions</t>
        </is>
      </c>
      <c r="J249" s="130" t="inlineStr">
        <is>
          <t>Client Portal</t>
        </is>
      </c>
      <c r="K249" s="132" t="n">
        <v>72000</v>
      </c>
      <c r="L249" s="142">
        <f>IFERROR(INDEX('Sales Roster &amp; Quotas'!$G$6:$G$20,MATCH($B249,'Sales Roster &amp; Quotas'!$B$6:$B$20,0)),0)</f>
        <v/>
      </c>
      <c r="M249" s="143">
        <f>SUMIFS($K$5:$K$274,$B$5:$B$274,$B249,$G$5:$G$274,$G249,$H$5:$H$274,"New Business")</f>
        <v/>
      </c>
      <c r="N249" s="144">
        <f>IFERROR(M249/L249,0)</f>
        <v/>
      </c>
      <c r="O249" s="143">
        <f>MIN(M249,L249)</f>
        <v/>
      </c>
      <c r="P249" s="143">
        <f>MAX(MIN(M249,L249*1.25)-L249,0)</f>
        <v/>
      </c>
      <c r="Q249" s="143">
        <f>MAX(M249-L249*1.25,0)</f>
        <v/>
      </c>
      <c r="R249" s="142">
        <f>O249*'Commission Plan Rules'!$F$6+P249*'Commission Plan Rules'!$F$7+Q249*'Commission Plan Rules'!$F$8</f>
        <v/>
      </c>
      <c r="S249" s="145">
        <f>IF(H249="New Business",IFERROR((K249/M249)*R249,0),IF(H249="Upsell",K249*'Commission Plan Rules'!$F$9,IF(H249="Renewal",K249*'Commission Plan Rules'!$F$10,0)))</f>
        <v/>
      </c>
      <c r="T249" s="141">
        <f>COUNTIFS($F$5:$F$274,F249,$K$5:$K$274,"&gt;"&amp;K249)+1</f>
        <v/>
      </c>
      <c r="U249" s="141">
        <f>F249&amp;"|"&amp;T249</f>
        <v/>
      </c>
    </row>
    <row r="250" ht="15" customHeight="1" s="107">
      <c r="A250" s="133" t="inlineStr">
        <is>
          <t>D00022</t>
        </is>
      </c>
      <c r="B250" s="133" t="inlineStr">
        <is>
          <t>R001</t>
        </is>
      </c>
      <c r="C250" s="146">
        <f>IFERROR(INDEX('Sales Roster &amp; Quotas'!$C$6:$C$20,MATCH($B250,'Sales Roster &amp; Quotas'!$B$6:$B$20,0)),"")</f>
        <v/>
      </c>
      <c r="D250" s="146">
        <f>IFERROR(INDEX('Sales Roster &amp; Quotas'!$D$6:$D$20,MATCH($B250,'Sales Roster &amp; Quotas'!$B$6:$B$20,0)),"")</f>
        <v/>
      </c>
      <c r="E250" s="134" t="n">
        <v>46181</v>
      </c>
      <c r="F250" s="147">
        <f>TEXT(E250,"yyyy-mm")</f>
        <v/>
      </c>
      <c r="G250" s="147">
        <f>IF(MONTH(E250)&lt;=3,"Q1","Q2")</f>
        <v/>
      </c>
      <c r="H250" s="133" t="inlineStr">
        <is>
          <t>Renewal</t>
        </is>
      </c>
      <c r="I250" s="133" t="inlineStr">
        <is>
          <t>Granite Insurance Brokers</t>
        </is>
      </c>
      <c r="J250" s="133" t="inlineStr">
        <is>
          <t>Policy Admin Core</t>
        </is>
      </c>
      <c r="K250" s="135" t="n">
        <v>5000</v>
      </c>
      <c r="L250" s="148">
        <f>IFERROR(INDEX('Sales Roster &amp; Quotas'!$G$6:$G$20,MATCH($B250,'Sales Roster &amp; Quotas'!$B$6:$B$20,0)),0)</f>
        <v/>
      </c>
      <c r="M250" s="149">
        <f>SUMIFS($K$5:$K$274,$B$5:$B$274,$B250,$G$5:$G$274,$G250,$H$5:$H$274,"New Business")</f>
        <v/>
      </c>
      <c r="N250" s="150">
        <f>IFERROR(M250/L250,0)</f>
        <v/>
      </c>
      <c r="O250" s="149">
        <f>MIN(M250,L250)</f>
        <v/>
      </c>
      <c r="P250" s="149">
        <f>MAX(MIN(M250,L250*1.25)-L250,0)</f>
        <v/>
      </c>
      <c r="Q250" s="149">
        <f>MAX(M250-L250*1.25,0)</f>
        <v/>
      </c>
      <c r="R250" s="148">
        <f>O250*'Commission Plan Rules'!$F$6+P250*'Commission Plan Rules'!$F$7+Q250*'Commission Plan Rules'!$F$8</f>
        <v/>
      </c>
      <c r="S250" s="151">
        <f>IF(H250="New Business",IFERROR((K250/M250)*R250,0),IF(H250="Upsell",K250*'Commission Plan Rules'!$F$9,IF(H250="Renewal",K250*'Commission Plan Rules'!$F$10,0)))</f>
        <v/>
      </c>
      <c r="T250" s="141">
        <f>COUNTIFS($F$5:$F$274,F250,$K$5:$K$274,"&gt;"&amp;K250)+1</f>
        <v/>
      </c>
      <c r="U250" s="141">
        <f>F250&amp;"|"&amp;T250</f>
        <v/>
      </c>
    </row>
    <row r="251" ht="15" customHeight="1" s="107">
      <c r="A251" s="130" t="inlineStr">
        <is>
          <t>D00123</t>
        </is>
      </c>
      <c r="B251" s="130" t="inlineStr">
        <is>
          <t>R006</t>
        </is>
      </c>
      <c r="C251" s="140">
        <f>IFERROR(INDEX('Sales Roster &amp; Quotas'!$C$6:$C$20,MATCH($B251,'Sales Roster &amp; Quotas'!$B$6:$B$20,0)),"")</f>
        <v/>
      </c>
      <c r="D251" s="140">
        <f>IFERROR(INDEX('Sales Roster &amp; Quotas'!$D$6:$D$20,MATCH($B251,'Sales Roster &amp; Quotas'!$B$6:$B$20,0)),"")</f>
        <v/>
      </c>
      <c r="E251" s="131" t="n">
        <v>46183</v>
      </c>
      <c r="F251" s="141">
        <f>TEXT(E251,"yyyy-mm")</f>
        <v/>
      </c>
      <c r="G251" s="141">
        <f>IF(MONTH(E251)&lt;=3,"Q1","Q2")</f>
        <v/>
      </c>
      <c r="H251" s="130" t="inlineStr">
        <is>
          <t>Renewal</t>
        </is>
      </c>
      <c r="I251" s="130" t="inlineStr">
        <is>
          <t>Bridgeway Risk Advisors</t>
        </is>
      </c>
      <c r="J251" s="130" t="inlineStr">
        <is>
          <t>Policy Admin Core</t>
        </is>
      </c>
      <c r="K251" s="132" t="n">
        <v>1500</v>
      </c>
      <c r="L251" s="142">
        <f>IFERROR(INDEX('Sales Roster &amp; Quotas'!$G$6:$G$20,MATCH($B251,'Sales Roster &amp; Quotas'!$B$6:$B$20,0)),0)</f>
        <v/>
      </c>
      <c r="M251" s="143">
        <f>SUMIFS($K$5:$K$274,$B$5:$B$274,$B251,$G$5:$G$274,$G251,$H$5:$H$274,"New Business")</f>
        <v/>
      </c>
      <c r="N251" s="144">
        <f>IFERROR(M251/L251,0)</f>
        <v/>
      </c>
      <c r="O251" s="143">
        <f>MIN(M251,L251)</f>
        <v/>
      </c>
      <c r="P251" s="143">
        <f>MAX(MIN(M251,L251*1.25)-L251,0)</f>
        <v/>
      </c>
      <c r="Q251" s="143">
        <f>MAX(M251-L251*1.25,0)</f>
        <v/>
      </c>
      <c r="R251" s="142">
        <f>O251*'Commission Plan Rules'!$F$6+P251*'Commission Plan Rules'!$F$7+Q251*'Commission Plan Rules'!$F$8</f>
        <v/>
      </c>
      <c r="S251" s="145">
        <f>IF(H251="New Business",IFERROR((K251/M251)*R251,0),IF(H251="Upsell",K251*'Commission Plan Rules'!$F$9,IF(H251="Renewal",K251*'Commission Plan Rules'!$F$10,0)))</f>
        <v/>
      </c>
      <c r="T251" s="141">
        <f>COUNTIFS($F$5:$F$274,F251,$K$5:$K$274,"&gt;"&amp;K251)+1</f>
        <v/>
      </c>
      <c r="U251" s="141">
        <f>F251&amp;"|"&amp;T251</f>
        <v/>
      </c>
    </row>
    <row r="252" ht="15" customHeight="1" s="107">
      <c r="A252" s="133" t="inlineStr">
        <is>
          <t>D00054</t>
        </is>
      </c>
      <c r="B252" s="133" t="inlineStr">
        <is>
          <t>R003</t>
        </is>
      </c>
      <c r="C252" s="146">
        <f>IFERROR(INDEX('Sales Roster &amp; Quotas'!$C$6:$C$20,MATCH($B252,'Sales Roster &amp; Quotas'!$B$6:$B$20,0)),"")</f>
        <v/>
      </c>
      <c r="D252" s="146">
        <f>IFERROR(INDEX('Sales Roster &amp; Quotas'!$D$6:$D$20,MATCH($B252,'Sales Roster &amp; Quotas'!$B$6:$B$20,0)),"")</f>
        <v/>
      </c>
      <c r="E252" s="134" t="n">
        <v>46183</v>
      </c>
      <c r="F252" s="147">
        <f>TEXT(E252,"yyyy-mm")</f>
        <v/>
      </c>
      <c r="G252" s="147">
        <f>IF(MONTH(E252)&lt;=3,"Q1","Q2")</f>
        <v/>
      </c>
      <c r="H252" s="133" t="inlineStr">
        <is>
          <t>New Business</t>
        </is>
      </c>
      <c r="I252" s="133" t="inlineStr">
        <is>
          <t>Bridgeway Insurance Brokers</t>
        </is>
      </c>
      <c r="J252" s="133" t="inlineStr">
        <is>
          <t>Analytics Add-On</t>
        </is>
      </c>
      <c r="K252" s="135" t="n">
        <v>45500</v>
      </c>
      <c r="L252" s="148">
        <f>IFERROR(INDEX('Sales Roster &amp; Quotas'!$G$6:$G$20,MATCH($B252,'Sales Roster &amp; Quotas'!$B$6:$B$20,0)),0)</f>
        <v/>
      </c>
      <c r="M252" s="149">
        <f>SUMIFS($K$5:$K$274,$B$5:$B$274,$B252,$G$5:$G$274,$G252,$H$5:$H$274,"New Business")</f>
        <v/>
      </c>
      <c r="N252" s="150">
        <f>IFERROR(M252/L252,0)</f>
        <v/>
      </c>
      <c r="O252" s="149">
        <f>MIN(M252,L252)</f>
        <v/>
      </c>
      <c r="P252" s="149">
        <f>MAX(MIN(M252,L252*1.25)-L252,0)</f>
        <v/>
      </c>
      <c r="Q252" s="149">
        <f>MAX(M252-L252*1.25,0)</f>
        <v/>
      </c>
      <c r="R252" s="148">
        <f>O252*'Commission Plan Rules'!$F$6+P252*'Commission Plan Rules'!$F$7+Q252*'Commission Plan Rules'!$F$8</f>
        <v/>
      </c>
      <c r="S252" s="151">
        <f>IF(H252="New Business",IFERROR((K252/M252)*R252,0),IF(H252="Upsell",K252*'Commission Plan Rules'!$F$9,IF(H252="Renewal",K252*'Commission Plan Rules'!$F$10,0)))</f>
        <v/>
      </c>
      <c r="T252" s="141">
        <f>COUNTIFS($F$5:$F$274,F252,$K$5:$K$274,"&gt;"&amp;K252)+1</f>
        <v/>
      </c>
      <c r="U252" s="141">
        <f>F252&amp;"|"&amp;T252</f>
        <v/>
      </c>
    </row>
    <row r="253" ht="15" customHeight="1" s="107">
      <c r="A253" s="130" t="inlineStr">
        <is>
          <t>D00151</t>
        </is>
      </c>
      <c r="B253" s="130" t="inlineStr">
        <is>
          <t>R008</t>
        </is>
      </c>
      <c r="C253" s="140">
        <f>IFERROR(INDEX('Sales Roster &amp; Quotas'!$C$6:$C$20,MATCH($B253,'Sales Roster &amp; Quotas'!$B$6:$B$20,0)),"")</f>
        <v/>
      </c>
      <c r="D253" s="140">
        <f>IFERROR(INDEX('Sales Roster &amp; Quotas'!$D$6:$D$20,MATCH($B253,'Sales Roster &amp; Quotas'!$B$6:$B$20,0)),"")</f>
        <v/>
      </c>
      <c r="E253" s="131" t="n">
        <v>46184</v>
      </c>
      <c r="F253" s="141">
        <f>TEXT(E253,"yyyy-mm")</f>
        <v/>
      </c>
      <c r="G253" s="141">
        <f>IF(MONTH(E253)&lt;=3,"Q1","Q2")</f>
        <v/>
      </c>
      <c r="H253" s="130" t="inlineStr">
        <is>
          <t>New Business</t>
        </is>
      </c>
      <c r="I253" s="130" t="inlineStr">
        <is>
          <t>Fieldstone Insurance Group</t>
        </is>
      </c>
      <c r="J253" s="130" t="inlineStr">
        <is>
          <t>Policy Admin Core</t>
        </is>
      </c>
      <c r="K253" s="132" t="n">
        <v>32500</v>
      </c>
      <c r="L253" s="142">
        <f>IFERROR(INDEX('Sales Roster &amp; Quotas'!$G$6:$G$20,MATCH($B253,'Sales Roster &amp; Quotas'!$B$6:$B$20,0)),0)</f>
        <v/>
      </c>
      <c r="M253" s="143">
        <f>SUMIFS($K$5:$K$274,$B$5:$B$274,$B253,$G$5:$G$274,$G253,$H$5:$H$274,"New Business")</f>
        <v/>
      </c>
      <c r="N253" s="144">
        <f>IFERROR(M253/L253,0)</f>
        <v/>
      </c>
      <c r="O253" s="143">
        <f>MIN(M253,L253)</f>
        <v/>
      </c>
      <c r="P253" s="143">
        <f>MAX(MIN(M253,L253*1.25)-L253,0)</f>
        <v/>
      </c>
      <c r="Q253" s="143">
        <f>MAX(M253-L253*1.25,0)</f>
        <v/>
      </c>
      <c r="R253" s="142">
        <f>O253*'Commission Plan Rules'!$F$6+P253*'Commission Plan Rules'!$F$7+Q253*'Commission Plan Rules'!$F$8</f>
        <v/>
      </c>
      <c r="S253" s="145">
        <f>IF(H253="New Business",IFERROR((K253/M253)*R253,0),IF(H253="Upsell",K253*'Commission Plan Rules'!$F$9,IF(H253="Renewal",K253*'Commission Plan Rules'!$F$10,0)))</f>
        <v/>
      </c>
      <c r="T253" s="141">
        <f>COUNTIFS($F$5:$F$274,F253,$K$5:$K$274,"&gt;"&amp;K253)+1</f>
        <v/>
      </c>
      <c r="U253" s="141">
        <f>F253&amp;"|"&amp;T253</f>
        <v/>
      </c>
    </row>
    <row r="254" ht="15" customHeight="1" s="107">
      <c r="A254" s="133" t="inlineStr">
        <is>
          <t>D00231</t>
        </is>
      </c>
      <c r="B254" s="133" t="inlineStr">
        <is>
          <t>R012</t>
        </is>
      </c>
      <c r="C254" s="146">
        <f>IFERROR(INDEX('Sales Roster &amp; Quotas'!$C$6:$C$20,MATCH($B254,'Sales Roster &amp; Quotas'!$B$6:$B$20,0)),"")</f>
        <v/>
      </c>
      <c r="D254" s="146">
        <f>IFERROR(INDEX('Sales Roster &amp; Quotas'!$D$6:$D$20,MATCH($B254,'Sales Roster &amp; Quotas'!$B$6:$B$20,0)),"")</f>
        <v/>
      </c>
      <c r="E254" s="134" t="n">
        <v>46185</v>
      </c>
      <c r="F254" s="147">
        <f>TEXT(E254,"yyyy-mm")</f>
        <v/>
      </c>
      <c r="G254" s="147">
        <f>IF(MONTH(E254)&lt;=3,"Q1","Q2")</f>
        <v/>
      </c>
      <c r="H254" s="133" t="inlineStr">
        <is>
          <t>Renewal</t>
        </is>
      </c>
      <c r="I254" s="133" t="inlineStr">
        <is>
          <t>Overlook Insurance Solutions</t>
        </is>
      </c>
      <c r="J254" s="133" t="inlineStr">
        <is>
          <t>Analytics Add-On</t>
        </is>
      </c>
      <c r="K254" s="135" t="n">
        <v>50000</v>
      </c>
      <c r="L254" s="148">
        <f>IFERROR(INDEX('Sales Roster &amp; Quotas'!$G$6:$G$20,MATCH($B254,'Sales Roster &amp; Quotas'!$B$6:$B$20,0)),0)</f>
        <v/>
      </c>
      <c r="M254" s="149">
        <f>SUMIFS($K$5:$K$274,$B$5:$B$274,$B254,$G$5:$G$274,$G254,$H$5:$H$274,"New Business")</f>
        <v/>
      </c>
      <c r="N254" s="150">
        <f>IFERROR(M254/L254,0)</f>
        <v/>
      </c>
      <c r="O254" s="149">
        <f>MIN(M254,L254)</f>
        <v/>
      </c>
      <c r="P254" s="149">
        <f>MAX(MIN(M254,L254*1.25)-L254,0)</f>
        <v/>
      </c>
      <c r="Q254" s="149">
        <f>MAX(M254-L254*1.25,0)</f>
        <v/>
      </c>
      <c r="R254" s="148">
        <f>O254*'Commission Plan Rules'!$F$6+P254*'Commission Plan Rules'!$F$7+Q254*'Commission Plan Rules'!$F$8</f>
        <v/>
      </c>
      <c r="S254" s="151">
        <f>IF(H254="New Business",IFERROR((K254/M254)*R254,0),IF(H254="Upsell",K254*'Commission Plan Rules'!$F$9,IF(H254="Renewal",K254*'Commission Plan Rules'!$F$10,0)))</f>
        <v/>
      </c>
      <c r="T254" s="141">
        <f>COUNTIFS($F$5:$F$274,F254,$K$5:$K$274,"&gt;"&amp;K254)+1</f>
        <v/>
      </c>
      <c r="U254" s="141">
        <f>F254&amp;"|"&amp;T254</f>
        <v/>
      </c>
    </row>
    <row r="255" ht="15" customHeight="1" s="107">
      <c r="A255" s="130" t="inlineStr">
        <is>
          <t>D00100</t>
        </is>
      </c>
      <c r="B255" s="130" t="inlineStr">
        <is>
          <t>R005</t>
        </is>
      </c>
      <c r="C255" s="140">
        <f>IFERROR(INDEX('Sales Roster &amp; Quotas'!$C$6:$C$20,MATCH($B255,'Sales Roster &amp; Quotas'!$B$6:$B$20,0)),"")</f>
        <v/>
      </c>
      <c r="D255" s="140">
        <f>IFERROR(INDEX('Sales Roster &amp; Quotas'!$D$6:$D$20,MATCH($B255,'Sales Roster &amp; Quotas'!$B$6:$B$20,0)),"")</f>
        <v/>
      </c>
      <c r="E255" s="131" t="n">
        <v>46185</v>
      </c>
      <c r="F255" s="141">
        <f>TEXT(E255,"yyyy-mm")</f>
        <v/>
      </c>
      <c r="G255" s="141">
        <f>IF(MONTH(E255)&lt;=3,"Q1","Q2")</f>
        <v/>
      </c>
      <c r="H255" s="130" t="inlineStr">
        <is>
          <t>Renewal</t>
        </is>
      </c>
      <c r="I255" s="130" t="inlineStr">
        <is>
          <t>Brookhaven Coverage Partners</t>
        </is>
      </c>
      <c r="J255" s="130" t="inlineStr">
        <is>
          <t>Policy Admin Core</t>
        </is>
      </c>
      <c r="K255" s="132" t="n">
        <v>13000</v>
      </c>
      <c r="L255" s="142">
        <f>IFERROR(INDEX('Sales Roster &amp; Quotas'!$G$6:$G$20,MATCH($B255,'Sales Roster &amp; Quotas'!$B$6:$B$20,0)),0)</f>
        <v/>
      </c>
      <c r="M255" s="143">
        <f>SUMIFS($K$5:$K$274,$B$5:$B$274,$B255,$G$5:$G$274,$G255,$H$5:$H$274,"New Business")</f>
        <v/>
      </c>
      <c r="N255" s="144">
        <f>IFERROR(M255/L255,0)</f>
        <v/>
      </c>
      <c r="O255" s="143">
        <f>MIN(M255,L255)</f>
        <v/>
      </c>
      <c r="P255" s="143">
        <f>MAX(MIN(M255,L255*1.25)-L255,0)</f>
        <v/>
      </c>
      <c r="Q255" s="143">
        <f>MAX(M255-L255*1.25,0)</f>
        <v/>
      </c>
      <c r="R255" s="142">
        <f>O255*'Commission Plan Rules'!$F$6+P255*'Commission Plan Rules'!$F$7+Q255*'Commission Plan Rules'!$F$8</f>
        <v/>
      </c>
      <c r="S255" s="145">
        <f>IF(H255="New Business",IFERROR((K255/M255)*R255,0),IF(H255="Upsell",K255*'Commission Plan Rules'!$F$9,IF(H255="Renewal",K255*'Commission Plan Rules'!$F$10,0)))</f>
        <v/>
      </c>
      <c r="T255" s="141">
        <f>COUNTIFS($F$5:$F$274,F255,$K$5:$K$274,"&gt;"&amp;K255)+1</f>
        <v/>
      </c>
      <c r="U255" s="141">
        <f>F255&amp;"|"&amp;T255</f>
        <v/>
      </c>
    </row>
    <row r="256" ht="15" customHeight="1" s="107">
      <c r="A256" s="133" t="inlineStr">
        <is>
          <t>D00126</t>
        </is>
      </c>
      <c r="B256" s="133" t="inlineStr">
        <is>
          <t>R006</t>
        </is>
      </c>
      <c r="C256" s="146">
        <f>IFERROR(INDEX('Sales Roster &amp; Quotas'!$C$6:$C$20,MATCH($B256,'Sales Roster &amp; Quotas'!$B$6:$B$20,0)),"")</f>
        <v/>
      </c>
      <c r="D256" s="146">
        <f>IFERROR(INDEX('Sales Roster &amp; Quotas'!$D$6:$D$20,MATCH($B256,'Sales Roster &amp; Quotas'!$B$6:$B$20,0)),"")</f>
        <v/>
      </c>
      <c r="E256" s="134" t="n">
        <v>46186</v>
      </c>
      <c r="F256" s="147">
        <f>TEXT(E256,"yyyy-mm")</f>
        <v/>
      </c>
      <c r="G256" s="147">
        <f>IF(MONTH(E256)&lt;=3,"Q1","Q2")</f>
        <v/>
      </c>
      <c r="H256" s="133" t="inlineStr">
        <is>
          <t>Renewal</t>
        </is>
      </c>
      <c r="I256" s="133" t="inlineStr">
        <is>
          <t>Redwood Insurance Brokers</t>
        </is>
      </c>
      <c r="J256" s="133" t="inlineStr">
        <is>
          <t>Client Portal</t>
        </is>
      </c>
      <c r="K256" s="135" t="n">
        <v>25000</v>
      </c>
      <c r="L256" s="148">
        <f>IFERROR(INDEX('Sales Roster &amp; Quotas'!$G$6:$G$20,MATCH($B256,'Sales Roster &amp; Quotas'!$B$6:$B$20,0)),0)</f>
        <v/>
      </c>
      <c r="M256" s="149">
        <f>SUMIFS($K$5:$K$274,$B$5:$B$274,$B256,$G$5:$G$274,$G256,$H$5:$H$274,"New Business")</f>
        <v/>
      </c>
      <c r="N256" s="150">
        <f>IFERROR(M256/L256,0)</f>
        <v/>
      </c>
      <c r="O256" s="149">
        <f>MIN(M256,L256)</f>
        <v/>
      </c>
      <c r="P256" s="149">
        <f>MAX(MIN(M256,L256*1.25)-L256,0)</f>
        <v/>
      </c>
      <c r="Q256" s="149">
        <f>MAX(M256-L256*1.25,0)</f>
        <v/>
      </c>
      <c r="R256" s="148">
        <f>O256*'Commission Plan Rules'!$F$6+P256*'Commission Plan Rules'!$F$7+Q256*'Commission Plan Rules'!$F$8</f>
        <v/>
      </c>
      <c r="S256" s="151">
        <f>IF(H256="New Business",IFERROR((K256/M256)*R256,0),IF(H256="Upsell",K256*'Commission Plan Rules'!$F$9,IF(H256="Renewal",K256*'Commission Plan Rules'!$F$10,0)))</f>
        <v/>
      </c>
      <c r="T256" s="141">
        <f>COUNTIFS($F$5:$F$274,F256,$K$5:$K$274,"&gt;"&amp;K256)+1</f>
        <v/>
      </c>
      <c r="U256" s="141">
        <f>F256&amp;"|"&amp;T256</f>
        <v/>
      </c>
    </row>
    <row r="257" ht="15" customHeight="1" s="107">
      <c r="A257" s="130" t="inlineStr">
        <is>
          <t>D00138</t>
        </is>
      </c>
      <c r="B257" s="130" t="inlineStr">
        <is>
          <t>R007</t>
        </is>
      </c>
      <c r="C257" s="140">
        <f>IFERROR(INDEX('Sales Roster &amp; Quotas'!$C$6:$C$20,MATCH($B257,'Sales Roster &amp; Quotas'!$B$6:$B$20,0)),"")</f>
        <v/>
      </c>
      <c r="D257" s="140">
        <f>IFERROR(INDEX('Sales Roster &amp; Quotas'!$D$6:$D$20,MATCH($B257,'Sales Roster &amp; Quotas'!$B$6:$B$20,0)),"")</f>
        <v/>
      </c>
      <c r="E257" s="131" t="n">
        <v>46187</v>
      </c>
      <c r="F257" s="141">
        <f>TEXT(E257,"yyyy-mm")</f>
        <v/>
      </c>
      <c r="G257" s="141">
        <f>IF(MONTH(E257)&lt;=3,"Q1","Q2")</f>
        <v/>
      </c>
      <c r="H257" s="130" t="inlineStr">
        <is>
          <t>New Business</t>
        </is>
      </c>
      <c r="I257" s="130" t="inlineStr">
        <is>
          <t>Meadowbrook Insurance Brokers</t>
        </is>
      </c>
      <c r="J257" s="130" t="inlineStr">
        <is>
          <t>Policy Admin Core</t>
        </is>
      </c>
      <c r="K257" s="132" t="n">
        <v>132500</v>
      </c>
      <c r="L257" s="142">
        <f>IFERROR(INDEX('Sales Roster &amp; Quotas'!$G$6:$G$20,MATCH($B257,'Sales Roster &amp; Quotas'!$B$6:$B$20,0)),0)</f>
        <v/>
      </c>
      <c r="M257" s="143">
        <f>SUMIFS($K$5:$K$274,$B$5:$B$274,$B257,$G$5:$G$274,$G257,$H$5:$H$274,"New Business")</f>
        <v/>
      </c>
      <c r="N257" s="144">
        <f>IFERROR(M257/L257,0)</f>
        <v/>
      </c>
      <c r="O257" s="143">
        <f>MIN(M257,L257)</f>
        <v/>
      </c>
      <c r="P257" s="143">
        <f>MAX(MIN(M257,L257*1.25)-L257,0)</f>
        <v/>
      </c>
      <c r="Q257" s="143">
        <f>MAX(M257-L257*1.25,0)</f>
        <v/>
      </c>
      <c r="R257" s="142">
        <f>O257*'Commission Plan Rules'!$F$6+P257*'Commission Plan Rules'!$F$7+Q257*'Commission Plan Rules'!$F$8</f>
        <v/>
      </c>
      <c r="S257" s="145">
        <f>IF(H257="New Business",IFERROR((K257/M257)*R257,0),IF(H257="Upsell",K257*'Commission Plan Rules'!$F$9,IF(H257="Renewal",K257*'Commission Plan Rules'!$F$10,0)))</f>
        <v/>
      </c>
      <c r="T257" s="141">
        <f>COUNTIFS($F$5:$F$274,F257,$K$5:$K$274,"&gt;"&amp;K257)+1</f>
        <v/>
      </c>
      <c r="U257" s="141">
        <f>F257&amp;"|"&amp;T257</f>
        <v/>
      </c>
    </row>
    <row r="258" ht="15" customHeight="1" s="107">
      <c r="A258" s="133" t="inlineStr">
        <is>
          <t>D00270</t>
        </is>
      </c>
      <c r="B258" s="133" t="inlineStr">
        <is>
          <t>R015</t>
        </is>
      </c>
      <c r="C258" s="146">
        <f>IFERROR(INDEX('Sales Roster &amp; Quotas'!$C$6:$C$20,MATCH($B258,'Sales Roster &amp; Quotas'!$B$6:$B$20,0)),"")</f>
        <v/>
      </c>
      <c r="D258" s="146">
        <f>IFERROR(INDEX('Sales Roster &amp; Quotas'!$D$6:$D$20,MATCH($B258,'Sales Roster &amp; Quotas'!$B$6:$B$20,0)),"")</f>
        <v/>
      </c>
      <c r="E258" s="134" t="n">
        <v>46187</v>
      </c>
      <c r="F258" s="147">
        <f>TEXT(E258,"yyyy-mm")</f>
        <v/>
      </c>
      <c r="G258" s="147">
        <f>IF(MONTH(E258)&lt;=3,"Q1","Q2")</f>
        <v/>
      </c>
      <c r="H258" s="133" t="inlineStr">
        <is>
          <t>Renewal</t>
        </is>
      </c>
      <c r="I258" s="133" t="inlineStr">
        <is>
          <t>Beacon Insurance Solutions</t>
        </is>
      </c>
      <c r="J258" s="133" t="inlineStr">
        <is>
          <t>Policy Admin Core</t>
        </is>
      </c>
      <c r="K258" s="135" t="n">
        <v>59000</v>
      </c>
      <c r="L258" s="148">
        <f>IFERROR(INDEX('Sales Roster &amp; Quotas'!$G$6:$G$20,MATCH($B258,'Sales Roster &amp; Quotas'!$B$6:$B$20,0)),0)</f>
        <v/>
      </c>
      <c r="M258" s="149">
        <f>SUMIFS($K$5:$K$274,$B$5:$B$274,$B258,$G$5:$G$274,$G258,$H$5:$H$274,"New Business")</f>
        <v/>
      </c>
      <c r="N258" s="150">
        <f>IFERROR(M258/L258,0)</f>
        <v/>
      </c>
      <c r="O258" s="149">
        <f>MIN(M258,L258)</f>
        <v/>
      </c>
      <c r="P258" s="149">
        <f>MAX(MIN(M258,L258*1.25)-L258,0)</f>
        <v/>
      </c>
      <c r="Q258" s="149">
        <f>MAX(M258-L258*1.25,0)</f>
        <v/>
      </c>
      <c r="R258" s="148">
        <f>O258*'Commission Plan Rules'!$F$6+P258*'Commission Plan Rules'!$F$7+Q258*'Commission Plan Rules'!$F$8</f>
        <v/>
      </c>
      <c r="S258" s="151">
        <f>IF(H258="New Business",IFERROR((K258/M258)*R258,0),IF(H258="Upsell",K258*'Commission Plan Rules'!$F$9,IF(H258="Renewal",K258*'Commission Plan Rules'!$F$10,0)))</f>
        <v/>
      </c>
      <c r="T258" s="141">
        <f>COUNTIFS($F$5:$F$274,F258,$K$5:$K$274,"&gt;"&amp;K258)+1</f>
        <v/>
      </c>
      <c r="U258" s="141">
        <f>F258&amp;"|"&amp;T258</f>
        <v/>
      </c>
    </row>
    <row r="259" ht="15" customHeight="1" s="107">
      <c r="A259" s="130" t="inlineStr">
        <is>
          <t>D00269</t>
        </is>
      </c>
      <c r="B259" s="130" t="inlineStr">
        <is>
          <t>R015</t>
        </is>
      </c>
      <c r="C259" s="140">
        <f>IFERROR(INDEX('Sales Roster &amp; Quotas'!$C$6:$C$20,MATCH($B259,'Sales Roster &amp; Quotas'!$B$6:$B$20,0)),"")</f>
        <v/>
      </c>
      <c r="D259" s="140">
        <f>IFERROR(INDEX('Sales Roster &amp; Quotas'!$D$6:$D$20,MATCH($B259,'Sales Roster &amp; Quotas'!$B$6:$B$20,0)),"")</f>
        <v/>
      </c>
      <c r="E259" s="131" t="n">
        <v>46189</v>
      </c>
      <c r="F259" s="141">
        <f>TEXT(E259,"yyyy-mm")</f>
        <v/>
      </c>
      <c r="G259" s="141">
        <f>IF(MONTH(E259)&lt;=3,"Q1","Q2")</f>
        <v/>
      </c>
      <c r="H259" s="130" t="inlineStr">
        <is>
          <t>Renewal</t>
        </is>
      </c>
      <c r="I259" s="130" t="inlineStr">
        <is>
          <t>Stonebridge Insurance Brokers</t>
        </is>
      </c>
      <c r="J259" s="130" t="inlineStr">
        <is>
          <t>Policy Admin Core</t>
        </is>
      </c>
      <c r="K259" s="132" t="n">
        <v>5000</v>
      </c>
      <c r="L259" s="142">
        <f>IFERROR(INDEX('Sales Roster &amp; Quotas'!$G$6:$G$20,MATCH($B259,'Sales Roster &amp; Quotas'!$B$6:$B$20,0)),0)</f>
        <v/>
      </c>
      <c r="M259" s="143">
        <f>SUMIFS($K$5:$K$274,$B$5:$B$274,$B259,$G$5:$G$274,$G259,$H$5:$H$274,"New Business")</f>
        <v/>
      </c>
      <c r="N259" s="144">
        <f>IFERROR(M259/L259,0)</f>
        <v/>
      </c>
      <c r="O259" s="143">
        <f>MIN(M259,L259)</f>
        <v/>
      </c>
      <c r="P259" s="143">
        <f>MAX(MIN(M259,L259*1.25)-L259,0)</f>
        <v/>
      </c>
      <c r="Q259" s="143">
        <f>MAX(M259-L259*1.25,0)</f>
        <v/>
      </c>
      <c r="R259" s="142">
        <f>O259*'Commission Plan Rules'!$F$6+P259*'Commission Plan Rules'!$F$7+Q259*'Commission Plan Rules'!$F$8</f>
        <v/>
      </c>
      <c r="S259" s="145">
        <f>IF(H259="New Business",IFERROR((K259/M259)*R259,0),IF(H259="Upsell",K259*'Commission Plan Rules'!$F$9,IF(H259="Renewal",K259*'Commission Plan Rules'!$F$10,0)))</f>
        <v/>
      </c>
      <c r="T259" s="141">
        <f>COUNTIFS($F$5:$F$274,F259,$K$5:$K$274,"&gt;"&amp;K259)+1</f>
        <v/>
      </c>
      <c r="U259" s="141">
        <f>F259&amp;"|"&amp;T259</f>
        <v/>
      </c>
    </row>
    <row r="260" ht="15" customHeight="1" s="107">
      <c r="A260" s="133" t="inlineStr">
        <is>
          <t>D00061</t>
        </is>
      </c>
      <c r="B260" s="133" t="inlineStr">
        <is>
          <t>R003</t>
        </is>
      </c>
      <c r="C260" s="146">
        <f>IFERROR(INDEX('Sales Roster &amp; Quotas'!$C$6:$C$20,MATCH($B260,'Sales Roster &amp; Quotas'!$B$6:$B$20,0)),"")</f>
        <v/>
      </c>
      <c r="D260" s="146">
        <f>IFERROR(INDEX('Sales Roster &amp; Quotas'!$D$6:$D$20,MATCH($B260,'Sales Roster &amp; Quotas'!$B$6:$B$20,0)),"")</f>
        <v/>
      </c>
      <c r="E260" s="134" t="n">
        <v>46189</v>
      </c>
      <c r="F260" s="147">
        <f>TEXT(E260,"yyyy-mm")</f>
        <v/>
      </c>
      <c r="G260" s="147">
        <f>IF(MONTH(E260)&lt;=3,"Q1","Q2")</f>
        <v/>
      </c>
      <c r="H260" s="133" t="inlineStr">
        <is>
          <t>Renewal</t>
        </is>
      </c>
      <c r="I260" s="133" t="inlineStr">
        <is>
          <t>Hillcrest Coverage Partners</t>
        </is>
      </c>
      <c r="J260" s="133" t="inlineStr">
        <is>
          <t>Policy Admin Core</t>
        </is>
      </c>
      <c r="K260" s="135" t="n">
        <v>18500</v>
      </c>
      <c r="L260" s="148">
        <f>IFERROR(INDEX('Sales Roster &amp; Quotas'!$G$6:$G$20,MATCH($B260,'Sales Roster &amp; Quotas'!$B$6:$B$20,0)),0)</f>
        <v/>
      </c>
      <c r="M260" s="149">
        <f>SUMIFS($K$5:$K$274,$B$5:$B$274,$B260,$G$5:$G$274,$G260,$H$5:$H$274,"New Business")</f>
        <v/>
      </c>
      <c r="N260" s="150">
        <f>IFERROR(M260/L260,0)</f>
        <v/>
      </c>
      <c r="O260" s="149">
        <f>MIN(M260,L260)</f>
        <v/>
      </c>
      <c r="P260" s="149">
        <f>MAX(MIN(M260,L260*1.25)-L260,0)</f>
        <v/>
      </c>
      <c r="Q260" s="149">
        <f>MAX(M260-L260*1.25,0)</f>
        <v/>
      </c>
      <c r="R260" s="148">
        <f>O260*'Commission Plan Rules'!$F$6+P260*'Commission Plan Rules'!$F$7+Q260*'Commission Plan Rules'!$F$8</f>
        <v/>
      </c>
      <c r="S260" s="151">
        <f>IF(H260="New Business",IFERROR((K260/M260)*R260,0),IF(H260="Upsell",K260*'Commission Plan Rules'!$F$9,IF(H260="Renewal",K260*'Commission Plan Rules'!$F$10,0)))</f>
        <v/>
      </c>
      <c r="T260" s="141">
        <f>COUNTIFS($F$5:$F$274,F260,$K$5:$K$274,"&gt;"&amp;K260)+1</f>
        <v/>
      </c>
      <c r="U260" s="141">
        <f>F260&amp;"|"&amp;T260</f>
        <v/>
      </c>
    </row>
    <row r="261" ht="15" customHeight="1" s="107">
      <c r="A261" s="130" t="inlineStr">
        <is>
          <t>D00139</t>
        </is>
      </c>
      <c r="B261" s="130" t="inlineStr">
        <is>
          <t>R007</t>
        </is>
      </c>
      <c r="C261" s="140">
        <f>IFERROR(INDEX('Sales Roster &amp; Quotas'!$C$6:$C$20,MATCH($B261,'Sales Roster &amp; Quotas'!$B$6:$B$20,0)),"")</f>
        <v/>
      </c>
      <c r="D261" s="140">
        <f>IFERROR(INDEX('Sales Roster &amp; Quotas'!$D$6:$D$20,MATCH($B261,'Sales Roster &amp; Quotas'!$B$6:$B$20,0)),"")</f>
        <v/>
      </c>
      <c r="E261" s="131" t="n">
        <v>46193</v>
      </c>
      <c r="F261" s="141">
        <f>TEXT(E261,"yyyy-mm")</f>
        <v/>
      </c>
      <c r="G261" s="141">
        <f>IF(MONTH(E261)&lt;=3,"Q1","Q2")</f>
        <v/>
      </c>
      <c r="H261" s="130" t="inlineStr">
        <is>
          <t>Renewal</t>
        </is>
      </c>
      <c r="I261" s="130" t="inlineStr">
        <is>
          <t>Riverbend Underwriters</t>
        </is>
      </c>
      <c r="J261" s="130" t="inlineStr">
        <is>
          <t>Policy Admin Core</t>
        </is>
      </c>
      <c r="K261" s="132" t="n">
        <v>80500</v>
      </c>
      <c r="L261" s="142">
        <f>IFERROR(INDEX('Sales Roster &amp; Quotas'!$G$6:$G$20,MATCH($B261,'Sales Roster &amp; Quotas'!$B$6:$B$20,0)),0)</f>
        <v/>
      </c>
      <c r="M261" s="143">
        <f>SUMIFS($K$5:$K$274,$B$5:$B$274,$B261,$G$5:$G$274,$G261,$H$5:$H$274,"New Business")</f>
        <v/>
      </c>
      <c r="N261" s="144">
        <f>IFERROR(M261/L261,0)</f>
        <v/>
      </c>
      <c r="O261" s="143">
        <f>MIN(M261,L261)</f>
        <v/>
      </c>
      <c r="P261" s="143">
        <f>MAX(MIN(M261,L261*1.25)-L261,0)</f>
        <v/>
      </c>
      <c r="Q261" s="143">
        <f>MAX(M261-L261*1.25,0)</f>
        <v/>
      </c>
      <c r="R261" s="142">
        <f>O261*'Commission Plan Rules'!$F$6+P261*'Commission Plan Rules'!$F$7+Q261*'Commission Plan Rules'!$F$8</f>
        <v/>
      </c>
      <c r="S261" s="145">
        <f>IF(H261="New Business",IFERROR((K261/M261)*R261,0),IF(H261="Upsell",K261*'Commission Plan Rules'!$F$9,IF(H261="Renewal",K261*'Commission Plan Rules'!$F$10,0)))</f>
        <v/>
      </c>
      <c r="T261" s="141">
        <f>COUNTIFS($F$5:$F$274,F261,$K$5:$K$274,"&gt;"&amp;K261)+1</f>
        <v/>
      </c>
      <c r="U261" s="141">
        <f>F261&amp;"|"&amp;T261</f>
        <v/>
      </c>
    </row>
    <row r="262" ht="15" customHeight="1" s="107">
      <c r="A262" s="133" t="inlineStr">
        <is>
          <t>D00228</t>
        </is>
      </c>
      <c r="B262" s="133" t="inlineStr">
        <is>
          <t>R012</t>
        </is>
      </c>
      <c r="C262" s="146">
        <f>IFERROR(INDEX('Sales Roster &amp; Quotas'!$C$6:$C$20,MATCH($B262,'Sales Roster &amp; Quotas'!$B$6:$B$20,0)),"")</f>
        <v/>
      </c>
      <c r="D262" s="146">
        <f>IFERROR(INDEX('Sales Roster &amp; Quotas'!$D$6:$D$20,MATCH($B262,'Sales Roster &amp; Quotas'!$B$6:$B$20,0)),"")</f>
        <v/>
      </c>
      <c r="E262" s="134" t="n">
        <v>46194</v>
      </c>
      <c r="F262" s="147">
        <f>TEXT(E262,"yyyy-mm")</f>
        <v/>
      </c>
      <c r="G262" s="147">
        <f>IF(MONTH(E262)&lt;=3,"Q1","Q2")</f>
        <v/>
      </c>
      <c r="H262" s="133" t="inlineStr">
        <is>
          <t>Upsell</t>
        </is>
      </c>
      <c r="I262" s="133" t="inlineStr">
        <is>
          <t>Bridgeway Risk Advisors</t>
        </is>
      </c>
      <c r="J262" s="133" t="inlineStr">
        <is>
          <t>Policy Admin Core</t>
        </is>
      </c>
      <c r="K262" s="135" t="n">
        <v>16500</v>
      </c>
      <c r="L262" s="148">
        <f>IFERROR(INDEX('Sales Roster &amp; Quotas'!$G$6:$G$20,MATCH($B262,'Sales Roster &amp; Quotas'!$B$6:$B$20,0)),0)</f>
        <v/>
      </c>
      <c r="M262" s="149">
        <f>SUMIFS($K$5:$K$274,$B$5:$B$274,$B262,$G$5:$G$274,$G262,$H$5:$H$274,"New Business")</f>
        <v/>
      </c>
      <c r="N262" s="150">
        <f>IFERROR(M262/L262,0)</f>
        <v/>
      </c>
      <c r="O262" s="149">
        <f>MIN(M262,L262)</f>
        <v/>
      </c>
      <c r="P262" s="149">
        <f>MAX(MIN(M262,L262*1.25)-L262,0)</f>
        <v/>
      </c>
      <c r="Q262" s="149">
        <f>MAX(M262-L262*1.25,0)</f>
        <v/>
      </c>
      <c r="R262" s="148">
        <f>O262*'Commission Plan Rules'!$F$6+P262*'Commission Plan Rules'!$F$7+Q262*'Commission Plan Rules'!$F$8</f>
        <v/>
      </c>
      <c r="S262" s="151">
        <f>IF(H262="New Business",IFERROR((K262/M262)*R262,0),IF(H262="Upsell",K262*'Commission Plan Rules'!$F$9,IF(H262="Renewal",K262*'Commission Plan Rules'!$F$10,0)))</f>
        <v/>
      </c>
      <c r="T262" s="141">
        <f>COUNTIFS($F$5:$F$274,F262,$K$5:$K$274,"&gt;"&amp;K262)+1</f>
        <v/>
      </c>
      <c r="U262" s="141">
        <f>F262&amp;"|"&amp;T262</f>
        <v/>
      </c>
    </row>
    <row r="263" ht="15" customHeight="1" s="107">
      <c r="A263" s="130" t="inlineStr">
        <is>
          <t>D00209</t>
        </is>
      </c>
      <c r="B263" s="130" t="inlineStr">
        <is>
          <t>R011</t>
        </is>
      </c>
      <c r="C263" s="140">
        <f>IFERROR(INDEX('Sales Roster &amp; Quotas'!$C$6:$C$20,MATCH($B263,'Sales Roster &amp; Quotas'!$B$6:$B$20,0)),"")</f>
        <v/>
      </c>
      <c r="D263" s="140">
        <f>IFERROR(INDEX('Sales Roster &amp; Quotas'!$D$6:$D$20,MATCH($B263,'Sales Roster &amp; Quotas'!$B$6:$B$20,0)),"")</f>
        <v/>
      </c>
      <c r="E263" s="131" t="n">
        <v>46195</v>
      </c>
      <c r="F263" s="141">
        <f>TEXT(E263,"yyyy-mm")</f>
        <v/>
      </c>
      <c r="G263" s="141">
        <f>IF(MONTH(E263)&lt;=3,"Q1","Q2")</f>
        <v/>
      </c>
      <c r="H263" s="130" t="inlineStr">
        <is>
          <t>New Business</t>
        </is>
      </c>
      <c r="I263" s="130" t="inlineStr">
        <is>
          <t>Anchor Coverage Partners</t>
        </is>
      </c>
      <c r="J263" s="130" t="inlineStr">
        <is>
          <t>Policy Admin Core</t>
        </is>
      </c>
      <c r="K263" s="132" t="n">
        <v>76500</v>
      </c>
      <c r="L263" s="142">
        <f>IFERROR(INDEX('Sales Roster &amp; Quotas'!$G$6:$G$20,MATCH($B263,'Sales Roster &amp; Quotas'!$B$6:$B$20,0)),0)</f>
        <v/>
      </c>
      <c r="M263" s="143">
        <f>SUMIFS($K$5:$K$274,$B$5:$B$274,$B263,$G$5:$G$274,$G263,$H$5:$H$274,"New Business")</f>
        <v/>
      </c>
      <c r="N263" s="144">
        <f>IFERROR(M263/L263,0)</f>
        <v/>
      </c>
      <c r="O263" s="143">
        <f>MIN(M263,L263)</f>
        <v/>
      </c>
      <c r="P263" s="143">
        <f>MAX(MIN(M263,L263*1.25)-L263,0)</f>
        <v/>
      </c>
      <c r="Q263" s="143">
        <f>MAX(M263-L263*1.25,0)</f>
        <v/>
      </c>
      <c r="R263" s="142">
        <f>O263*'Commission Plan Rules'!$F$6+P263*'Commission Plan Rules'!$F$7+Q263*'Commission Plan Rules'!$F$8</f>
        <v/>
      </c>
      <c r="S263" s="145">
        <f>IF(H263="New Business",IFERROR((K263/M263)*R263,0),IF(H263="Upsell",K263*'Commission Plan Rules'!$F$9,IF(H263="Renewal",K263*'Commission Plan Rules'!$F$10,0)))</f>
        <v/>
      </c>
      <c r="T263" s="141">
        <f>COUNTIFS($F$5:$F$274,F263,$K$5:$K$274,"&gt;"&amp;K263)+1</f>
        <v/>
      </c>
      <c r="U263" s="141">
        <f>F263&amp;"|"&amp;T263</f>
        <v/>
      </c>
    </row>
    <row r="264" ht="15" customHeight="1" s="107">
      <c r="A264" s="133" t="inlineStr">
        <is>
          <t>D00041</t>
        </is>
      </c>
      <c r="B264" s="133" t="inlineStr">
        <is>
          <t>R002</t>
        </is>
      </c>
      <c r="C264" s="146">
        <f>IFERROR(INDEX('Sales Roster &amp; Quotas'!$C$6:$C$20,MATCH($B264,'Sales Roster &amp; Quotas'!$B$6:$B$20,0)),"")</f>
        <v/>
      </c>
      <c r="D264" s="146">
        <f>IFERROR(INDEX('Sales Roster &amp; Quotas'!$D$6:$D$20,MATCH($B264,'Sales Roster &amp; Quotas'!$B$6:$B$20,0)),"")</f>
        <v/>
      </c>
      <c r="E264" s="134" t="n">
        <v>46195</v>
      </c>
      <c r="F264" s="147">
        <f>TEXT(E264,"yyyy-mm")</f>
        <v/>
      </c>
      <c r="G264" s="147">
        <f>IF(MONTH(E264)&lt;=3,"Q1","Q2")</f>
        <v/>
      </c>
      <c r="H264" s="133" t="inlineStr">
        <is>
          <t>Renewal</t>
        </is>
      </c>
      <c r="I264" s="133" t="inlineStr">
        <is>
          <t>Overlook Insurance Group</t>
        </is>
      </c>
      <c r="J264" s="133" t="inlineStr">
        <is>
          <t>Policy Admin Core</t>
        </is>
      </c>
      <c r="K264" s="135" t="n">
        <v>1500</v>
      </c>
      <c r="L264" s="148">
        <f>IFERROR(INDEX('Sales Roster &amp; Quotas'!$G$6:$G$20,MATCH($B264,'Sales Roster &amp; Quotas'!$B$6:$B$20,0)),0)</f>
        <v/>
      </c>
      <c r="M264" s="149">
        <f>SUMIFS($K$5:$K$274,$B$5:$B$274,$B264,$G$5:$G$274,$G264,$H$5:$H$274,"New Business")</f>
        <v/>
      </c>
      <c r="N264" s="150">
        <f>IFERROR(M264/L264,0)</f>
        <v/>
      </c>
      <c r="O264" s="149">
        <f>MIN(M264,L264)</f>
        <v/>
      </c>
      <c r="P264" s="149">
        <f>MAX(MIN(M264,L264*1.25)-L264,0)</f>
        <v/>
      </c>
      <c r="Q264" s="149">
        <f>MAX(M264-L264*1.25,0)</f>
        <v/>
      </c>
      <c r="R264" s="148">
        <f>O264*'Commission Plan Rules'!$F$6+P264*'Commission Plan Rules'!$F$7+Q264*'Commission Plan Rules'!$F$8</f>
        <v/>
      </c>
      <c r="S264" s="151">
        <f>IF(H264="New Business",IFERROR((K264/M264)*R264,0),IF(H264="Upsell",K264*'Commission Plan Rules'!$F$9,IF(H264="Renewal",K264*'Commission Plan Rules'!$F$10,0)))</f>
        <v/>
      </c>
      <c r="T264" s="141">
        <f>COUNTIFS($F$5:$F$274,F264,$K$5:$K$274,"&gt;"&amp;K264)+1</f>
        <v/>
      </c>
      <c r="U264" s="141">
        <f>F264&amp;"|"&amp;T264</f>
        <v/>
      </c>
    </row>
    <row r="265" ht="15" customHeight="1" s="107">
      <c r="A265" s="130" t="inlineStr">
        <is>
          <t>D00075</t>
        </is>
      </c>
      <c r="B265" s="130" t="inlineStr">
        <is>
          <t>R004</t>
        </is>
      </c>
      <c r="C265" s="140">
        <f>IFERROR(INDEX('Sales Roster &amp; Quotas'!$C$6:$C$20,MATCH($B265,'Sales Roster &amp; Quotas'!$B$6:$B$20,0)),"")</f>
        <v/>
      </c>
      <c r="D265" s="140">
        <f>IFERROR(INDEX('Sales Roster &amp; Quotas'!$D$6:$D$20,MATCH($B265,'Sales Roster &amp; Quotas'!$B$6:$B$20,0)),"")</f>
        <v/>
      </c>
      <c r="E265" s="131" t="n">
        <v>46196</v>
      </c>
      <c r="F265" s="141">
        <f>TEXT(E265,"yyyy-mm")</f>
        <v/>
      </c>
      <c r="G265" s="141">
        <f>IF(MONTH(E265)&lt;=3,"Q1","Q2")</f>
        <v/>
      </c>
      <c r="H265" s="130" t="inlineStr">
        <is>
          <t>New Business</t>
        </is>
      </c>
      <c r="I265" s="130" t="inlineStr">
        <is>
          <t>Overlook Agency Partners</t>
        </is>
      </c>
      <c r="J265" s="130" t="inlineStr">
        <is>
          <t>Analytics Add-On</t>
        </is>
      </c>
      <c r="K265" s="132" t="n">
        <v>3000</v>
      </c>
      <c r="L265" s="142">
        <f>IFERROR(INDEX('Sales Roster &amp; Quotas'!$G$6:$G$20,MATCH($B265,'Sales Roster &amp; Quotas'!$B$6:$B$20,0)),0)</f>
        <v/>
      </c>
      <c r="M265" s="143">
        <f>SUMIFS($K$5:$K$274,$B$5:$B$274,$B265,$G$5:$G$274,$G265,$H$5:$H$274,"New Business")</f>
        <v/>
      </c>
      <c r="N265" s="144">
        <f>IFERROR(M265/L265,0)</f>
        <v/>
      </c>
      <c r="O265" s="143">
        <f>MIN(M265,L265)</f>
        <v/>
      </c>
      <c r="P265" s="143">
        <f>MAX(MIN(M265,L265*1.25)-L265,0)</f>
        <v/>
      </c>
      <c r="Q265" s="143">
        <f>MAX(M265-L265*1.25,0)</f>
        <v/>
      </c>
      <c r="R265" s="142">
        <f>O265*'Commission Plan Rules'!$F$6+P265*'Commission Plan Rules'!$F$7+Q265*'Commission Plan Rules'!$F$8</f>
        <v/>
      </c>
      <c r="S265" s="145">
        <f>IF(H265="New Business",IFERROR((K265/M265)*R265,0),IF(H265="Upsell",K265*'Commission Plan Rules'!$F$9,IF(H265="Renewal",K265*'Commission Plan Rules'!$F$10,0)))</f>
        <v/>
      </c>
      <c r="T265" s="141">
        <f>COUNTIFS($F$5:$F$274,F265,$K$5:$K$274,"&gt;"&amp;K265)+1</f>
        <v/>
      </c>
      <c r="U265" s="141">
        <f>F265&amp;"|"&amp;T265</f>
        <v/>
      </c>
    </row>
    <row r="266" ht="15" customHeight="1" s="107">
      <c r="A266" s="133" t="inlineStr">
        <is>
          <t>D00157</t>
        </is>
      </c>
      <c r="B266" s="133" t="inlineStr">
        <is>
          <t>R008</t>
        </is>
      </c>
      <c r="C266" s="146">
        <f>IFERROR(INDEX('Sales Roster &amp; Quotas'!$C$6:$C$20,MATCH($B266,'Sales Roster &amp; Quotas'!$B$6:$B$20,0)),"")</f>
        <v/>
      </c>
      <c r="D266" s="146">
        <f>IFERROR(INDEX('Sales Roster &amp; Quotas'!$D$6:$D$20,MATCH($B266,'Sales Roster &amp; Quotas'!$B$6:$B$20,0)),"")</f>
        <v/>
      </c>
      <c r="E266" s="134" t="n">
        <v>46197</v>
      </c>
      <c r="F266" s="147">
        <f>TEXT(E266,"yyyy-mm")</f>
        <v/>
      </c>
      <c r="G266" s="147">
        <f>IF(MONTH(E266)&lt;=3,"Q1","Q2")</f>
        <v/>
      </c>
      <c r="H266" s="133" t="inlineStr">
        <is>
          <t>Renewal</t>
        </is>
      </c>
      <c r="I266" s="133" t="inlineStr">
        <is>
          <t>Summit Insurance Brokers</t>
        </is>
      </c>
      <c r="J266" s="133" t="inlineStr">
        <is>
          <t>Policy Admin Core</t>
        </is>
      </c>
      <c r="K266" s="135" t="n">
        <v>14000</v>
      </c>
      <c r="L266" s="148">
        <f>IFERROR(INDEX('Sales Roster &amp; Quotas'!$G$6:$G$20,MATCH($B266,'Sales Roster &amp; Quotas'!$B$6:$B$20,0)),0)</f>
        <v/>
      </c>
      <c r="M266" s="149">
        <f>SUMIFS($K$5:$K$274,$B$5:$B$274,$B266,$G$5:$G$274,$G266,$H$5:$H$274,"New Business")</f>
        <v/>
      </c>
      <c r="N266" s="150">
        <f>IFERROR(M266/L266,0)</f>
        <v/>
      </c>
      <c r="O266" s="149">
        <f>MIN(M266,L266)</f>
        <v/>
      </c>
      <c r="P266" s="149">
        <f>MAX(MIN(M266,L266*1.25)-L266,0)</f>
        <v/>
      </c>
      <c r="Q266" s="149">
        <f>MAX(M266-L266*1.25,0)</f>
        <v/>
      </c>
      <c r="R266" s="148">
        <f>O266*'Commission Plan Rules'!$F$6+P266*'Commission Plan Rules'!$F$7+Q266*'Commission Plan Rules'!$F$8</f>
        <v/>
      </c>
      <c r="S266" s="151">
        <f>IF(H266="New Business",IFERROR((K266/M266)*R266,0),IF(H266="Upsell",K266*'Commission Plan Rules'!$F$9,IF(H266="Renewal",K266*'Commission Plan Rules'!$F$10,0)))</f>
        <v/>
      </c>
      <c r="T266" s="141">
        <f>COUNTIFS($F$5:$F$274,F266,$K$5:$K$274,"&gt;"&amp;K266)+1</f>
        <v/>
      </c>
      <c r="U266" s="141">
        <f>F266&amp;"|"&amp;T266</f>
        <v/>
      </c>
    </row>
    <row r="267" ht="15" customHeight="1" s="107">
      <c r="A267" s="130" t="inlineStr">
        <is>
          <t>D00256</t>
        </is>
      </c>
      <c r="B267" s="130" t="inlineStr">
        <is>
          <t>R014</t>
        </is>
      </c>
      <c r="C267" s="140">
        <f>IFERROR(INDEX('Sales Roster &amp; Quotas'!$C$6:$C$20,MATCH($B267,'Sales Roster &amp; Quotas'!$B$6:$B$20,0)),"")</f>
        <v/>
      </c>
      <c r="D267" s="140">
        <f>IFERROR(INDEX('Sales Roster &amp; Quotas'!$D$6:$D$20,MATCH($B267,'Sales Roster &amp; Quotas'!$B$6:$B$20,0)),"")</f>
        <v/>
      </c>
      <c r="E267" s="131" t="n">
        <v>46198</v>
      </c>
      <c r="F267" s="141">
        <f>TEXT(E267,"yyyy-mm")</f>
        <v/>
      </c>
      <c r="G267" s="141">
        <f>IF(MONTH(E267)&lt;=3,"Q1","Q2")</f>
        <v/>
      </c>
      <c r="H267" s="130" t="inlineStr">
        <is>
          <t>Renewal</t>
        </is>
      </c>
      <c r="I267" s="130" t="inlineStr">
        <is>
          <t>Brookhaven Insurance Brokers</t>
        </is>
      </c>
      <c r="J267" s="130" t="inlineStr">
        <is>
          <t>Policy Admin Core</t>
        </is>
      </c>
      <c r="K267" s="132" t="n">
        <v>12500</v>
      </c>
      <c r="L267" s="142">
        <f>IFERROR(INDEX('Sales Roster &amp; Quotas'!$G$6:$G$20,MATCH($B267,'Sales Roster &amp; Quotas'!$B$6:$B$20,0)),0)</f>
        <v/>
      </c>
      <c r="M267" s="143">
        <f>SUMIFS($K$5:$K$274,$B$5:$B$274,$B267,$G$5:$G$274,$G267,$H$5:$H$274,"New Business")</f>
        <v/>
      </c>
      <c r="N267" s="144">
        <f>IFERROR(M267/L267,0)</f>
        <v/>
      </c>
      <c r="O267" s="143">
        <f>MIN(M267,L267)</f>
        <v/>
      </c>
      <c r="P267" s="143">
        <f>MAX(MIN(M267,L267*1.25)-L267,0)</f>
        <v/>
      </c>
      <c r="Q267" s="143">
        <f>MAX(M267-L267*1.25,0)</f>
        <v/>
      </c>
      <c r="R267" s="142">
        <f>O267*'Commission Plan Rules'!$F$6+P267*'Commission Plan Rules'!$F$7+Q267*'Commission Plan Rules'!$F$8</f>
        <v/>
      </c>
      <c r="S267" s="145">
        <f>IF(H267="New Business",IFERROR((K267/M267)*R267,0),IF(H267="Upsell",K267*'Commission Plan Rules'!$F$9,IF(H267="Renewal",K267*'Commission Plan Rules'!$F$10,0)))</f>
        <v/>
      </c>
      <c r="T267" s="141">
        <f>COUNTIFS($F$5:$F$274,F267,$K$5:$K$274,"&gt;"&amp;K267)+1</f>
        <v/>
      </c>
      <c r="U267" s="141">
        <f>F267&amp;"|"&amp;T267</f>
        <v/>
      </c>
    </row>
    <row r="268" ht="15" customHeight="1" s="107">
      <c r="A268" s="133" t="inlineStr">
        <is>
          <t>D00040</t>
        </is>
      </c>
      <c r="B268" s="133" t="inlineStr">
        <is>
          <t>R002</t>
        </is>
      </c>
      <c r="C268" s="146">
        <f>IFERROR(INDEX('Sales Roster &amp; Quotas'!$C$6:$C$20,MATCH($B268,'Sales Roster &amp; Quotas'!$B$6:$B$20,0)),"")</f>
        <v/>
      </c>
      <c r="D268" s="146">
        <f>IFERROR(INDEX('Sales Roster &amp; Quotas'!$D$6:$D$20,MATCH($B268,'Sales Roster &amp; Quotas'!$B$6:$B$20,0)),"")</f>
        <v/>
      </c>
      <c r="E268" s="134" t="n">
        <v>46198</v>
      </c>
      <c r="F268" s="147">
        <f>TEXT(E268,"yyyy-mm")</f>
        <v/>
      </c>
      <c r="G268" s="147">
        <f>IF(MONTH(E268)&lt;=3,"Q1","Q2")</f>
        <v/>
      </c>
      <c r="H268" s="133" t="inlineStr">
        <is>
          <t>Renewal</t>
        </is>
      </c>
      <c r="I268" s="133" t="inlineStr">
        <is>
          <t>Cedarline Agency Partners</t>
        </is>
      </c>
      <c r="J268" s="133" t="inlineStr">
        <is>
          <t>Policy Admin Core</t>
        </is>
      </c>
      <c r="K268" s="135" t="n">
        <v>5000</v>
      </c>
      <c r="L268" s="148">
        <f>IFERROR(INDEX('Sales Roster &amp; Quotas'!$G$6:$G$20,MATCH($B268,'Sales Roster &amp; Quotas'!$B$6:$B$20,0)),0)</f>
        <v/>
      </c>
      <c r="M268" s="149">
        <f>SUMIFS($K$5:$K$274,$B$5:$B$274,$B268,$G$5:$G$274,$G268,$H$5:$H$274,"New Business")</f>
        <v/>
      </c>
      <c r="N268" s="150">
        <f>IFERROR(M268/L268,0)</f>
        <v/>
      </c>
      <c r="O268" s="149">
        <f>MIN(M268,L268)</f>
        <v/>
      </c>
      <c r="P268" s="149">
        <f>MAX(MIN(M268,L268*1.25)-L268,0)</f>
        <v/>
      </c>
      <c r="Q268" s="149">
        <f>MAX(M268-L268*1.25,0)</f>
        <v/>
      </c>
      <c r="R268" s="148">
        <f>O268*'Commission Plan Rules'!$F$6+P268*'Commission Plan Rules'!$F$7+Q268*'Commission Plan Rules'!$F$8</f>
        <v/>
      </c>
      <c r="S268" s="151">
        <f>IF(H268="New Business",IFERROR((K268/M268)*R268,0),IF(H268="Upsell",K268*'Commission Plan Rules'!$F$9,IF(H268="Renewal",K268*'Commission Plan Rules'!$F$10,0)))</f>
        <v/>
      </c>
      <c r="T268" s="141">
        <f>COUNTIFS($F$5:$F$274,F268,$K$5:$K$274,"&gt;"&amp;K268)+1</f>
        <v/>
      </c>
      <c r="U268" s="141">
        <f>F268&amp;"|"&amp;T268</f>
        <v/>
      </c>
    </row>
    <row r="269" ht="15" customHeight="1" s="107">
      <c r="A269" s="130" t="inlineStr">
        <is>
          <t>D00158</t>
        </is>
      </c>
      <c r="B269" s="130" t="inlineStr">
        <is>
          <t>R008</t>
        </is>
      </c>
      <c r="C269" s="140">
        <f>IFERROR(INDEX('Sales Roster &amp; Quotas'!$C$6:$C$20,MATCH($B269,'Sales Roster &amp; Quotas'!$B$6:$B$20,0)),"")</f>
        <v/>
      </c>
      <c r="D269" s="140">
        <f>IFERROR(INDEX('Sales Roster &amp; Quotas'!$D$6:$D$20,MATCH($B269,'Sales Roster &amp; Quotas'!$B$6:$B$20,0)),"")</f>
        <v/>
      </c>
      <c r="E269" s="131" t="n">
        <v>46198</v>
      </c>
      <c r="F269" s="141">
        <f>TEXT(E269,"yyyy-mm")</f>
        <v/>
      </c>
      <c r="G269" s="141">
        <f>IF(MONTH(E269)&lt;=3,"Q1","Q2")</f>
        <v/>
      </c>
      <c r="H269" s="130" t="inlineStr">
        <is>
          <t>Renewal</t>
        </is>
      </c>
      <c r="I269" s="130" t="inlineStr">
        <is>
          <t>Highmark Insurance Brokers</t>
        </is>
      </c>
      <c r="J269" s="130" t="inlineStr">
        <is>
          <t>Claims Module</t>
        </is>
      </c>
      <c r="K269" s="132" t="n">
        <v>13000</v>
      </c>
      <c r="L269" s="142">
        <f>IFERROR(INDEX('Sales Roster &amp; Quotas'!$G$6:$G$20,MATCH($B269,'Sales Roster &amp; Quotas'!$B$6:$B$20,0)),0)</f>
        <v/>
      </c>
      <c r="M269" s="143">
        <f>SUMIFS($K$5:$K$274,$B$5:$B$274,$B269,$G$5:$G$274,$G269,$H$5:$H$274,"New Business")</f>
        <v/>
      </c>
      <c r="N269" s="144">
        <f>IFERROR(M269/L269,0)</f>
        <v/>
      </c>
      <c r="O269" s="143">
        <f>MIN(M269,L269)</f>
        <v/>
      </c>
      <c r="P269" s="143">
        <f>MAX(MIN(M269,L269*1.25)-L269,0)</f>
        <v/>
      </c>
      <c r="Q269" s="143">
        <f>MAX(M269-L269*1.25,0)</f>
        <v/>
      </c>
      <c r="R269" s="142">
        <f>O269*'Commission Plan Rules'!$F$6+P269*'Commission Plan Rules'!$F$7+Q269*'Commission Plan Rules'!$F$8</f>
        <v/>
      </c>
      <c r="S269" s="145">
        <f>IF(H269="New Business",IFERROR((K269/M269)*R269,0),IF(H269="Upsell",K269*'Commission Plan Rules'!$F$9,IF(H269="Renewal",K269*'Commission Plan Rules'!$F$10,0)))</f>
        <v/>
      </c>
      <c r="T269" s="141">
        <f>COUNTIFS($F$5:$F$274,F269,$K$5:$K$274,"&gt;"&amp;K269)+1</f>
        <v/>
      </c>
      <c r="U269" s="141">
        <f>F269&amp;"|"&amp;T269</f>
        <v/>
      </c>
    </row>
    <row r="270" ht="15" customHeight="1" s="107">
      <c r="A270" s="133" t="inlineStr">
        <is>
          <t>D00174</t>
        </is>
      </c>
      <c r="B270" s="133" t="inlineStr">
        <is>
          <t>R009</t>
        </is>
      </c>
      <c r="C270" s="146">
        <f>IFERROR(INDEX('Sales Roster &amp; Quotas'!$C$6:$C$20,MATCH($B270,'Sales Roster &amp; Quotas'!$B$6:$B$20,0)),"")</f>
        <v/>
      </c>
      <c r="D270" s="146">
        <f>IFERROR(INDEX('Sales Roster &amp; Quotas'!$D$6:$D$20,MATCH($B270,'Sales Roster &amp; Quotas'!$B$6:$B$20,0)),"")</f>
        <v/>
      </c>
      <c r="E270" s="134" t="n">
        <v>46199</v>
      </c>
      <c r="F270" s="147">
        <f>TEXT(E270,"yyyy-mm")</f>
        <v/>
      </c>
      <c r="G270" s="147">
        <f>IF(MONTH(E270)&lt;=3,"Q1","Q2")</f>
        <v/>
      </c>
      <c r="H270" s="133" t="inlineStr">
        <is>
          <t>Renewal</t>
        </is>
      </c>
      <c r="I270" s="133" t="inlineStr">
        <is>
          <t>Highmark Insurance Solutions</t>
        </is>
      </c>
      <c r="J270" s="133" t="inlineStr">
        <is>
          <t>Client Portal</t>
        </is>
      </c>
      <c r="K270" s="135" t="n">
        <v>18500</v>
      </c>
      <c r="L270" s="148">
        <f>IFERROR(INDEX('Sales Roster &amp; Quotas'!$G$6:$G$20,MATCH($B270,'Sales Roster &amp; Quotas'!$B$6:$B$20,0)),0)</f>
        <v/>
      </c>
      <c r="M270" s="149">
        <f>SUMIFS($K$5:$K$274,$B$5:$B$274,$B270,$G$5:$G$274,$G270,$H$5:$H$274,"New Business")</f>
        <v/>
      </c>
      <c r="N270" s="150">
        <f>IFERROR(M270/L270,0)</f>
        <v/>
      </c>
      <c r="O270" s="149">
        <f>MIN(M270,L270)</f>
        <v/>
      </c>
      <c r="P270" s="149">
        <f>MAX(MIN(M270,L270*1.25)-L270,0)</f>
        <v/>
      </c>
      <c r="Q270" s="149">
        <f>MAX(M270-L270*1.25,0)</f>
        <v/>
      </c>
      <c r="R270" s="148">
        <f>O270*'Commission Plan Rules'!$F$6+P270*'Commission Plan Rules'!$F$7+Q270*'Commission Plan Rules'!$F$8</f>
        <v/>
      </c>
      <c r="S270" s="151">
        <f>IF(H270="New Business",IFERROR((K270/M270)*R270,0),IF(H270="Upsell",K270*'Commission Plan Rules'!$F$9,IF(H270="Renewal",K270*'Commission Plan Rules'!$F$10,0)))</f>
        <v/>
      </c>
      <c r="T270" s="141">
        <f>COUNTIFS($F$5:$F$274,F270,$K$5:$K$274,"&gt;"&amp;K270)+1</f>
        <v/>
      </c>
      <c r="U270" s="141">
        <f>F270&amp;"|"&amp;T270</f>
        <v/>
      </c>
    </row>
    <row r="271" ht="15" customHeight="1" s="107">
      <c r="A271" s="130" t="inlineStr">
        <is>
          <t>D00121</t>
        </is>
      </c>
      <c r="B271" s="130" t="inlineStr">
        <is>
          <t>R006</t>
        </is>
      </c>
      <c r="C271" s="140">
        <f>IFERROR(INDEX('Sales Roster &amp; Quotas'!$C$6:$C$20,MATCH($B271,'Sales Roster &amp; Quotas'!$B$6:$B$20,0)),"")</f>
        <v/>
      </c>
      <c r="D271" s="140">
        <f>IFERROR(INDEX('Sales Roster &amp; Quotas'!$D$6:$D$20,MATCH($B271,'Sales Roster &amp; Quotas'!$B$6:$B$20,0)),"")</f>
        <v/>
      </c>
      <c r="E271" s="131" t="n">
        <v>46199</v>
      </c>
      <c r="F271" s="141">
        <f>TEXT(E271,"yyyy-mm")</f>
        <v/>
      </c>
      <c r="G271" s="141">
        <f>IF(MONTH(E271)&lt;=3,"Q1","Q2")</f>
        <v/>
      </c>
      <c r="H271" s="130" t="inlineStr">
        <is>
          <t>Upsell</t>
        </is>
      </c>
      <c r="I271" s="130" t="inlineStr">
        <is>
          <t>Meadowbrook Agency Partners</t>
        </is>
      </c>
      <c r="J271" s="130" t="inlineStr">
        <is>
          <t>Policy Admin Core</t>
        </is>
      </c>
      <c r="K271" s="132" t="n">
        <v>29500</v>
      </c>
      <c r="L271" s="142">
        <f>IFERROR(INDEX('Sales Roster &amp; Quotas'!$G$6:$G$20,MATCH($B271,'Sales Roster &amp; Quotas'!$B$6:$B$20,0)),0)</f>
        <v/>
      </c>
      <c r="M271" s="143">
        <f>SUMIFS($K$5:$K$274,$B$5:$B$274,$B271,$G$5:$G$274,$G271,$H$5:$H$274,"New Business")</f>
        <v/>
      </c>
      <c r="N271" s="144">
        <f>IFERROR(M271/L271,0)</f>
        <v/>
      </c>
      <c r="O271" s="143">
        <f>MIN(M271,L271)</f>
        <v/>
      </c>
      <c r="P271" s="143">
        <f>MAX(MIN(M271,L271*1.25)-L271,0)</f>
        <v/>
      </c>
      <c r="Q271" s="143">
        <f>MAX(M271-L271*1.25,0)</f>
        <v/>
      </c>
      <c r="R271" s="142">
        <f>O271*'Commission Plan Rules'!$F$6+P271*'Commission Plan Rules'!$F$7+Q271*'Commission Plan Rules'!$F$8</f>
        <v/>
      </c>
      <c r="S271" s="145">
        <f>IF(H271="New Business",IFERROR((K271/M271)*R271,0),IF(H271="Upsell",K271*'Commission Plan Rules'!$F$9,IF(H271="Renewal",K271*'Commission Plan Rules'!$F$10,0)))</f>
        <v/>
      </c>
      <c r="T271" s="141">
        <f>COUNTIFS($F$5:$F$274,F271,$K$5:$K$274,"&gt;"&amp;K271)+1</f>
        <v/>
      </c>
      <c r="U271" s="141">
        <f>F271&amp;"|"&amp;T271</f>
        <v/>
      </c>
    </row>
    <row r="272" ht="15" customHeight="1" s="107">
      <c r="A272" s="133" t="inlineStr">
        <is>
          <t>D00053</t>
        </is>
      </c>
      <c r="B272" s="133" t="inlineStr">
        <is>
          <t>R003</t>
        </is>
      </c>
      <c r="C272" s="146">
        <f>IFERROR(INDEX('Sales Roster &amp; Quotas'!$C$6:$C$20,MATCH($B272,'Sales Roster &amp; Quotas'!$B$6:$B$20,0)),"")</f>
        <v/>
      </c>
      <c r="D272" s="146">
        <f>IFERROR(INDEX('Sales Roster &amp; Quotas'!$D$6:$D$20,MATCH($B272,'Sales Roster &amp; Quotas'!$B$6:$B$20,0)),"")</f>
        <v/>
      </c>
      <c r="E272" s="134" t="n">
        <v>46200</v>
      </c>
      <c r="F272" s="147">
        <f>TEXT(E272,"yyyy-mm")</f>
        <v/>
      </c>
      <c r="G272" s="147">
        <f>IF(MONTH(E272)&lt;=3,"Q1","Q2")</f>
        <v/>
      </c>
      <c r="H272" s="133" t="inlineStr">
        <is>
          <t>New Business</t>
        </is>
      </c>
      <c r="I272" s="133" t="inlineStr">
        <is>
          <t>Vantage Insurance Solutions</t>
        </is>
      </c>
      <c r="J272" s="133" t="inlineStr">
        <is>
          <t>Policy Admin Core</t>
        </is>
      </c>
      <c r="K272" s="135" t="n">
        <v>43500</v>
      </c>
      <c r="L272" s="148">
        <f>IFERROR(INDEX('Sales Roster &amp; Quotas'!$G$6:$G$20,MATCH($B272,'Sales Roster &amp; Quotas'!$B$6:$B$20,0)),0)</f>
        <v/>
      </c>
      <c r="M272" s="149">
        <f>SUMIFS($K$5:$K$274,$B$5:$B$274,$B272,$G$5:$G$274,$G272,$H$5:$H$274,"New Business")</f>
        <v/>
      </c>
      <c r="N272" s="150">
        <f>IFERROR(M272/L272,0)</f>
        <v/>
      </c>
      <c r="O272" s="149">
        <f>MIN(M272,L272)</f>
        <v/>
      </c>
      <c r="P272" s="149">
        <f>MAX(MIN(M272,L272*1.25)-L272,0)</f>
        <v/>
      </c>
      <c r="Q272" s="149">
        <f>MAX(M272-L272*1.25,0)</f>
        <v/>
      </c>
      <c r="R272" s="148">
        <f>O272*'Commission Plan Rules'!$F$6+P272*'Commission Plan Rules'!$F$7+Q272*'Commission Plan Rules'!$F$8</f>
        <v/>
      </c>
      <c r="S272" s="151">
        <f>IF(H272="New Business",IFERROR((K272/M272)*R272,0),IF(H272="Upsell",K272*'Commission Plan Rules'!$F$9,IF(H272="Renewal",K272*'Commission Plan Rules'!$F$10,0)))</f>
        <v/>
      </c>
      <c r="T272" s="141">
        <f>COUNTIFS($F$5:$F$274,F272,$K$5:$K$274,"&gt;"&amp;K272)+1</f>
        <v/>
      </c>
      <c r="U272" s="141">
        <f>F272&amp;"|"&amp;T272</f>
        <v/>
      </c>
    </row>
    <row r="273" ht="15" customHeight="1" s="107">
      <c r="A273" s="130" t="inlineStr">
        <is>
          <t>D00230</t>
        </is>
      </c>
      <c r="B273" s="130" t="inlineStr">
        <is>
          <t>R012</t>
        </is>
      </c>
      <c r="C273" s="140">
        <f>IFERROR(INDEX('Sales Roster &amp; Quotas'!$C$6:$C$20,MATCH($B273,'Sales Roster &amp; Quotas'!$B$6:$B$20,0)),"")</f>
        <v/>
      </c>
      <c r="D273" s="140">
        <f>IFERROR(INDEX('Sales Roster &amp; Quotas'!$D$6:$D$20,MATCH($B273,'Sales Roster &amp; Quotas'!$B$6:$B$20,0)),"")</f>
        <v/>
      </c>
      <c r="E273" s="131" t="n">
        <v>46201</v>
      </c>
      <c r="F273" s="141">
        <f>TEXT(E273,"yyyy-mm")</f>
        <v/>
      </c>
      <c r="G273" s="141">
        <f>IF(MONTH(E273)&lt;=3,"Q1","Q2")</f>
        <v/>
      </c>
      <c r="H273" s="130" t="inlineStr">
        <is>
          <t>Renewal</t>
        </is>
      </c>
      <c r="I273" s="130" t="inlineStr">
        <is>
          <t>Riverbend Mutual Agency</t>
        </is>
      </c>
      <c r="J273" s="130" t="inlineStr">
        <is>
          <t>Policy Admin Core</t>
        </is>
      </c>
      <c r="K273" s="132" t="n">
        <v>13500</v>
      </c>
      <c r="L273" s="142">
        <f>IFERROR(INDEX('Sales Roster &amp; Quotas'!$G$6:$G$20,MATCH($B273,'Sales Roster &amp; Quotas'!$B$6:$B$20,0)),0)</f>
        <v/>
      </c>
      <c r="M273" s="143">
        <f>SUMIFS($K$5:$K$274,$B$5:$B$274,$B273,$G$5:$G$274,$G273,$H$5:$H$274,"New Business")</f>
        <v/>
      </c>
      <c r="N273" s="144">
        <f>IFERROR(M273/L273,0)</f>
        <v/>
      </c>
      <c r="O273" s="143">
        <f>MIN(M273,L273)</f>
        <v/>
      </c>
      <c r="P273" s="143">
        <f>MAX(MIN(M273,L273*1.25)-L273,0)</f>
        <v/>
      </c>
      <c r="Q273" s="143">
        <f>MAX(M273-L273*1.25,0)</f>
        <v/>
      </c>
      <c r="R273" s="142">
        <f>O273*'Commission Plan Rules'!$F$6+P273*'Commission Plan Rules'!$F$7+Q273*'Commission Plan Rules'!$F$8</f>
        <v/>
      </c>
      <c r="S273" s="145">
        <f>IF(H273="New Business",IFERROR((K273/M273)*R273,0),IF(H273="Upsell",K273*'Commission Plan Rules'!$F$9,IF(H273="Renewal",K273*'Commission Plan Rules'!$F$10,0)))</f>
        <v/>
      </c>
      <c r="T273" s="141">
        <f>COUNTIFS($F$5:$F$274,F273,$K$5:$K$274,"&gt;"&amp;K273)+1</f>
        <v/>
      </c>
      <c r="U273" s="141">
        <f>F273&amp;"|"&amp;T273</f>
        <v/>
      </c>
    </row>
    <row r="274" ht="15" customHeight="1" s="107">
      <c r="A274" s="133" t="inlineStr">
        <is>
          <t>D00115</t>
        </is>
      </c>
      <c r="B274" s="133" t="inlineStr">
        <is>
          <t>R006</t>
        </is>
      </c>
      <c r="C274" s="146">
        <f>IFERROR(INDEX('Sales Roster &amp; Quotas'!$C$6:$C$20,MATCH($B274,'Sales Roster &amp; Quotas'!$B$6:$B$20,0)),"")</f>
        <v/>
      </c>
      <c r="D274" s="146">
        <f>IFERROR(INDEX('Sales Roster &amp; Quotas'!$D$6:$D$20,MATCH($B274,'Sales Roster &amp; Quotas'!$B$6:$B$20,0)),"")</f>
        <v/>
      </c>
      <c r="E274" s="134" t="n">
        <v>46201</v>
      </c>
      <c r="F274" s="147">
        <f>TEXT(E274,"yyyy-mm")</f>
        <v/>
      </c>
      <c r="G274" s="147">
        <f>IF(MONTH(E274)&lt;=3,"Q1","Q2")</f>
        <v/>
      </c>
      <c r="H274" s="133" t="inlineStr">
        <is>
          <t>New Business</t>
        </is>
      </c>
      <c r="I274" s="133" t="inlineStr">
        <is>
          <t>Brookhaven Risk Advisors</t>
        </is>
      </c>
      <c r="J274" s="133" t="inlineStr">
        <is>
          <t>Client Portal</t>
        </is>
      </c>
      <c r="K274" s="135" t="n">
        <v>65500</v>
      </c>
      <c r="L274" s="148">
        <f>IFERROR(INDEX('Sales Roster &amp; Quotas'!$G$6:$G$20,MATCH($B274,'Sales Roster &amp; Quotas'!$B$6:$B$20,0)),0)</f>
        <v/>
      </c>
      <c r="M274" s="149">
        <f>SUMIFS($K$5:$K$274,$B$5:$B$274,$B274,$G$5:$G$274,$G274,$H$5:$H$274,"New Business")</f>
        <v/>
      </c>
      <c r="N274" s="150">
        <f>IFERROR(M274/L274,0)</f>
        <v/>
      </c>
      <c r="O274" s="149">
        <f>MIN(M274,L274)</f>
        <v/>
      </c>
      <c r="P274" s="149">
        <f>MAX(MIN(M274,L274*1.25)-L274,0)</f>
        <v/>
      </c>
      <c r="Q274" s="149">
        <f>MAX(M274-L274*1.25,0)</f>
        <v/>
      </c>
      <c r="R274" s="148">
        <f>O274*'Commission Plan Rules'!$F$6+P274*'Commission Plan Rules'!$F$7+Q274*'Commission Plan Rules'!$F$8</f>
        <v/>
      </c>
      <c r="S274" s="151">
        <f>IF(H274="New Business",IFERROR((K274/M274)*R274,0),IF(H274="Upsell",K274*'Commission Plan Rules'!$F$9,IF(H274="Renewal",K274*'Commission Plan Rules'!$F$10,0)))</f>
        <v/>
      </c>
      <c r="T274" s="141">
        <f>COUNTIFS($F$5:$F$274,F274,$K$5:$K$274,"&gt;"&amp;K274)+1</f>
        <v/>
      </c>
      <c r="U274" s="141">
        <f>F274&amp;"|"&amp;T274</f>
        <v/>
      </c>
    </row>
    <row r="275" ht="15" customHeight="1" s="107">
      <c r="A275" s="152" t="n"/>
      <c r="B275" s="152" t="n"/>
      <c r="C275" s="152" t="n"/>
      <c r="D275" s="152" t="n"/>
      <c r="E275" s="152" t="n"/>
      <c r="F275" s="152" t="n"/>
      <c r="G275" s="152" t="n"/>
      <c r="H275" s="152" t="n"/>
      <c r="I275" s="153" t="inlineStr">
        <is>
          <t>TOTAL</t>
        </is>
      </c>
      <c r="J275" s="152" t="n"/>
      <c r="K275" s="154">
        <f>SUM(K5:K274)</f>
        <v/>
      </c>
      <c r="L275" s="152" t="n"/>
      <c r="M275" s="152" t="n"/>
      <c r="N275" s="152" t="n"/>
      <c r="O275" s="152" t="n"/>
      <c r="P275" s="152" t="n"/>
      <c r="Q275" s="152" t="n"/>
      <c r="R275" s="152" t="n"/>
      <c r="S275" s="154">
        <f>SUM(S5:S274)</f>
        <v/>
      </c>
    </row>
  </sheetData>
  <mergeCells count="1">
    <mergeCell ref="A2:S2"/>
  </mergeCells>
  <printOptions horizontalCentered="0" verticalCentered="0" headings="0" gridLines="0" gridLinesSet="1"/>
  <pageMargins left="0.3" right="0.3" top="0.4" bottom="0.4"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M35"/>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06" min="1" max="1"/>
    <col width="16" customWidth="1" style="106" min="2" max="2"/>
    <col width="12" customWidth="1" style="106" min="3" max="3"/>
    <col width="9" customWidth="1" style="106" min="4" max="4"/>
    <col width="8" customWidth="1" style="106" min="5" max="5"/>
    <col width="13" customWidth="1" style="106" min="6" max="6"/>
    <col width="12" customWidth="1" style="106" min="7" max="7"/>
    <col width="13" customWidth="1" style="106" min="8" max="8"/>
    <col width="15" customWidth="1" style="106" min="9" max="9"/>
    <col width="13" customWidth="1" style="106" min="10" max="10"/>
    <col width="11" customWidth="1" style="106" min="11" max="11"/>
    <col width="15" customWidth="1" style="106" min="12" max="12"/>
    <col width="10" customWidth="1" style="106" min="13" max="13"/>
  </cols>
  <sheetData>
    <row r="1" ht="17.25" customHeight="1" s="107">
      <c r="A1" s="119" t="inlineStr">
        <is>
          <t>FY26 Commission Summary by Rep &amp; Quarter</t>
        </is>
      </c>
    </row>
    <row r="2" ht="15" customHeight="1" s="107">
      <c r="A2" s="110" t="inlineStr">
        <is>
          <t>Rolled up from Bookings Detail. Attainment below 85% is flagged for coaching; above 125% is flagged for accelerator review.</t>
        </is>
      </c>
    </row>
    <row r="4" ht="23.25" customHeight="1" s="107">
      <c r="A4" s="120" t="inlineStr">
        <is>
          <t>Rep ID</t>
        </is>
      </c>
      <c r="B4" s="120" t="inlineStr">
        <is>
          <t>Rep Name</t>
        </is>
      </c>
      <c r="C4" s="120" t="inlineStr">
        <is>
          <t>Segment</t>
        </is>
      </c>
      <c r="D4" s="120" t="inlineStr">
        <is>
          <t>Region</t>
        </is>
      </c>
      <c r="E4" s="120" t="inlineStr">
        <is>
          <t>Quarter</t>
        </is>
      </c>
      <c r="F4" s="120" t="inlineStr">
        <is>
          <t>New Biz ARR</t>
        </is>
      </c>
      <c r="G4" s="120" t="inlineStr">
        <is>
          <t>Upsell ARR</t>
        </is>
      </c>
      <c r="H4" s="120" t="inlineStr">
        <is>
          <t>Renewal ARR</t>
        </is>
      </c>
      <c r="I4" s="120" t="inlineStr">
        <is>
          <t>Total Bookings ARR</t>
        </is>
      </c>
      <c r="J4" s="120" t="inlineStr">
        <is>
          <t>Quota</t>
        </is>
      </c>
      <c r="K4" s="120" t="inlineStr">
        <is>
          <t>Attainment %</t>
        </is>
      </c>
      <c r="L4" s="120" t="inlineStr">
        <is>
          <t>Total Commission</t>
        </is>
      </c>
      <c r="M4" s="120" t="inlineStr">
        <is>
          <t>Deal Count</t>
        </is>
      </c>
    </row>
    <row r="5" ht="15" customHeight="1" s="107">
      <c r="A5" s="130" t="inlineStr">
        <is>
          <t>R001</t>
        </is>
      </c>
      <c r="B5" s="140">
        <f>INDEX('Sales Roster &amp; Quotas'!$C$6:$C$20,MATCH($A5,'Sales Roster &amp; Quotas'!$B$6:$B$20,0))</f>
        <v/>
      </c>
      <c r="C5" s="140">
        <f>INDEX('Sales Roster &amp; Quotas'!$D$6:$D$20,MATCH($A5,'Sales Roster &amp; Quotas'!$B$6:$B$20,0))</f>
        <v/>
      </c>
      <c r="D5" s="140">
        <f>INDEX('Sales Roster &amp; Quotas'!$E$6:$E$20,MATCH($A5,'Sales Roster &amp; Quotas'!$B$6:$B$20,0))</f>
        <v/>
      </c>
      <c r="E5" s="130" t="inlineStr">
        <is>
          <t>Q1</t>
        </is>
      </c>
      <c r="F5" s="142">
        <f>SUMIFS('Bookings Detail'!$K$5:$K$274,'Bookings Detail'!$B$5:$B$274,$A5,'Bookings Detail'!$G$5:$G$274,$E5,'Bookings Detail'!$H$5:$H$274,"New Business")</f>
        <v/>
      </c>
      <c r="G5" s="142">
        <f>SUMIFS('Bookings Detail'!$K$5:$K$274,'Bookings Detail'!$B$5:$B$274,$A5,'Bookings Detail'!$G$5:$G$274,$E5,'Bookings Detail'!$H$5:$H$274,"Upsell")</f>
        <v/>
      </c>
      <c r="H5" s="142">
        <f>SUMIFS('Bookings Detail'!$K$5:$K$274,'Bookings Detail'!$B$5:$B$274,$A5,'Bookings Detail'!$G$5:$G$274,$E5,'Bookings Detail'!$H$5:$H$274,"Renewal")</f>
        <v/>
      </c>
      <c r="I5" s="143">
        <f>F5+G5+H5</f>
        <v/>
      </c>
      <c r="J5" s="142">
        <f>INDEX('Sales Roster &amp; Quotas'!$G$6:$G$20,MATCH($A5,'Sales Roster &amp; Quotas'!$B$6:$B$20,0))</f>
        <v/>
      </c>
      <c r="K5" s="144">
        <f>IFERROR(F5/J5,0)</f>
        <v/>
      </c>
      <c r="L5" s="155">
        <f>SUMIFS('Bookings Detail'!$S$5:$S$274,'Bookings Detail'!$B$5:$B$274,$A5,'Bookings Detail'!$G$5:$G$274,$E5)</f>
        <v/>
      </c>
      <c r="M5" s="156">
        <f>SUMPRODUCT((('Bookings Detail'!$B$5:$B$274=$A5))*(('Bookings Detail'!$G$5:$G$274=$E5)))</f>
        <v/>
      </c>
    </row>
    <row r="6" ht="15" customHeight="1" s="107">
      <c r="A6" s="133" t="inlineStr">
        <is>
          <t>R001</t>
        </is>
      </c>
      <c r="B6" s="146">
        <f>INDEX('Sales Roster &amp; Quotas'!$C$6:$C$20,MATCH($A6,'Sales Roster &amp; Quotas'!$B$6:$B$20,0))</f>
        <v/>
      </c>
      <c r="C6" s="146">
        <f>INDEX('Sales Roster &amp; Quotas'!$D$6:$D$20,MATCH($A6,'Sales Roster &amp; Quotas'!$B$6:$B$20,0))</f>
        <v/>
      </c>
      <c r="D6" s="146">
        <f>INDEX('Sales Roster &amp; Quotas'!$E$6:$E$20,MATCH($A6,'Sales Roster &amp; Quotas'!$B$6:$B$20,0))</f>
        <v/>
      </c>
      <c r="E6" s="133" t="inlineStr">
        <is>
          <t>Q2</t>
        </is>
      </c>
      <c r="F6" s="148">
        <f>SUMIFS('Bookings Detail'!$K$5:$K$274,'Bookings Detail'!$B$5:$B$274,$A6,'Bookings Detail'!$G$5:$G$274,$E6,'Bookings Detail'!$H$5:$H$274,"New Business")</f>
        <v/>
      </c>
      <c r="G6" s="148">
        <f>SUMIFS('Bookings Detail'!$K$5:$K$274,'Bookings Detail'!$B$5:$B$274,$A6,'Bookings Detail'!$G$5:$G$274,$E6,'Bookings Detail'!$H$5:$H$274,"Upsell")</f>
        <v/>
      </c>
      <c r="H6" s="148">
        <f>SUMIFS('Bookings Detail'!$K$5:$K$274,'Bookings Detail'!$B$5:$B$274,$A6,'Bookings Detail'!$G$5:$G$274,$E6,'Bookings Detail'!$H$5:$H$274,"Renewal")</f>
        <v/>
      </c>
      <c r="I6" s="149">
        <f>F6+G6+H6</f>
        <v/>
      </c>
      <c r="J6" s="148">
        <f>INDEX('Sales Roster &amp; Quotas'!$G$6:$G$20,MATCH($A6,'Sales Roster &amp; Quotas'!$B$6:$B$20,0))</f>
        <v/>
      </c>
      <c r="K6" s="150">
        <f>IFERROR(F6/J6,0)</f>
        <v/>
      </c>
      <c r="L6" s="157">
        <f>SUMIFS('Bookings Detail'!$S$5:$S$274,'Bookings Detail'!$B$5:$B$274,$A6,'Bookings Detail'!$G$5:$G$274,$E6)</f>
        <v/>
      </c>
      <c r="M6" s="158">
        <f>SUMPRODUCT((('Bookings Detail'!$B$5:$B$274=$A6))*(('Bookings Detail'!$G$5:$G$274=$E6)))</f>
        <v/>
      </c>
    </row>
    <row r="7" ht="15" customHeight="1" s="107">
      <c r="A7" s="130" t="inlineStr">
        <is>
          <t>R002</t>
        </is>
      </c>
      <c r="B7" s="140">
        <f>INDEX('Sales Roster &amp; Quotas'!$C$6:$C$20,MATCH($A7,'Sales Roster &amp; Quotas'!$B$6:$B$20,0))</f>
        <v/>
      </c>
      <c r="C7" s="140">
        <f>INDEX('Sales Roster &amp; Quotas'!$D$6:$D$20,MATCH($A7,'Sales Roster &amp; Quotas'!$B$6:$B$20,0))</f>
        <v/>
      </c>
      <c r="D7" s="140">
        <f>INDEX('Sales Roster &amp; Quotas'!$E$6:$E$20,MATCH($A7,'Sales Roster &amp; Quotas'!$B$6:$B$20,0))</f>
        <v/>
      </c>
      <c r="E7" s="130" t="inlineStr">
        <is>
          <t>Q1</t>
        </is>
      </c>
      <c r="F7" s="142">
        <f>SUMIFS('Bookings Detail'!$K$5:$K$274,'Bookings Detail'!$B$5:$B$274,$A7,'Bookings Detail'!$G$5:$G$274,$E7,'Bookings Detail'!$H$5:$H$274,"New Business")</f>
        <v/>
      </c>
      <c r="G7" s="142">
        <f>SUMIFS('Bookings Detail'!$K$5:$K$274,'Bookings Detail'!$B$5:$B$274,$A7,'Bookings Detail'!$G$5:$G$274,$E7,'Bookings Detail'!$H$5:$H$274,"Upsell")</f>
        <v/>
      </c>
      <c r="H7" s="142">
        <f>SUMIFS('Bookings Detail'!$K$5:$K$274,'Bookings Detail'!$B$5:$B$274,$A7,'Bookings Detail'!$G$5:$G$274,$E7,'Bookings Detail'!$H$5:$H$274,"Renewal")</f>
        <v/>
      </c>
      <c r="I7" s="143">
        <f>F7+G7+H7</f>
        <v/>
      </c>
      <c r="J7" s="142">
        <f>INDEX('Sales Roster &amp; Quotas'!$G$6:$G$20,MATCH($A7,'Sales Roster &amp; Quotas'!$B$6:$B$20,0))</f>
        <v/>
      </c>
      <c r="K7" s="144">
        <f>IFERROR(F7/J7,0)</f>
        <v/>
      </c>
      <c r="L7" s="155">
        <f>SUMIFS('Bookings Detail'!$S$5:$S$274,'Bookings Detail'!$B$5:$B$274,$A7,'Bookings Detail'!$G$5:$G$274,$E7)</f>
        <v/>
      </c>
      <c r="M7" s="156">
        <f>SUMPRODUCT((('Bookings Detail'!$B$5:$B$274=$A7))*(('Bookings Detail'!$G$5:$G$274=$E7)))</f>
        <v/>
      </c>
    </row>
    <row r="8" ht="15" customHeight="1" s="107">
      <c r="A8" s="133" t="inlineStr">
        <is>
          <t>R002</t>
        </is>
      </c>
      <c r="B8" s="146">
        <f>INDEX('Sales Roster &amp; Quotas'!$C$6:$C$20,MATCH($A8,'Sales Roster &amp; Quotas'!$B$6:$B$20,0))</f>
        <v/>
      </c>
      <c r="C8" s="146">
        <f>INDEX('Sales Roster &amp; Quotas'!$D$6:$D$20,MATCH($A8,'Sales Roster &amp; Quotas'!$B$6:$B$20,0))</f>
        <v/>
      </c>
      <c r="D8" s="146">
        <f>INDEX('Sales Roster &amp; Quotas'!$E$6:$E$20,MATCH($A8,'Sales Roster &amp; Quotas'!$B$6:$B$20,0))</f>
        <v/>
      </c>
      <c r="E8" s="133" t="inlineStr">
        <is>
          <t>Q2</t>
        </is>
      </c>
      <c r="F8" s="148">
        <f>SUMIFS('Bookings Detail'!$K$5:$K$274,'Bookings Detail'!$B$5:$B$274,$A8,'Bookings Detail'!$G$5:$G$274,$E8,'Bookings Detail'!$H$5:$H$274,"New Business")</f>
        <v/>
      </c>
      <c r="G8" s="148">
        <f>SUMIFS('Bookings Detail'!$K$5:$K$274,'Bookings Detail'!$B$5:$B$274,$A8,'Bookings Detail'!$G$5:$G$274,$E8,'Bookings Detail'!$H$5:$H$274,"Upsell")</f>
        <v/>
      </c>
      <c r="H8" s="148">
        <f>SUMIFS('Bookings Detail'!$K$5:$K$274,'Bookings Detail'!$B$5:$B$274,$A8,'Bookings Detail'!$G$5:$G$274,$E8,'Bookings Detail'!$H$5:$H$274,"Renewal")</f>
        <v/>
      </c>
      <c r="I8" s="149">
        <f>F8+G8+H8</f>
        <v/>
      </c>
      <c r="J8" s="148">
        <f>INDEX('Sales Roster &amp; Quotas'!$G$6:$G$20,MATCH($A8,'Sales Roster &amp; Quotas'!$B$6:$B$20,0))</f>
        <v/>
      </c>
      <c r="K8" s="150">
        <f>IFERROR(F8/J8,0)</f>
        <v/>
      </c>
      <c r="L8" s="157">
        <f>SUMIFS('Bookings Detail'!$S$5:$S$274,'Bookings Detail'!$B$5:$B$274,$A8,'Bookings Detail'!$G$5:$G$274,$E8)</f>
        <v/>
      </c>
      <c r="M8" s="158">
        <f>SUMPRODUCT((('Bookings Detail'!$B$5:$B$274=$A8))*(('Bookings Detail'!$G$5:$G$274=$E8)))</f>
        <v/>
      </c>
    </row>
    <row r="9" ht="15" customHeight="1" s="107">
      <c r="A9" s="130" t="inlineStr">
        <is>
          <t>R003</t>
        </is>
      </c>
      <c r="B9" s="140">
        <f>INDEX('Sales Roster &amp; Quotas'!$C$6:$C$20,MATCH($A9,'Sales Roster &amp; Quotas'!$B$6:$B$20,0))</f>
        <v/>
      </c>
      <c r="C9" s="140">
        <f>INDEX('Sales Roster &amp; Quotas'!$D$6:$D$20,MATCH($A9,'Sales Roster &amp; Quotas'!$B$6:$B$20,0))</f>
        <v/>
      </c>
      <c r="D9" s="140">
        <f>INDEX('Sales Roster &amp; Quotas'!$E$6:$E$20,MATCH($A9,'Sales Roster &amp; Quotas'!$B$6:$B$20,0))</f>
        <v/>
      </c>
      <c r="E9" s="130" t="inlineStr">
        <is>
          <t>Q1</t>
        </is>
      </c>
      <c r="F9" s="142">
        <f>SUMIFS('Bookings Detail'!$K$5:$K$274,'Bookings Detail'!$B$5:$B$274,$A9,'Bookings Detail'!$G$5:$G$274,$E9,'Bookings Detail'!$H$5:$H$274,"New Business")</f>
        <v/>
      </c>
      <c r="G9" s="142">
        <f>SUMIFS('Bookings Detail'!$K$5:$K$274,'Bookings Detail'!$B$5:$B$274,$A9,'Bookings Detail'!$G$5:$G$274,$E9,'Bookings Detail'!$H$5:$H$274,"Upsell")</f>
        <v/>
      </c>
      <c r="H9" s="142">
        <f>SUMIFS('Bookings Detail'!$K$5:$K$274,'Bookings Detail'!$B$5:$B$274,$A9,'Bookings Detail'!$G$5:$G$274,$E9,'Bookings Detail'!$H$5:$H$274,"Renewal")</f>
        <v/>
      </c>
      <c r="I9" s="143">
        <f>F9+G9+H9</f>
        <v/>
      </c>
      <c r="J9" s="142">
        <f>INDEX('Sales Roster &amp; Quotas'!$G$6:$G$20,MATCH($A9,'Sales Roster &amp; Quotas'!$B$6:$B$20,0))</f>
        <v/>
      </c>
      <c r="K9" s="144">
        <f>IFERROR(F9/J9,0)</f>
        <v/>
      </c>
      <c r="L9" s="155">
        <f>SUMIFS('Bookings Detail'!$S$5:$S$274,'Bookings Detail'!$B$5:$B$274,$A9,'Bookings Detail'!$G$5:$G$274,$E9)</f>
        <v/>
      </c>
      <c r="M9" s="156">
        <f>SUMPRODUCT((('Bookings Detail'!$B$5:$B$274=$A9))*(('Bookings Detail'!$G$5:$G$274=$E9)))</f>
        <v/>
      </c>
    </row>
    <row r="10" ht="15" customHeight="1" s="107">
      <c r="A10" s="133" t="inlineStr">
        <is>
          <t>R003</t>
        </is>
      </c>
      <c r="B10" s="146">
        <f>INDEX('Sales Roster &amp; Quotas'!$C$6:$C$20,MATCH($A10,'Sales Roster &amp; Quotas'!$B$6:$B$20,0))</f>
        <v/>
      </c>
      <c r="C10" s="146">
        <f>INDEX('Sales Roster &amp; Quotas'!$D$6:$D$20,MATCH($A10,'Sales Roster &amp; Quotas'!$B$6:$B$20,0))</f>
        <v/>
      </c>
      <c r="D10" s="146">
        <f>INDEX('Sales Roster &amp; Quotas'!$E$6:$E$20,MATCH($A10,'Sales Roster &amp; Quotas'!$B$6:$B$20,0))</f>
        <v/>
      </c>
      <c r="E10" s="133" t="inlineStr">
        <is>
          <t>Q2</t>
        </is>
      </c>
      <c r="F10" s="148">
        <f>SUMIFS('Bookings Detail'!$K$5:$K$274,'Bookings Detail'!$B$5:$B$274,$A10,'Bookings Detail'!$G$5:$G$274,$E10,'Bookings Detail'!$H$5:$H$274,"New Business")</f>
        <v/>
      </c>
      <c r="G10" s="148">
        <f>SUMIFS('Bookings Detail'!$K$5:$K$274,'Bookings Detail'!$B$5:$B$274,$A10,'Bookings Detail'!$G$5:$G$274,$E10,'Bookings Detail'!$H$5:$H$274,"Upsell")</f>
        <v/>
      </c>
      <c r="H10" s="148">
        <f>SUMIFS('Bookings Detail'!$K$5:$K$274,'Bookings Detail'!$B$5:$B$274,$A10,'Bookings Detail'!$G$5:$G$274,$E10,'Bookings Detail'!$H$5:$H$274,"Renewal")</f>
        <v/>
      </c>
      <c r="I10" s="149">
        <f>F10+G10+H10</f>
        <v/>
      </c>
      <c r="J10" s="148">
        <f>INDEX('Sales Roster &amp; Quotas'!$G$6:$G$20,MATCH($A10,'Sales Roster &amp; Quotas'!$B$6:$B$20,0))</f>
        <v/>
      </c>
      <c r="K10" s="150">
        <f>IFERROR(F10/J10,0)</f>
        <v/>
      </c>
      <c r="L10" s="157">
        <f>SUMIFS('Bookings Detail'!$S$5:$S$274,'Bookings Detail'!$B$5:$B$274,$A10,'Bookings Detail'!$G$5:$G$274,$E10)</f>
        <v/>
      </c>
      <c r="M10" s="158">
        <f>SUMPRODUCT((('Bookings Detail'!$B$5:$B$274=$A10))*(('Bookings Detail'!$G$5:$G$274=$E10)))</f>
        <v/>
      </c>
    </row>
    <row r="11" ht="15" customHeight="1" s="107">
      <c r="A11" s="130" t="inlineStr">
        <is>
          <t>R004</t>
        </is>
      </c>
      <c r="B11" s="140">
        <f>INDEX('Sales Roster &amp; Quotas'!$C$6:$C$20,MATCH($A11,'Sales Roster &amp; Quotas'!$B$6:$B$20,0))</f>
        <v/>
      </c>
      <c r="C11" s="140">
        <f>INDEX('Sales Roster &amp; Quotas'!$D$6:$D$20,MATCH($A11,'Sales Roster &amp; Quotas'!$B$6:$B$20,0))</f>
        <v/>
      </c>
      <c r="D11" s="140">
        <f>INDEX('Sales Roster &amp; Quotas'!$E$6:$E$20,MATCH($A11,'Sales Roster &amp; Quotas'!$B$6:$B$20,0))</f>
        <v/>
      </c>
      <c r="E11" s="130" t="inlineStr">
        <is>
          <t>Q1</t>
        </is>
      </c>
      <c r="F11" s="142">
        <f>SUMIFS('Bookings Detail'!$K$5:$K$274,'Bookings Detail'!$B$5:$B$274,$A11,'Bookings Detail'!$G$5:$G$274,$E11,'Bookings Detail'!$H$5:$H$274,"New Business")</f>
        <v/>
      </c>
      <c r="G11" s="142">
        <f>SUMIFS('Bookings Detail'!$K$5:$K$274,'Bookings Detail'!$B$5:$B$274,$A11,'Bookings Detail'!$G$5:$G$274,$E11,'Bookings Detail'!$H$5:$H$274,"Upsell")</f>
        <v/>
      </c>
      <c r="H11" s="142">
        <f>SUMIFS('Bookings Detail'!$K$5:$K$274,'Bookings Detail'!$B$5:$B$274,$A11,'Bookings Detail'!$G$5:$G$274,$E11,'Bookings Detail'!$H$5:$H$274,"Renewal")</f>
        <v/>
      </c>
      <c r="I11" s="143">
        <f>F11+G11+H11</f>
        <v/>
      </c>
      <c r="J11" s="142">
        <f>INDEX('Sales Roster &amp; Quotas'!$G$6:$G$20,MATCH($A11,'Sales Roster &amp; Quotas'!$B$6:$B$20,0))</f>
        <v/>
      </c>
      <c r="K11" s="144">
        <f>IFERROR(F11/J11,0)</f>
        <v/>
      </c>
      <c r="L11" s="155">
        <f>SUMIFS('Bookings Detail'!$S$5:$S$274,'Bookings Detail'!$B$5:$B$274,$A11,'Bookings Detail'!$G$5:$G$274,$E11)</f>
        <v/>
      </c>
      <c r="M11" s="156">
        <f>SUMPRODUCT((('Bookings Detail'!$B$5:$B$274=$A11))*(('Bookings Detail'!$G$5:$G$274=$E11)))</f>
        <v/>
      </c>
    </row>
    <row r="12" ht="15" customHeight="1" s="107">
      <c r="A12" s="133" t="inlineStr">
        <is>
          <t>R004</t>
        </is>
      </c>
      <c r="B12" s="146">
        <f>INDEX('Sales Roster &amp; Quotas'!$C$6:$C$20,MATCH($A12,'Sales Roster &amp; Quotas'!$B$6:$B$20,0))</f>
        <v/>
      </c>
      <c r="C12" s="146">
        <f>INDEX('Sales Roster &amp; Quotas'!$D$6:$D$20,MATCH($A12,'Sales Roster &amp; Quotas'!$B$6:$B$20,0))</f>
        <v/>
      </c>
      <c r="D12" s="146">
        <f>INDEX('Sales Roster &amp; Quotas'!$E$6:$E$20,MATCH($A12,'Sales Roster &amp; Quotas'!$B$6:$B$20,0))</f>
        <v/>
      </c>
      <c r="E12" s="133" t="inlineStr">
        <is>
          <t>Q2</t>
        </is>
      </c>
      <c r="F12" s="148">
        <f>SUMIFS('Bookings Detail'!$K$5:$K$274,'Bookings Detail'!$B$5:$B$274,$A12,'Bookings Detail'!$G$5:$G$274,$E12,'Bookings Detail'!$H$5:$H$274,"New Business")</f>
        <v/>
      </c>
      <c r="G12" s="148">
        <f>SUMIFS('Bookings Detail'!$K$5:$K$274,'Bookings Detail'!$B$5:$B$274,$A12,'Bookings Detail'!$G$5:$G$274,$E12,'Bookings Detail'!$H$5:$H$274,"Upsell")</f>
        <v/>
      </c>
      <c r="H12" s="148">
        <f>SUMIFS('Bookings Detail'!$K$5:$K$274,'Bookings Detail'!$B$5:$B$274,$A12,'Bookings Detail'!$G$5:$G$274,$E12,'Bookings Detail'!$H$5:$H$274,"Renewal")</f>
        <v/>
      </c>
      <c r="I12" s="149">
        <f>F12+G12+H12</f>
        <v/>
      </c>
      <c r="J12" s="148">
        <f>INDEX('Sales Roster &amp; Quotas'!$G$6:$G$20,MATCH($A12,'Sales Roster &amp; Quotas'!$B$6:$B$20,0))</f>
        <v/>
      </c>
      <c r="K12" s="150">
        <f>IFERROR(F12/J12,0)</f>
        <v/>
      </c>
      <c r="L12" s="157">
        <f>SUMIFS('Bookings Detail'!$S$5:$S$274,'Bookings Detail'!$B$5:$B$274,$A12,'Bookings Detail'!$G$5:$G$274,$E12)</f>
        <v/>
      </c>
      <c r="M12" s="158">
        <f>SUMPRODUCT((('Bookings Detail'!$B$5:$B$274=$A12))*(('Bookings Detail'!$G$5:$G$274=$E12)))</f>
        <v/>
      </c>
    </row>
    <row r="13" ht="15" customHeight="1" s="107">
      <c r="A13" s="130" t="inlineStr">
        <is>
          <t>R005</t>
        </is>
      </c>
      <c r="B13" s="140">
        <f>INDEX('Sales Roster &amp; Quotas'!$C$6:$C$20,MATCH($A13,'Sales Roster &amp; Quotas'!$B$6:$B$20,0))</f>
        <v/>
      </c>
      <c r="C13" s="140">
        <f>INDEX('Sales Roster &amp; Quotas'!$D$6:$D$20,MATCH($A13,'Sales Roster &amp; Quotas'!$B$6:$B$20,0))</f>
        <v/>
      </c>
      <c r="D13" s="140">
        <f>INDEX('Sales Roster &amp; Quotas'!$E$6:$E$20,MATCH($A13,'Sales Roster &amp; Quotas'!$B$6:$B$20,0))</f>
        <v/>
      </c>
      <c r="E13" s="130" t="inlineStr">
        <is>
          <t>Q1</t>
        </is>
      </c>
      <c r="F13" s="142">
        <f>SUMIFS('Bookings Detail'!$K$5:$K$274,'Bookings Detail'!$B$5:$B$274,$A13,'Bookings Detail'!$G$5:$G$274,$E13,'Bookings Detail'!$H$5:$H$274,"New Business")</f>
        <v/>
      </c>
      <c r="G13" s="142">
        <f>SUMIFS('Bookings Detail'!$K$5:$K$274,'Bookings Detail'!$B$5:$B$274,$A13,'Bookings Detail'!$G$5:$G$274,$E13,'Bookings Detail'!$H$5:$H$274,"Upsell")</f>
        <v/>
      </c>
      <c r="H13" s="142">
        <f>SUMIFS('Bookings Detail'!$K$5:$K$274,'Bookings Detail'!$B$5:$B$274,$A13,'Bookings Detail'!$G$5:$G$274,$E13,'Bookings Detail'!$H$5:$H$274,"Renewal")</f>
        <v/>
      </c>
      <c r="I13" s="143">
        <f>F13+G13+H13</f>
        <v/>
      </c>
      <c r="J13" s="142">
        <f>INDEX('Sales Roster &amp; Quotas'!$G$6:$G$20,MATCH($A13,'Sales Roster &amp; Quotas'!$B$6:$B$20,0))</f>
        <v/>
      </c>
      <c r="K13" s="144">
        <f>IFERROR(F13/J13,0)</f>
        <v/>
      </c>
      <c r="L13" s="155">
        <f>SUMIFS('Bookings Detail'!$S$5:$S$274,'Bookings Detail'!$B$5:$B$274,$A13,'Bookings Detail'!$G$5:$G$274,$E13)</f>
        <v/>
      </c>
      <c r="M13" s="156">
        <f>SUMPRODUCT((('Bookings Detail'!$B$5:$B$274=$A13))*(('Bookings Detail'!$G$5:$G$274=$E13)))</f>
        <v/>
      </c>
    </row>
    <row r="14" ht="15" customHeight="1" s="107">
      <c r="A14" s="133" t="inlineStr">
        <is>
          <t>R005</t>
        </is>
      </c>
      <c r="B14" s="146">
        <f>INDEX('Sales Roster &amp; Quotas'!$C$6:$C$20,MATCH($A14,'Sales Roster &amp; Quotas'!$B$6:$B$20,0))</f>
        <v/>
      </c>
      <c r="C14" s="146">
        <f>INDEX('Sales Roster &amp; Quotas'!$D$6:$D$20,MATCH($A14,'Sales Roster &amp; Quotas'!$B$6:$B$20,0))</f>
        <v/>
      </c>
      <c r="D14" s="146">
        <f>INDEX('Sales Roster &amp; Quotas'!$E$6:$E$20,MATCH($A14,'Sales Roster &amp; Quotas'!$B$6:$B$20,0))</f>
        <v/>
      </c>
      <c r="E14" s="133" t="inlineStr">
        <is>
          <t>Q2</t>
        </is>
      </c>
      <c r="F14" s="148">
        <f>SUMIFS('Bookings Detail'!$K$5:$K$274,'Bookings Detail'!$B$5:$B$274,$A14,'Bookings Detail'!$G$5:$G$274,$E14,'Bookings Detail'!$H$5:$H$274,"New Business")</f>
        <v/>
      </c>
      <c r="G14" s="148">
        <f>SUMIFS('Bookings Detail'!$K$5:$K$274,'Bookings Detail'!$B$5:$B$274,$A14,'Bookings Detail'!$G$5:$G$274,$E14,'Bookings Detail'!$H$5:$H$274,"Upsell")</f>
        <v/>
      </c>
      <c r="H14" s="148">
        <f>SUMIFS('Bookings Detail'!$K$5:$K$274,'Bookings Detail'!$B$5:$B$274,$A14,'Bookings Detail'!$G$5:$G$274,$E14,'Bookings Detail'!$H$5:$H$274,"Renewal")</f>
        <v/>
      </c>
      <c r="I14" s="149">
        <f>F14+G14+H14</f>
        <v/>
      </c>
      <c r="J14" s="148">
        <f>INDEX('Sales Roster &amp; Quotas'!$G$6:$G$20,MATCH($A14,'Sales Roster &amp; Quotas'!$B$6:$B$20,0))</f>
        <v/>
      </c>
      <c r="K14" s="150">
        <f>IFERROR(F14/J14,0)</f>
        <v/>
      </c>
      <c r="L14" s="157">
        <f>SUMIFS('Bookings Detail'!$S$5:$S$274,'Bookings Detail'!$B$5:$B$274,$A14,'Bookings Detail'!$G$5:$G$274,$E14)</f>
        <v/>
      </c>
      <c r="M14" s="158">
        <f>SUMPRODUCT((('Bookings Detail'!$B$5:$B$274=$A14))*(('Bookings Detail'!$G$5:$G$274=$E14)))</f>
        <v/>
      </c>
    </row>
    <row r="15" ht="15" customHeight="1" s="107">
      <c r="A15" s="130" t="inlineStr">
        <is>
          <t>R006</t>
        </is>
      </c>
      <c r="B15" s="140">
        <f>INDEX('Sales Roster &amp; Quotas'!$C$6:$C$20,MATCH($A15,'Sales Roster &amp; Quotas'!$B$6:$B$20,0))</f>
        <v/>
      </c>
      <c r="C15" s="140">
        <f>INDEX('Sales Roster &amp; Quotas'!$D$6:$D$20,MATCH($A15,'Sales Roster &amp; Quotas'!$B$6:$B$20,0))</f>
        <v/>
      </c>
      <c r="D15" s="140">
        <f>INDEX('Sales Roster &amp; Quotas'!$E$6:$E$20,MATCH($A15,'Sales Roster &amp; Quotas'!$B$6:$B$20,0))</f>
        <v/>
      </c>
      <c r="E15" s="130" t="inlineStr">
        <is>
          <t>Q1</t>
        </is>
      </c>
      <c r="F15" s="142">
        <f>SUMIFS('Bookings Detail'!$K$5:$K$274,'Bookings Detail'!$B$5:$B$274,$A15,'Bookings Detail'!$G$5:$G$274,$E15,'Bookings Detail'!$H$5:$H$274,"New Business")</f>
        <v/>
      </c>
      <c r="G15" s="142">
        <f>SUMIFS('Bookings Detail'!$K$5:$K$274,'Bookings Detail'!$B$5:$B$274,$A15,'Bookings Detail'!$G$5:$G$274,$E15,'Bookings Detail'!$H$5:$H$274,"Upsell")</f>
        <v/>
      </c>
      <c r="H15" s="142">
        <f>SUMIFS('Bookings Detail'!$K$5:$K$274,'Bookings Detail'!$B$5:$B$274,$A15,'Bookings Detail'!$G$5:$G$274,$E15,'Bookings Detail'!$H$5:$H$274,"Renewal")</f>
        <v/>
      </c>
      <c r="I15" s="143">
        <f>F15+G15+H15</f>
        <v/>
      </c>
      <c r="J15" s="142">
        <f>INDEX('Sales Roster &amp; Quotas'!$G$6:$G$20,MATCH($A15,'Sales Roster &amp; Quotas'!$B$6:$B$20,0))</f>
        <v/>
      </c>
      <c r="K15" s="144">
        <f>IFERROR(F15/J15,0)</f>
        <v/>
      </c>
      <c r="L15" s="155">
        <f>SUMIFS('Bookings Detail'!$S$5:$S$274,'Bookings Detail'!$B$5:$B$274,$A15,'Bookings Detail'!$G$5:$G$274,$E15)</f>
        <v/>
      </c>
      <c r="M15" s="156">
        <f>SUMPRODUCT((('Bookings Detail'!$B$5:$B$274=$A15))*(('Bookings Detail'!$G$5:$G$274=$E15)))</f>
        <v/>
      </c>
    </row>
    <row r="16" ht="15" customHeight="1" s="107">
      <c r="A16" s="133" t="inlineStr">
        <is>
          <t>R006</t>
        </is>
      </c>
      <c r="B16" s="146">
        <f>INDEX('Sales Roster &amp; Quotas'!$C$6:$C$20,MATCH($A16,'Sales Roster &amp; Quotas'!$B$6:$B$20,0))</f>
        <v/>
      </c>
      <c r="C16" s="146">
        <f>INDEX('Sales Roster &amp; Quotas'!$D$6:$D$20,MATCH($A16,'Sales Roster &amp; Quotas'!$B$6:$B$20,0))</f>
        <v/>
      </c>
      <c r="D16" s="146">
        <f>INDEX('Sales Roster &amp; Quotas'!$E$6:$E$20,MATCH($A16,'Sales Roster &amp; Quotas'!$B$6:$B$20,0))</f>
        <v/>
      </c>
      <c r="E16" s="133" t="inlineStr">
        <is>
          <t>Q2</t>
        </is>
      </c>
      <c r="F16" s="148">
        <f>SUMIFS('Bookings Detail'!$K$5:$K$274,'Bookings Detail'!$B$5:$B$274,$A16,'Bookings Detail'!$G$5:$G$274,$E16,'Bookings Detail'!$H$5:$H$274,"New Business")</f>
        <v/>
      </c>
      <c r="G16" s="148">
        <f>SUMIFS('Bookings Detail'!$K$5:$K$274,'Bookings Detail'!$B$5:$B$274,$A16,'Bookings Detail'!$G$5:$G$274,$E16,'Bookings Detail'!$H$5:$H$274,"Upsell")</f>
        <v/>
      </c>
      <c r="H16" s="148">
        <f>SUMIFS('Bookings Detail'!$K$5:$K$274,'Bookings Detail'!$B$5:$B$274,$A16,'Bookings Detail'!$G$5:$G$274,$E16,'Bookings Detail'!$H$5:$H$274,"Renewal")</f>
        <v/>
      </c>
      <c r="I16" s="149">
        <f>F16+G16+H16</f>
        <v/>
      </c>
      <c r="J16" s="148">
        <f>INDEX('Sales Roster &amp; Quotas'!$G$6:$G$20,MATCH($A16,'Sales Roster &amp; Quotas'!$B$6:$B$20,0))</f>
        <v/>
      </c>
      <c r="K16" s="150">
        <f>IFERROR(F16/J16,0)</f>
        <v/>
      </c>
      <c r="L16" s="157">
        <f>SUMIFS('Bookings Detail'!$S$5:$S$274,'Bookings Detail'!$B$5:$B$274,$A16,'Bookings Detail'!$G$5:$G$274,$E16)</f>
        <v/>
      </c>
      <c r="M16" s="158">
        <f>SUMPRODUCT((('Bookings Detail'!$B$5:$B$274=$A16))*(('Bookings Detail'!$G$5:$G$274=$E16)))</f>
        <v/>
      </c>
    </row>
    <row r="17" ht="15" customHeight="1" s="107">
      <c r="A17" s="130" t="inlineStr">
        <is>
          <t>R007</t>
        </is>
      </c>
      <c r="B17" s="140">
        <f>INDEX('Sales Roster &amp; Quotas'!$C$6:$C$20,MATCH($A17,'Sales Roster &amp; Quotas'!$B$6:$B$20,0))</f>
        <v/>
      </c>
      <c r="C17" s="140">
        <f>INDEX('Sales Roster &amp; Quotas'!$D$6:$D$20,MATCH($A17,'Sales Roster &amp; Quotas'!$B$6:$B$20,0))</f>
        <v/>
      </c>
      <c r="D17" s="140">
        <f>INDEX('Sales Roster &amp; Quotas'!$E$6:$E$20,MATCH($A17,'Sales Roster &amp; Quotas'!$B$6:$B$20,0))</f>
        <v/>
      </c>
      <c r="E17" s="130" t="inlineStr">
        <is>
          <t>Q1</t>
        </is>
      </c>
      <c r="F17" s="142">
        <f>SUMIFS('Bookings Detail'!$K$5:$K$274,'Bookings Detail'!$B$5:$B$274,$A17,'Bookings Detail'!$G$5:$G$274,$E17,'Bookings Detail'!$H$5:$H$274,"New Business")</f>
        <v/>
      </c>
      <c r="G17" s="142">
        <f>SUMIFS('Bookings Detail'!$K$5:$K$274,'Bookings Detail'!$B$5:$B$274,$A17,'Bookings Detail'!$G$5:$G$274,$E17,'Bookings Detail'!$H$5:$H$274,"Upsell")</f>
        <v/>
      </c>
      <c r="H17" s="142">
        <f>SUMIFS('Bookings Detail'!$K$5:$K$274,'Bookings Detail'!$B$5:$B$274,$A17,'Bookings Detail'!$G$5:$G$274,$E17,'Bookings Detail'!$H$5:$H$274,"Renewal")</f>
        <v/>
      </c>
      <c r="I17" s="143">
        <f>F17+G17+H17</f>
        <v/>
      </c>
      <c r="J17" s="142">
        <f>INDEX('Sales Roster &amp; Quotas'!$G$6:$G$20,MATCH($A17,'Sales Roster &amp; Quotas'!$B$6:$B$20,0))</f>
        <v/>
      </c>
      <c r="K17" s="144">
        <f>IFERROR(F17/J17,0)</f>
        <v/>
      </c>
      <c r="L17" s="155">
        <f>SUMIFS('Bookings Detail'!$S$5:$S$274,'Bookings Detail'!$B$5:$B$274,$A17,'Bookings Detail'!$G$5:$G$274,$E17)</f>
        <v/>
      </c>
      <c r="M17" s="156">
        <f>SUMPRODUCT((('Bookings Detail'!$B$5:$B$274=$A17))*(('Bookings Detail'!$G$5:$G$274=$E17)))</f>
        <v/>
      </c>
    </row>
    <row r="18" ht="15" customHeight="1" s="107">
      <c r="A18" s="133" t="inlineStr">
        <is>
          <t>R007</t>
        </is>
      </c>
      <c r="B18" s="146">
        <f>INDEX('Sales Roster &amp; Quotas'!$C$6:$C$20,MATCH($A18,'Sales Roster &amp; Quotas'!$B$6:$B$20,0))</f>
        <v/>
      </c>
      <c r="C18" s="146">
        <f>INDEX('Sales Roster &amp; Quotas'!$D$6:$D$20,MATCH($A18,'Sales Roster &amp; Quotas'!$B$6:$B$20,0))</f>
        <v/>
      </c>
      <c r="D18" s="146">
        <f>INDEX('Sales Roster &amp; Quotas'!$E$6:$E$20,MATCH($A18,'Sales Roster &amp; Quotas'!$B$6:$B$20,0))</f>
        <v/>
      </c>
      <c r="E18" s="133" t="inlineStr">
        <is>
          <t>Q2</t>
        </is>
      </c>
      <c r="F18" s="148">
        <f>SUMIFS('Bookings Detail'!$K$5:$K$274,'Bookings Detail'!$B$5:$B$274,$A18,'Bookings Detail'!$G$5:$G$274,$E18,'Bookings Detail'!$H$5:$H$274,"New Business")</f>
        <v/>
      </c>
      <c r="G18" s="148">
        <f>SUMIFS('Bookings Detail'!$K$5:$K$274,'Bookings Detail'!$B$5:$B$274,$A18,'Bookings Detail'!$G$5:$G$274,$E18,'Bookings Detail'!$H$5:$H$274,"Upsell")</f>
        <v/>
      </c>
      <c r="H18" s="148">
        <f>SUMIFS('Bookings Detail'!$K$5:$K$274,'Bookings Detail'!$B$5:$B$274,$A18,'Bookings Detail'!$G$5:$G$274,$E18,'Bookings Detail'!$H$5:$H$274,"Renewal")</f>
        <v/>
      </c>
      <c r="I18" s="149">
        <f>F18+G18+H18</f>
        <v/>
      </c>
      <c r="J18" s="148">
        <f>INDEX('Sales Roster &amp; Quotas'!$G$6:$G$20,MATCH($A18,'Sales Roster &amp; Quotas'!$B$6:$B$20,0))</f>
        <v/>
      </c>
      <c r="K18" s="150">
        <f>IFERROR(F18/J18,0)</f>
        <v/>
      </c>
      <c r="L18" s="157">
        <f>SUMIFS('Bookings Detail'!$S$5:$S$274,'Bookings Detail'!$B$5:$B$274,$A18,'Bookings Detail'!$G$5:$G$274,$E18)</f>
        <v/>
      </c>
      <c r="M18" s="158">
        <f>SUMPRODUCT((('Bookings Detail'!$B$5:$B$274=$A18))*(('Bookings Detail'!$G$5:$G$274=$E18)))</f>
        <v/>
      </c>
    </row>
    <row r="19" ht="15" customHeight="1" s="107">
      <c r="A19" s="130" t="inlineStr">
        <is>
          <t>R008</t>
        </is>
      </c>
      <c r="B19" s="140">
        <f>INDEX('Sales Roster &amp; Quotas'!$C$6:$C$20,MATCH($A19,'Sales Roster &amp; Quotas'!$B$6:$B$20,0))</f>
        <v/>
      </c>
      <c r="C19" s="140">
        <f>INDEX('Sales Roster &amp; Quotas'!$D$6:$D$20,MATCH($A19,'Sales Roster &amp; Quotas'!$B$6:$B$20,0))</f>
        <v/>
      </c>
      <c r="D19" s="140">
        <f>INDEX('Sales Roster &amp; Quotas'!$E$6:$E$20,MATCH($A19,'Sales Roster &amp; Quotas'!$B$6:$B$20,0))</f>
        <v/>
      </c>
      <c r="E19" s="130" t="inlineStr">
        <is>
          <t>Q1</t>
        </is>
      </c>
      <c r="F19" s="142">
        <f>SUMIFS('Bookings Detail'!$K$5:$K$274,'Bookings Detail'!$B$5:$B$274,$A19,'Bookings Detail'!$G$5:$G$274,$E19,'Bookings Detail'!$H$5:$H$274,"New Business")</f>
        <v/>
      </c>
      <c r="G19" s="142">
        <f>SUMIFS('Bookings Detail'!$K$5:$K$274,'Bookings Detail'!$B$5:$B$274,$A19,'Bookings Detail'!$G$5:$G$274,$E19,'Bookings Detail'!$H$5:$H$274,"Upsell")</f>
        <v/>
      </c>
      <c r="H19" s="142">
        <f>SUMIFS('Bookings Detail'!$K$5:$K$274,'Bookings Detail'!$B$5:$B$274,$A19,'Bookings Detail'!$G$5:$G$274,$E19,'Bookings Detail'!$H$5:$H$274,"Renewal")</f>
        <v/>
      </c>
      <c r="I19" s="143">
        <f>F19+G19+H19</f>
        <v/>
      </c>
      <c r="J19" s="142">
        <f>INDEX('Sales Roster &amp; Quotas'!$G$6:$G$20,MATCH($A19,'Sales Roster &amp; Quotas'!$B$6:$B$20,0))</f>
        <v/>
      </c>
      <c r="K19" s="144">
        <f>IFERROR(F19/J19,0)</f>
        <v/>
      </c>
      <c r="L19" s="155">
        <f>SUMIFS('Bookings Detail'!$S$5:$S$274,'Bookings Detail'!$B$5:$B$274,$A19,'Bookings Detail'!$G$5:$G$274,$E19)</f>
        <v/>
      </c>
      <c r="M19" s="156">
        <f>SUMPRODUCT((('Bookings Detail'!$B$5:$B$274=$A19))*(('Bookings Detail'!$G$5:$G$274=$E19)))</f>
        <v/>
      </c>
    </row>
    <row r="20" ht="15" customHeight="1" s="107">
      <c r="A20" s="133" t="inlineStr">
        <is>
          <t>R008</t>
        </is>
      </c>
      <c r="B20" s="146">
        <f>INDEX('Sales Roster &amp; Quotas'!$C$6:$C$20,MATCH($A20,'Sales Roster &amp; Quotas'!$B$6:$B$20,0))</f>
        <v/>
      </c>
      <c r="C20" s="146">
        <f>INDEX('Sales Roster &amp; Quotas'!$D$6:$D$20,MATCH($A20,'Sales Roster &amp; Quotas'!$B$6:$B$20,0))</f>
        <v/>
      </c>
      <c r="D20" s="146">
        <f>INDEX('Sales Roster &amp; Quotas'!$E$6:$E$20,MATCH($A20,'Sales Roster &amp; Quotas'!$B$6:$B$20,0))</f>
        <v/>
      </c>
      <c r="E20" s="133" t="inlineStr">
        <is>
          <t>Q2</t>
        </is>
      </c>
      <c r="F20" s="148">
        <f>SUMIFS('Bookings Detail'!$K$5:$K$274,'Bookings Detail'!$B$5:$B$274,$A20,'Bookings Detail'!$G$5:$G$274,$E20,'Bookings Detail'!$H$5:$H$274,"New Business")</f>
        <v/>
      </c>
      <c r="G20" s="148">
        <f>SUMIFS('Bookings Detail'!$K$5:$K$274,'Bookings Detail'!$B$5:$B$274,$A20,'Bookings Detail'!$G$5:$G$274,$E20,'Bookings Detail'!$H$5:$H$274,"Upsell")</f>
        <v/>
      </c>
      <c r="H20" s="148">
        <f>SUMIFS('Bookings Detail'!$K$5:$K$274,'Bookings Detail'!$B$5:$B$274,$A20,'Bookings Detail'!$G$5:$G$274,$E20,'Bookings Detail'!$H$5:$H$274,"Renewal")</f>
        <v/>
      </c>
      <c r="I20" s="149">
        <f>F20+G20+H20</f>
        <v/>
      </c>
      <c r="J20" s="148">
        <f>INDEX('Sales Roster &amp; Quotas'!$G$6:$G$20,MATCH($A20,'Sales Roster &amp; Quotas'!$B$6:$B$20,0))</f>
        <v/>
      </c>
      <c r="K20" s="150">
        <f>IFERROR(F20/J20,0)</f>
        <v/>
      </c>
      <c r="L20" s="157">
        <f>SUMIFS('Bookings Detail'!$S$5:$S$274,'Bookings Detail'!$B$5:$B$274,$A20,'Bookings Detail'!$G$5:$G$274,$E20)</f>
        <v/>
      </c>
      <c r="M20" s="158">
        <f>SUMPRODUCT((('Bookings Detail'!$B$5:$B$274=$A20))*(('Bookings Detail'!$G$5:$G$274=$E20)))</f>
        <v/>
      </c>
    </row>
    <row r="21" ht="15" customHeight="1" s="107">
      <c r="A21" s="130" t="inlineStr">
        <is>
          <t>R009</t>
        </is>
      </c>
      <c r="B21" s="140">
        <f>INDEX('Sales Roster &amp; Quotas'!$C$6:$C$20,MATCH($A21,'Sales Roster &amp; Quotas'!$B$6:$B$20,0))</f>
        <v/>
      </c>
      <c r="C21" s="140">
        <f>INDEX('Sales Roster &amp; Quotas'!$D$6:$D$20,MATCH($A21,'Sales Roster &amp; Quotas'!$B$6:$B$20,0))</f>
        <v/>
      </c>
      <c r="D21" s="140">
        <f>INDEX('Sales Roster &amp; Quotas'!$E$6:$E$20,MATCH($A21,'Sales Roster &amp; Quotas'!$B$6:$B$20,0))</f>
        <v/>
      </c>
      <c r="E21" s="130" t="inlineStr">
        <is>
          <t>Q1</t>
        </is>
      </c>
      <c r="F21" s="142">
        <f>SUMIFS('Bookings Detail'!$K$5:$K$274,'Bookings Detail'!$B$5:$B$274,$A21,'Bookings Detail'!$G$5:$G$274,$E21,'Bookings Detail'!$H$5:$H$274,"New Business")</f>
        <v/>
      </c>
      <c r="G21" s="142">
        <f>SUMIFS('Bookings Detail'!$K$5:$K$274,'Bookings Detail'!$B$5:$B$274,$A21,'Bookings Detail'!$G$5:$G$274,$E21,'Bookings Detail'!$H$5:$H$274,"Upsell")</f>
        <v/>
      </c>
      <c r="H21" s="142">
        <f>SUMIFS('Bookings Detail'!$K$5:$K$274,'Bookings Detail'!$B$5:$B$274,$A21,'Bookings Detail'!$G$5:$G$274,$E21,'Bookings Detail'!$H$5:$H$274,"Renewal")</f>
        <v/>
      </c>
      <c r="I21" s="143">
        <f>F21+G21+H21</f>
        <v/>
      </c>
      <c r="J21" s="142">
        <f>INDEX('Sales Roster &amp; Quotas'!$G$6:$G$20,MATCH($A21,'Sales Roster &amp; Quotas'!$B$6:$B$20,0))</f>
        <v/>
      </c>
      <c r="K21" s="144">
        <f>IFERROR(F21/J21,0)</f>
        <v/>
      </c>
      <c r="L21" s="155">
        <f>SUMIFS('Bookings Detail'!$S$5:$S$274,'Bookings Detail'!$B$5:$B$274,$A21,'Bookings Detail'!$G$5:$G$274,$E21)</f>
        <v/>
      </c>
      <c r="M21" s="156">
        <f>SUMPRODUCT((('Bookings Detail'!$B$5:$B$274=$A21))*(('Bookings Detail'!$G$5:$G$274=$E21)))</f>
        <v/>
      </c>
    </row>
    <row r="22" ht="15" customHeight="1" s="107">
      <c r="A22" s="133" t="inlineStr">
        <is>
          <t>R009</t>
        </is>
      </c>
      <c r="B22" s="146">
        <f>INDEX('Sales Roster &amp; Quotas'!$C$6:$C$20,MATCH($A22,'Sales Roster &amp; Quotas'!$B$6:$B$20,0))</f>
        <v/>
      </c>
      <c r="C22" s="146">
        <f>INDEX('Sales Roster &amp; Quotas'!$D$6:$D$20,MATCH($A22,'Sales Roster &amp; Quotas'!$B$6:$B$20,0))</f>
        <v/>
      </c>
      <c r="D22" s="146">
        <f>INDEX('Sales Roster &amp; Quotas'!$E$6:$E$20,MATCH($A22,'Sales Roster &amp; Quotas'!$B$6:$B$20,0))</f>
        <v/>
      </c>
      <c r="E22" s="133" t="inlineStr">
        <is>
          <t>Q2</t>
        </is>
      </c>
      <c r="F22" s="148">
        <f>SUMIFS('Bookings Detail'!$K$5:$K$274,'Bookings Detail'!$B$5:$B$274,$A22,'Bookings Detail'!$G$5:$G$274,$E22,'Bookings Detail'!$H$5:$H$274,"New Business")</f>
        <v/>
      </c>
      <c r="G22" s="148">
        <f>SUMIFS('Bookings Detail'!$K$5:$K$274,'Bookings Detail'!$B$5:$B$274,$A22,'Bookings Detail'!$G$5:$G$274,$E22,'Bookings Detail'!$H$5:$H$274,"Upsell")</f>
        <v/>
      </c>
      <c r="H22" s="148">
        <f>SUMIFS('Bookings Detail'!$K$5:$K$274,'Bookings Detail'!$B$5:$B$274,$A22,'Bookings Detail'!$G$5:$G$274,$E22,'Bookings Detail'!$H$5:$H$274,"Renewal")</f>
        <v/>
      </c>
      <c r="I22" s="149">
        <f>F22+G22+H22</f>
        <v/>
      </c>
      <c r="J22" s="148">
        <f>INDEX('Sales Roster &amp; Quotas'!$G$6:$G$20,MATCH($A22,'Sales Roster &amp; Quotas'!$B$6:$B$20,0))</f>
        <v/>
      </c>
      <c r="K22" s="150">
        <f>IFERROR(F22/J22,0)</f>
        <v/>
      </c>
      <c r="L22" s="157">
        <f>SUMIFS('Bookings Detail'!$S$5:$S$274,'Bookings Detail'!$B$5:$B$274,$A22,'Bookings Detail'!$G$5:$G$274,$E22)</f>
        <v/>
      </c>
      <c r="M22" s="158">
        <f>SUMPRODUCT((('Bookings Detail'!$B$5:$B$274=$A22))*(('Bookings Detail'!$G$5:$G$274=$E22)))</f>
        <v/>
      </c>
    </row>
    <row r="23" ht="15" customHeight="1" s="107">
      <c r="A23" s="130" t="inlineStr">
        <is>
          <t>R010</t>
        </is>
      </c>
      <c r="B23" s="140">
        <f>INDEX('Sales Roster &amp; Quotas'!$C$6:$C$20,MATCH($A23,'Sales Roster &amp; Quotas'!$B$6:$B$20,0))</f>
        <v/>
      </c>
      <c r="C23" s="140">
        <f>INDEX('Sales Roster &amp; Quotas'!$D$6:$D$20,MATCH($A23,'Sales Roster &amp; Quotas'!$B$6:$B$20,0))</f>
        <v/>
      </c>
      <c r="D23" s="140">
        <f>INDEX('Sales Roster &amp; Quotas'!$E$6:$E$20,MATCH($A23,'Sales Roster &amp; Quotas'!$B$6:$B$20,0))</f>
        <v/>
      </c>
      <c r="E23" s="130" t="inlineStr">
        <is>
          <t>Q1</t>
        </is>
      </c>
      <c r="F23" s="142">
        <f>SUMIFS('Bookings Detail'!$K$5:$K$274,'Bookings Detail'!$B$5:$B$274,$A23,'Bookings Detail'!$G$5:$G$274,$E23,'Bookings Detail'!$H$5:$H$274,"New Business")</f>
        <v/>
      </c>
      <c r="G23" s="142">
        <f>SUMIFS('Bookings Detail'!$K$5:$K$274,'Bookings Detail'!$B$5:$B$274,$A23,'Bookings Detail'!$G$5:$G$274,$E23,'Bookings Detail'!$H$5:$H$274,"Upsell")</f>
        <v/>
      </c>
      <c r="H23" s="142">
        <f>SUMIFS('Bookings Detail'!$K$5:$K$274,'Bookings Detail'!$B$5:$B$274,$A23,'Bookings Detail'!$G$5:$G$274,$E23,'Bookings Detail'!$H$5:$H$274,"Renewal")</f>
        <v/>
      </c>
      <c r="I23" s="143">
        <f>F23+G23+H23</f>
        <v/>
      </c>
      <c r="J23" s="142">
        <f>INDEX('Sales Roster &amp; Quotas'!$G$6:$G$20,MATCH($A23,'Sales Roster &amp; Quotas'!$B$6:$B$20,0))</f>
        <v/>
      </c>
      <c r="K23" s="144">
        <f>IFERROR(F23/J23,0)</f>
        <v/>
      </c>
      <c r="L23" s="155">
        <f>SUMIFS('Bookings Detail'!$S$5:$S$274,'Bookings Detail'!$B$5:$B$274,$A23,'Bookings Detail'!$G$5:$G$274,$E23)</f>
        <v/>
      </c>
      <c r="M23" s="156">
        <f>SUMPRODUCT((('Bookings Detail'!$B$5:$B$274=$A23))*(('Bookings Detail'!$G$5:$G$274=$E23)))</f>
        <v/>
      </c>
    </row>
    <row r="24" ht="15" customHeight="1" s="107">
      <c r="A24" s="133" t="inlineStr">
        <is>
          <t>R010</t>
        </is>
      </c>
      <c r="B24" s="146">
        <f>INDEX('Sales Roster &amp; Quotas'!$C$6:$C$20,MATCH($A24,'Sales Roster &amp; Quotas'!$B$6:$B$20,0))</f>
        <v/>
      </c>
      <c r="C24" s="146">
        <f>INDEX('Sales Roster &amp; Quotas'!$D$6:$D$20,MATCH($A24,'Sales Roster &amp; Quotas'!$B$6:$B$20,0))</f>
        <v/>
      </c>
      <c r="D24" s="146">
        <f>INDEX('Sales Roster &amp; Quotas'!$E$6:$E$20,MATCH($A24,'Sales Roster &amp; Quotas'!$B$6:$B$20,0))</f>
        <v/>
      </c>
      <c r="E24" s="133" t="inlineStr">
        <is>
          <t>Q2</t>
        </is>
      </c>
      <c r="F24" s="148">
        <f>SUMIFS('Bookings Detail'!$K$5:$K$274,'Bookings Detail'!$B$5:$B$274,$A24,'Bookings Detail'!$G$5:$G$274,$E24,'Bookings Detail'!$H$5:$H$274,"New Business")</f>
        <v/>
      </c>
      <c r="G24" s="148">
        <f>SUMIFS('Bookings Detail'!$K$5:$K$274,'Bookings Detail'!$B$5:$B$274,$A24,'Bookings Detail'!$G$5:$G$274,$E24,'Bookings Detail'!$H$5:$H$274,"Upsell")</f>
        <v/>
      </c>
      <c r="H24" s="148">
        <f>SUMIFS('Bookings Detail'!$K$5:$K$274,'Bookings Detail'!$B$5:$B$274,$A24,'Bookings Detail'!$G$5:$G$274,$E24,'Bookings Detail'!$H$5:$H$274,"Renewal")</f>
        <v/>
      </c>
      <c r="I24" s="149">
        <f>F24+G24+H24</f>
        <v/>
      </c>
      <c r="J24" s="148">
        <f>INDEX('Sales Roster &amp; Quotas'!$G$6:$G$20,MATCH($A24,'Sales Roster &amp; Quotas'!$B$6:$B$20,0))</f>
        <v/>
      </c>
      <c r="K24" s="150">
        <f>IFERROR(F24/J24,0)</f>
        <v/>
      </c>
      <c r="L24" s="157">
        <f>SUMIFS('Bookings Detail'!$S$5:$S$274,'Bookings Detail'!$B$5:$B$274,$A24,'Bookings Detail'!$G$5:$G$274,$E24)</f>
        <v/>
      </c>
      <c r="M24" s="158">
        <f>SUMPRODUCT((('Bookings Detail'!$B$5:$B$274=$A24))*(('Bookings Detail'!$G$5:$G$274=$E24)))</f>
        <v/>
      </c>
    </row>
    <row r="25" ht="15" customHeight="1" s="107">
      <c r="A25" s="130" t="inlineStr">
        <is>
          <t>R011</t>
        </is>
      </c>
      <c r="B25" s="140">
        <f>INDEX('Sales Roster &amp; Quotas'!$C$6:$C$20,MATCH($A25,'Sales Roster &amp; Quotas'!$B$6:$B$20,0))</f>
        <v/>
      </c>
      <c r="C25" s="140">
        <f>INDEX('Sales Roster &amp; Quotas'!$D$6:$D$20,MATCH($A25,'Sales Roster &amp; Quotas'!$B$6:$B$20,0))</f>
        <v/>
      </c>
      <c r="D25" s="140">
        <f>INDEX('Sales Roster &amp; Quotas'!$E$6:$E$20,MATCH($A25,'Sales Roster &amp; Quotas'!$B$6:$B$20,0))</f>
        <v/>
      </c>
      <c r="E25" s="130" t="inlineStr">
        <is>
          <t>Q1</t>
        </is>
      </c>
      <c r="F25" s="142">
        <f>SUMIFS('Bookings Detail'!$K$5:$K$274,'Bookings Detail'!$B$5:$B$274,$A25,'Bookings Detail'!$G$5:$G$274,$E25,'Bookings Detail'!$H$5:$H$274,"New Business")</f>
        <v/>
      </c>
      <c r="G25" s="142">
        <f>SUMIFS('Bookings Detail'!$K$5:$K$274,'Bookings Detail'!$B$5:$B$274,$A25,'Bookings Detail'!$G$5:$G$274,$E25,'Bookings Detail'!$H$5:$H$274,"Upsell")</f>
        <v/>
      </c>
      <c r="H25" s="142">
        <f>SUMIFS('Bookings Detail'!$K$5:$K$274,'Bookings Detail'!$B$5:$B$274,$A25,'Bookings Detail'!$G$5:$G$274,$E25,'Bookings Detail'!$H$5:$H$274,"Renewal")</f>
        <v/>
      </c>
      <c r="I25" s="143">
        <f>F25+G25+H25</f>
        <v/>
      </c>
      <c r="J25" s="142">
        <f>INDEX('Sales Roster &amp; Quotas'!$G$6:$G$20,MATCH($A25,'Sales Roster &amp; Quotas'!$B$6:$B$20,0))</f>
        <v/>
      </c>
      <c r="K25" s="144">
        <f>IFERROR(F25/J25,0)</f>
        <v/>
      </c>
      <c r="L25" s="155">
        <f>SUMIFS('Bookings Detail'!$S$5:$S$274,'Bookings Detail'!$B$5:$B$274,$A25,'Bookings Detail'!$G$5:$G$274,$E25)</f>
        <v/>
      </c>
      <c r="M25" s="156">
        <f>SUMPRODUCT((('Bookings Detail'!$B$5:$B$274=$A25))*(('Bookings Detail'!$G$5:$G$274=$E25)))</f>
        <v/>
      </c>
    </row>
    <row r="26" ht="15" customHeight="1" s="107">
      <c r="A26" s="133" t="inlineStr">
        <is>
          <t>R011</t>
        </is>
      </c>
      <c r="B26" s="146">
        <f>INDEX('Sales Roster &amp; Quotas'!$C$6:$C$20,MATCH($A26,'Sales Roster &amp; Quotas'!$B$6:$B$20,0))</f>
        <v/>
      </c>
      <c r="C26" s="146">
        <f>INDEX('Sales Roster &amp; Quotas'!$D$6:$D$20,MATCH($A26,'Sales Roster &amp; Quotas'!$B$6:$B$20,0))</f>
        <v/>
      </c>
      <c r="D26" s="146">
        <f>INDEX('Sales Roster &amp; Quotas'!$E$6:$E$20,MATCH($A26,'Sales Roster &amp; Quotas'!$B$6:$B$20,0))</f>
        <v/>
      </c>
      <c r="E26" s="133" t="inlineStr">
        <is>
          <t>Q2</t>
        </is>
      </c>
      <c r="F26" s="148">
        <f>SUMIFS('Bookings Detail'!$K$5:$K$274,'Bookings Detail'!$B$5:$B$274,$A26,'Bookings Detail'!$G$5:$G$274,$E26,'Bookings Detail'!$H$5:$H$274,"New Business")</f>
        <v/>
      </c>
      <c r="G26" s="148">
        <f>SUMIFS('Bookings Detail'!$K$5:$K$274,'Bookings Detail'!$B$5:$B$274,$A26,'Bookings Detail'!$G$5:$G$274,$E26,'Bookings Detail'!$H$5:$H$274,"Upsell")</f>
        <v/>
      </c>
      <c r="H26" s="148">
        <f>SUMIFS('Bookings Detail'!$K$5:$K$274,'Bookings Detail'!$B$5:$B$274,$A26,'Bookings Detail'!$G$5:$G$274,$E26,'Bookings Detail'!$H$5:$H$274,"Renewal")</f>
        <v/>
      </c>
      <c r="I26" s="149">
        <f>F26+G26+H26</f>
        <v/>
      </c>
      <c r="J26" s="148">
        <f>INDEX('Sales Roster &amp; Quotas'!$G$6:$G$20,MATCH($A26,'Sales Roster &amp; Quotas'!$B$6:$B$20,0))</f>
        <v/>
      </c>
      <c r="K26" s="150">
        <f>IFERROR(F26/J26,0)</f>
        <v/>
      </c>
      <c r="L26" s="157">
        <f>SUMIFS('Bookings Detail'!$S$5:$S$274,'Bookings Detail'!$B$5:$B$274,$A26,'Bookings Detail'!$G$5:$G$274,$E26)</f>
        <v/>
      </c>
      <c r="M26" s="158">
        <f>SUMPRODUCT((('Bookings Detail'!$B$5:$B$274=$A26))*(('Bookings Detail'!$G$5:$G$274=$E26)))</f>
        <v/>
      </c>
    </row>
    <row r="27" ht="15" customHeight="1" s="107">
      <c r="A27" s="130" t="inlineStr">
        <is>
          <t>R012</t>
        </is>
      </c>
      <c r="B27" s="140">
        <f>INDEX('Sales Roster &amp; Quotas'!$C$6:$C$20,MATCH($A27,'Sales Roster &amp; Quotas'!$B$6:$B$20,0))</f>
        <v/>
      </c>
      <c r="C27" s="140">
        <f>INDEX('Sales Roster &amp; Quotas'!$D$6:$D$20,MATCH($A27,'Sales Roster &amp; Quotas'!$B$6:$B$20,0))</f>
        <v/>
      </c>
      <c r="D27" s="140">
        <f>INDEX('Sales Roster &amp; Quotas'!$E$6:$E$20,MATCH($A27,'Sales Roster &amp; Quotas'!$B$6:$B$20,0))</f>
        <v/>
      </c>
      <c r="E27" s="130" t="inlineStr">
        <is>
          <t>Q1</t>
        </is>
      </c>
      <c r="F27" s="142">
        <f>SUMIFS('Bookings Detail'!$K$5:$K$274,'Bookings Detail'!$B$5:$B$274,$A27,'Bookings Detail'!$G$5:$G$274,$E27,'Bookings Detail'!$H$5:$H$274,"New Business")</f>
        <v/>
      </c>
      <c r="G27" s="142">
        <f>SUMIFS('Bookings Detail'!$K$5:$K$274,'Bookings Detail'!$B$5:$B$274,$A27,'Bookings Detail'!$G$5:$G$274,$E27,'Bookings Detail'!$H$5:$H$274,"Upsell")</f>
        <v/>
      </c>
      <c r="H27" s="142">
        <f>SUMIFS('Bookings Detail'!$K$5:$K$274,'Bookings Detail'!$B$5:$B$274,$A27,'Bookings Detail'!$G$5:$G$274,$E27,'Bookings Detail'!$H$5:$H$274,"Renewal")</f>
        <v/>
      </c>
      <c r="I27" s="143">
        <f>F27+G27+H27</f>
        <v/>
      </c>
      <c r="J27" s="142">
        <f>INDEX('Sales Roster &amp; Quotas'!$G$6:$G$20,MATCH($A27,'Sales Roster &amp; Quotas'!$B$6:$B$20,0))</f>
        <v/>
      </c>
      <c r="K27" s="144">
        <f>IFERROR(F27/J27,0)</f>
        <v/>
      </c>
      <c r="L27" s="155">
        <f>SUMIFS('Bookings Detail'!$S$5:$S$274,'Bookings Detail'!$B$5:$B$274,$A27,'Bookings Detail'!$G$5:$G$274,$E27)</f>
        <v/>
      </c>
      <c r="M27" s="156">
        <f>SUMPRODUCT((('Bookings Detail'!$B$5:$B$274=$A27))*(('Bookings Detail'!$G$5:$G$274=$E27)))</f>
        <v/>
      </c>
    </row>
    <row r="28" ht="15" customHeight="1" s="107">
      <c r="A28" s="133" t="inlineStr">
        <is>
          <t>R012</t>
        </is>
      </c>
      <c r="B28" s="146">
        <f>INDEX('Sales Roster &amp; Quotas'!$C$6:$C$20,MATCH($A28,'Sales Roster &amp; Quotas'!$B$6:$B$20,0))</f>
        <v/>
      </c>
      <c r="C28" s="146">
        <f>INDEX('Sales Roster &amp; Quotas'!$D$6:$D$20,MATCH($A28,'Sales Roster &amp; Quotas'!$B$6:$B$20,0))</f>
        <v/>
      </c>
      <c r="D28" s="146">
        <f>INDEX('Sales Roster &amp; Quotas'!$E$6:$E$20,MATCH($A28,'Sales Roster &amp; Quotas'!$B$6:$B$20,0))</f>
        <v/>
      </c>
      <c r="E28" s="133" t="inlineStr">
        <is>
          <t>Q2</t>
        </is>
      </c>
      <c r="F28" s="148">
        <f>SUMIFS('Bookings Detail'!$K$5:$K$274,'Bookings Detail'!$B$5:$B$274,$A28,'Bookings Detail'!$G$5:$G$274,$E28,'Bookings Detail'!$H$5:$H$274,"New Business")</f>
        <v/>
      </c>
      <c r="G28" s="148">
        <f>SUMIFS('Bookings Detail'!$K$5:$K$274,'Bookings Detail'!$B$5:$B$274,$A28,'Bookings Detail'!$G$5:$G$274,$E28,'Bookings Detail'!$H$5:$H$274,"Upsell")</f>
        <v/>
      </c>
      <c r="H28" s="148">
        <f>SUMIFS('Bookings Detail'!$K$5:$K$274,'Bookings Detail'!$B$5:$B$274,$A28,'Bookings Detail'!$G$5:$G$274,$E28,'Bookings Detail'!$H$5:$H$274,"Renewal")</f>
        <v/>
      </c>
      <c r="I28" s="149">
        <f>F28+G28+H28</f>
        <v/>
      </c>
      <c r="J28" s="148">
        <f>INDEX('Sales Roster &amp; Quotas'!$G$6:$G$20,MATCH($A28,'Sales Roster &amp; Quotas'!$B$6:$B$20,0))</f>
        <v/>
      </c>
      <c r="K28" s="150">
        <f>IFERROR(F28/J28,0)</f>
        <v/>
      </c>
      <c r="L28" s="157">
        <f>SUMIFS('Bookings Detail'!$S$5:$S$274,'Bookings Detail'!$B$5:$B$274,$A28,'Bookings Detail'!$G$5:$G$274,$E28)</f>
        <v/>
      </c>
      <c r="M28" s="158">
        <f>SUMPRODUCT((('Bookings Detail'!$B$5:$B$274=$A28))*(('Bookings Detail'!$G$5:$G$274=$E28)))</f>
        <v/>
      </c>
    </row>
    <row r="29" ht="15" customHeight="1" s="107">
      <c r="A29" s="130" t="inlineStr">
        <is>
          <t>R013</t>
        </is>
      </c>
      <c r="B29" s="140">
        <f>INDEX('Sales Roster &amp; Quotas'!$C$6:$C$20,MATCH($A29,'Sales Roster &amp; Quotas'!$B$6:$B$20,0))</f>
        <v/>
      </c>
      <c r="C29" s="140">
        <f>INDEX('Sales Roster &amp; Quotas'!$D$6:$D$20,MATCH($A29,'Sales Roster &amp; Quotas'!$B$6:$B$20,0))</f>
        <v/>
      </c>
      <c r="D29" s="140">
        <f>INDEX('Sales Roster &amp; Quotas'!$E$6:$E$20,MATCH($A29,'Sales Roster &amp; Quotas'!$B$6:$B$20,0))</f>
        <v/>
      </c>
      <c r="E29" s="130" t="inlineStr">
        <is>
          <t>Q1</t>
        </is>
      </c>
      <c r="F29" s="142">
        <f>SUMIFS('Bookings Detail'!$K$5:$K$274,'Bookings Detail'!$B$5:$B$274,$A29,'Bookings Detail'!$G$5:$G$274,$E29,'Bookings Detail'!$H$5:$H$274,"New Business")</f>
        <v/>
      </c>
      <c r="G29" s="142">
        <f>SUMIFS('Bookings Detail'!$K$5:$K$274,'Bookings Detail'!$B$5:$B$274,$A29,'Bookings Detail'!$G$5:$G$274,$E29,'Bookings Detail'!$H$5:$H$274,"Upsell")</f>
        <v/>
      </c>
      <c r="H29" s="142">
        <f>SUMIFS('Bookings Detail'!$K$5:$K$274,'Bookings Detail'!$B$5:$B$274,$A29,'Bookings Detail'!$G$5:$G$274,$E29,'Bookings Detail'!$H$5:$H$274,"Renewal")</f>
        <v/>
      </c>
      <c r="I29" s="143">
        <f>F29+G29+H29</f>
        <v/>
      </c>
      <c r="J29" s="142">
        <f>INDEX('Sales Roster &amp; Quotas'!$G$6:$G$20,MATCH($A29,'Sales Roster &amp; Quotas'!$B$6:$B$20,0))</f>
        <v/>
      </c>
      <c r="K29" s="144">
        <f>IFERROR(F29/J29,0)</f>
        <v/>
      </c>
      <c r="L29" s="155">
        <f>SUMIFS('Bookings Detail'!$S$5:$S$274,'Bookings Detail'!$B$5:$B$274,$A29,'Bookings Detail'!$G$5:$G$274,$E29)</f>
        <v/>
      </c>
      <c r="M29" s="156">
        <f>SUMPRODUCT((('Bookings Detail'!$B$5:$B$274=$A29))*(('Bookings Detail'!$G$5:$G$274=$E29)))</f>
        <v/>
      </c>
    </row>
    <row r="30" ht="15" customHeight="1" s="107">
      <c r="A30" s="133" t="inlineStr">
        <is>
          <t>R013</t>
        </is>
      </c>
      <c r="B30" s="146">
        <f>INDEX('Sales Roster &amp; Quotas'!$C$6:$C$20,MATCH($A30,'Sales Roster &amp; Quotas'!$B$6:$B$20,0))</f>
        <v/>
      </c>
      <c r="C30" s="146">
        <f>INDEX('Sales Roster &amp; Quotas'!$D$6:$D$20,MATCH($A30,'Sales Roster &amp; Quotas'!$B$6:$B$20,0))</f>
        <v/>
      </c>
      <c r="D30" s="146">
        <f>INDEX('Sales Roster &amp; Quotas'!$E$6:$E$20,MATCH($A30,'Sales Roster &amp; Quotas'!$B$6:$B$20,0))</f>
        <v/>
      </c>
      <c r="E30" s="133" t="inlineStr">
        <is>
          <t>Q2</t>
        </is>
      </c>
      <c r="F30" s="148">
        <f>SUMIFS('Bookings Detail'!$K$5:$K$274,'Bookings Detail'!$B$5:$B$274,$A30,'Bookings Detail'!$G$5:$G$274,$E30,'Bookings Detail'!$H$5:$H$274,"New Business")</f>
        <v/>
      </c>
      <c r="G30" s="148">
        <f>SUMIFS('Bookings Detail'!$K$5:$K$274,'Bookings Detail'!$B$5:$B$274,$A30,'Bookings Detail'!$G$5:$G$274,$E30,'Bookings Detail'!$H$5:$H$274,"Upsell")</f>
        <v/>
      </c>
      <c r="H30" s="148">
        <f>SUMIFS('Bookings Detail'!$K$5:$K$274,'Bookings Detail'!$B$5:$B$274,$A30,'Bookings Detail'!$G$5:$G$274,$E30,'Bookings Detail'!$H$5:$H$274,"Renewal")</f>
        <v/>
      </c>
      <c r="I30" s="149">
        <f>F30+G30+H30</f>
        <v/>
      </c>
      <c r="J30" s="148">
        <f>INDEX('Sales Roster &amp; Quotas'!$G$6:$G$20,MATCH($A30,'Sales Roster &amp; Quotas'!$B$6:$B$20,0))</f>
        <v/>
      </c>
      <c r="K30" s="150">
        <f>IFERROR(F30/J30,0)</f>
        <v/>
      </c>
      <c r="L30" s="157">
        <f>SUMIFS('Bookings Detail'!$S$5:$S$274,'Bookings Detail'!$B$5:$B$274,$A30,'Bookings Detail'!$G$5:$G$274,$E30)</f>
        <v/>
      </c>
      <c r="M30" s="158">
        <f>SUMPRODUCT((('Bookings Detail'!$B$5:$B$274=$A30))*(('Bookings Detail'!$G$5:$G$274=$E30)))</f>
        <v/>
      </c>
    </row>
    <row r="31" ht="15" customHeight="1" s="107">
      <c r="A31" s="130" t="inlineStr">
        <is>
          <t>R014</t>
        </is>
      </c>
      <c r="B31" s="140">
        <f>INDEX('Sales Roster &amp; Quotas'!$C$6:$C$20,MATCH($A31,'Sales Roster &amp; Quotas'!$B$6:$B$20,0))</f>
        <v/>
      </c>
      <c r="C31" s="140">
        <f>INDEX('Sales Roster &amp; Quotas'!$D$6:$D$20,MATCH($A31,'Sales Roster &amp; Quotas'!$B$6:$B$20,0))</f>
        <v/>
      </c>
      <c r="D31" s="140">
        <f>INDEX('Sales Roster &amp; Quotas'!$E$6:$E$20,MATCH($A31,'Sales Roster &amp; Quotas'!$B$6:$B$20,0))</f>
        <v/>
      </c>
      <c r="E31" s="130" t="inlineStr">
        <is>
          <t>Q1</t>
        </is>
      </c>
      <c r="F31" s="142">
        <f>SUMIFS('Bookings Detail'!$K$5:$K$274,'Bookings Detail'!$B$5:$B$274,$A31,'Bookings Detail'!$G$5:$G$274,$E31,'Bookings Detail'!$H$5:$H$274,"New Business")</f>
        <v/>
      </c>
      <c r="G31" s="142">
        <f>SUMIFS('Bookings Detail'!$K$5:$K$274,'Bookings Detail'!$B$5:$B$274,$A31,'Bookings Detail'!$G$5:$G$274,$E31,'Bookings Detail'!$H$5:$H$274,"Upsell")</f>
        <v/>
      </c>
      <c r="H31" s="142">
        <f>SUMIFS('Bookings Detail'!$K$5:$K$274,'Bookings Detail'!$B$5:$B$274,$A31,'Bookings Detail'!$G$5:$G$274,$E31,'Bookings Detail'!$H$5:$H$274,"Renewal")</f>
        <v/>
      </c>
      <c r="I31" s="143">
        <f>F31+G31+H31</f>
        <v/>
      </c>
      <c r="J31" s="142">
        <f>INDEX('Sales Roster &amp; Quotas'!$G$6:$G$20,MATCH($A31,'Sales Roster &amp; Quotas'!$B$6:$B$20,0))</f>
        <v/>
      </c>
      <c r="K31" s="144">
        <f>IFERROR(F31/J31,0)</f>
        <v/>
      </c>
      <c r="L31" s="155">
        <f>SUMIFS('Bookings Detail'!$S$5:$S$274,'Bookings Detail'!$B$5:$B$274,$A31,'Bookings Detail'!$G$5:$G$274,$E31)</f>
        <v/>
      </c>
      <c r="M31" s="156">
        <f>SUMPRODUCT((('Bookings Detail'!$B$5:$B$274=$A31))*(('Bookings Detail'!$G$5:$G$274=$E31)))</f>
        <v/>
      </c>
    </row>
    <row r="32" ht="15" customHeight="1" s="107">
      <c r="A32" s="133" t="inlineStr">
        <is>
          <t>R014</t>
        </is>
      </c>
      <c r="B32" s="146">
        <f>INDEX('Sales Roster &amp; Quotas'!$C$6:$C$20,MATCH($A32,'Sales Roster &amp; Quotas'!$B$6:$B$20,0))</f>
        <v/>
      </c>
      <c r="C32" s="146">
        <f>INDEX('Sales Roster &amp; Quotas'!$D$6:$D$20,MATCH($A32,'Sales Roster &amp; Quotas'!$B$6:$B$20,0))</f>
        <v/>
      </c>
      <c r="D32" s="146">
        <f>INDEX('Sales Roster &amp; Quotas'!$E$6:$E$20,MATCH($A32,'Sales Roster &amp; Quotas'!$B$6:$B$20,0))</f>
        <v/>
      </c>
      <c r="E32" s="133" t="inlineStr">
        <is>
          <t>Q2</t>
        </is>
      </c>
      <c r="F32" s="148">
        <f>SUMIFS('Bookings Detail'!$K$5:$K$274,'Bookings Detail'!$B$5:$B$274,$A32,'Bookings Detail'!$G$5:$G$274,$E32,'Bookings Detail'!$H$5:$H$274,"New Business")</f>
        <v/>
      </c>
      <c r="G32" s="148">
        <f>SUMIFS('Bookings Detail'!$K$5:$K$274,'Bookings Detail'!$B$5:$B$274,$A32,'Bookings Detail'!$G$5:$G$274,$E32,'Bookings Detail'!$H$5:$H$274,"Upsell")</f>
        <v/>
      </c>
      <c r="H32" s="148">
        <f>SUMIFS('Bookings Detail'!$K$5:$K$274,'Bookings Detail'!$B$5:$B$274,$A32,'Bookings Detail'!$G$5:$G$274,$E32,'Bookings Detail'!$H$5:$H$274,"Renewal")</f>
        <v/>
      </c>
      <c r="I32" s="149">
        <f>F32+G32+H32</f>
        <v/>
      </c>
      <c r="J32" s="148">
        <f>INDEX('Sales Roster &amp; Quotas'!$G$6:$G$20,MATCH($A32,'Sales Roster &amp; Quotas'!$B$6:$B$20,0))</f>
        <v/>
      </c>
      <c r="K32" s="150">
        <f>IFERROR(F32/J32,0)</f>
        <v/>
      </c>
      <c r="L32" s="157">
        <f>SUMIFS('Bookings Detail'!$S$5:$S$274,'Bookings Detail'!$B$5:$B$274,$A32,'Bookings Detail'!$G$5:$G$274,$E32)</f>
        <v/>
      </c>
      <c r="M32" s="158">
        <f>SUMPRODUCT((('Bookings Detail'!$B$5:$B$274=$A32))*(('Bookings Detail'!$G$5:$G$274=$E32)))</f>
        <v/>
      </c>
    </row>
    <row r="33" ht="15" customHeight="1" s="107">
      <c r="A33" s="130" t="inlineStr">
        <is>
          <t>R015</t>
        </is>
      </c>
      <c r="B33" s="140">
        <f>INDEX('Sales Roster &amp; Quotas'!$C$6:$C$20,MATCH($A33,'Sales Roster &amp; Quotas'!$B$6:$B$20,0))</f>
        <v/>
      </c>
      <c r="C33" s="140">
        <f>INDEX('Sales Roster &amp; Quotas'!$D$6:$D$20,MATCH($A33,'Sales Roster &amp; Quotas'!$B$6:$B$20,0))</f>
        <v/>
      </c>
      <c r="D33" s="140">
        <f>INDEX('Sales Roster &amp; Quotas'!$E$6:$E$20,MATCH($A33,'Sales Roster &amp; Quotas'!$B$6:$B$20,0))</f>
        <v/>
      </c>
      <c r="E33" s="130" t="inlineStr">
        <is>
          <t>Q1</t>
        </is>
      </c>
      <c r="F33" s="142">
        <f>SUMIFS('Bookings Detail'!$K$5:$K$274,'Bookings Detail'!$B$5:$B$274,$A33,'Bookings Detail'!$G$5:$G$274,$E33,'Bookings Detail'!$H$5:$H$274,"New Business")</f>
        <v/>
      </c>
      <c r="G33" s="142">
        <f>SUMIFS('Bookings Detail'!$K$5:$K$274,'Bookings Detail'!$B$5:$B$274,$A33,'Bookings Detail'!$G$5:$G$274,$E33,'Bookings Detail'!$H$5:$H$274,"Upsell")</f>
        <v/>
      </c>
      <c r="H33" s="142">
        <f>SUMIFS('Bookings Detail'!$K$5:$K$274,'Bookings Detail'!$B$5:$B$274,$A33,'Bookings Detail'!$G$5:$G$274,$E33,'Bookings Detail'!$H$5:$H$274,"Renewal")</f>
        <v/>
      </c>
      <c r="I33" s="143">
        <f>F33+G33+H33</f>
        <v/>
      </c>
      <c r="J33" s="142">
        <f>INDEX('Sales Roster &amp; Quotas'!$G$6:$G$20,MATCH($A33,'Sales Roster &amp; Quotas'!$B$6:$B$20,0))</f>
        <v/>
      </c>
      <c r="K33" s="144">
        <f>IFERROR(F33/J33,0)</f>
        <v/>
      </c>
      <c r="L33" s="155">
        <f>SUMIFS('Bookings Detail'!$S$5:$S$274,'Bookings Detail'!$B$5:$B$274,$A33,'Bookings Detail'!$G$5:$G$274,$E33)</f>
        <v/>
      </c>
      <c r="M33" s="156">
        <f>SUMPRODUCT((('Bookings Detail'!$B$5:$B$274=$A33))*(('Bookings Detail'!$G$5:$G$274=$E33)))</f>
        <v/>
      </c>
    </row>
    <row r="34" ht="15" customHeight="1" s="107">
      <c r="A34" s="133" t="inlineStr">
        <is>
          <t>R015</t>
        </is>
      </c>
      <c r="B34" s="146">
        <f>INDEX('Sales Roster &amp; Quotas'!$C$6:$C$20,MATCH($A34,'Sales Roster &amp; Quotas'!$B$6:$B$20,0))</f>
        <v/>
      </c>
      <c r="C34" s="146">
        <f>INDEX('Sales Roster &amp; Quotas'!$D$6:$D$20,MATCH($A34,'Sales Roster &amp; Quotas'!$B$6:$B$20,0))</f>
        <v/>
      </c>
      <c r="D34" s="146">
        <f>INDEX('Sales Roster &amp; Quotas'!$E$6:$E$20,MATCH($A34,'Sales Roster &amp; Quotas'!$B$6:$B$20,0))</f>
        <v/>
      </c>
      <c r="E34" s="133" t="inlineStr">
        <is>
          <t>Q2</t>
        </is>
      </c>
      <c r="F34" s="148">
        <f>SUMIFS('Bookings Detail'!$K$5:$K$274,'Bookings Detail'!$B$5:$B$274,$A34,'Bookings Detail'!$G$5:$G$274,$E34,'Bookings Detail'!$H$5:$H$274,"New Business")</f>
        <v/>
      </c>
      <c r="G34" s="148">
        <f>SUMIFS('Bookings Detail'!$K$5:$K$274,'Bookings Detail'!$B$5:$B$274,$A34,'Bookings Detail'!$G$5:$G$274,$E34,'Bookings Detail'!$H$5:$H$274,"Upsell")</f>
        <v/>
      </c>
      <c r="H34" s="148">
        <f>SUMIFS('Bookings Detail'!$K$5:$K$274,'Bookings Detail'!$B$5:$B$274,$A34,'Bookings Detail'!$G$5:$G$274,$E34,'Bookings Detail'!$H$5:$H$274,"Renewal")</f>
        <v/>
      </c>
      <c r="I34" s="149">
        <f>F34+G34+H34</f>
        <v/>
      </c>
      <c r="J34" s="148">
        <f>INDEX('Sales Roster &amp; Quotas'!$G$6:$G$20,MATCH($A34,'Sales Roster &amp; Quotas'!$B$6:$B$20,0))</f>
        <v/>
      </c>
      <c r="K34" s="150">
        <f>IFERROR(F34/J34,0)</f>
        <v/>
      </c>
      <c r="L34" s="157">
        <f>SUMIFS('Bookings Detail'!$S$5:$S$274,'Bookings Detail'!$B$5:$B$274,$A34,'Bookings Detail'!$G$5:$G$274,$E34)</f>
        <v/>
      </c>
      <c r="M34" s="158">
        <f>SUMPRODUCT((('Bookings Detail'!$B$5:$B$274=$A34))*(('Bookings Detail'!$G$5:$G$274=$E34)))</f>
        <v/>
      </c>
    </row>
    <row r="35" ht="15" customHeight="1" s="107">
      <c r="A35" s="152" t="n"/>
      <c r="B35" s="159" t="inlineStr">
        <is>
          <t>Company Total</t>
        </is>
      </c>
      <c r="C35" s="152" t="n"/>
      <c r="D35" s="152" t="n"/>
      <c r="E35" s="152" t="n"/>
      <c r="F35" s="154">
        <f>SUM(F5:F34)</f>
        <v/>
      </c>
      <c r="G35" s="154">
        <f>SUM(G5:G34)</f>
        <v/>
      </c>
      <c r="H35" s="154">
        <f>SUM(H5:H34)</f>
        <v/>
      </c>
      <c r="I35" s="154">
        <f>SUM(I5:I34)</f>
        <v/>
      </c>
      <c r="J35" s="154">
        <f>SUM(J5:J34)</f>
        <v/>
      </c>
      <c r="K35" s="160">
        <f>AVERAGE(K5:K34)</f>
        <v/>
      </c>
      <c r="L35" s="154">
        <f>SUM(L5:L34)</f>
        <v/>
      </c>
      <c r="M35" s="152" t="n"/>
    </row>
  </sheetData>
  <mergeCells count="1">
    <mergeCell ref="A2:L2"/>
  </mergeCells>
  <conditionalFormatting sqref="K5:K34">
    <cfRule type="colorScale" priority="2">
      <colorScale>
        <cfvo type="min" val="0"/>
        <cfvo type="percentile" val="50"/>
        <cfvo type="max" val="0"/>
        <color rgb="FFF4A2A0"/>
        <color rgb="FFFFF2AC"/>
        <color rgb="FFA9D9B8"/>
      </colorScale>
    </cfRule>
  </conditionalFormatting>
  <conditionalFormatting sqref="L5:L34">
    <cfRule type="dataBar" priority="3">
      <dataBar minLength="10" maxLength="90" showValue="1">
        <cfvo type="min" val="0"/>
        <cfvo type="max" val="0"/>
        <color rgb="FFB8862B"/>
      </dataBar>
    </cfRule>
  </conditionalFormatting>
  <printOptions horizontalCentered="0" verticalCentered="0" headings="0" gridLines="0" gridLinesSet="1"/>
  <pageMargins left="0.3" right="0.3" top="0.4" bottom="0.4"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F1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06" min="1" max="1"/>
    <col width="15" customWidth="1" style="106" min="2" max="2"/>
    <col width="19" customWidth="1" style="106" min="3" max="3"/>
    <col width="22" customWidth="1" style="106" min="4" max="4"/>
    <col width="11" customWidth="1" style="106" min="5" max="5"/>
    <col width="10" customWidth="1" style="106" min="6" max="6"/>
  </cols>
  <sheetData>
    <row r="1" ht="17.25" customHeight="1" s="107">
      <c r="A1" s="119" t="inlineStr">
        <is>
          <t>Monthly Commission Accrual &amp; Q3 FY26 Forecast</t>
        </is>
      </c>
    </row>
    <row r="2" ht="15" customHeight="1" s="107">
      <c r="A2" s="110" t="inlineStr">
        <is>
          <t>Actuals for Jan–Jun are pulled from Bookings Detail. Jul–Sep is a trend-based forecast for budgeting and cash accrual planning — not a commitment.</t>
        </is>
      </c>
    </row>
    <row r="4" ht="15" customHeight="1" s="107">
      <c r="A4" s="120" t="inlineStr">
        <is>
          <t>Month</t>
        </is>
      </c>
      <c r="B4" s="120" t="inlineStr">
        <is>
          <t>Bookings ARR</t>
        </is>
      </c>
      <c r="C4" s="120" t="inlineStr">
        <is>
          <t>Commission Expense</t>
        </is>
      </c>
      <c r="D4" s="120" t="inlineStr">
        <is>
          <t>Commission as % of ARR</t>
        </is>
      </c>
      <c r="E4" s="120" t="inlineStr">
        <is>
          <t>Deal Count</t>
        </is>
      </c>
      <c r="F4" s="120" t="inlineStr">
        <is>
          <t>Type</t>
        </is>
      </c>
    </row>
    <row r="5" ht="15" customHeight="1" s="107">
      <c r="A5" s="130" t="inlineStr">
        <is>
          <t>2026-01</t>
        </is>
      </c>
      <c r="B5" s="142">
        <f>SUMIFS('Bookings Detail'!$K$5:$K$274,'Bookings Detail'!$F$5:$F$274,$A5)</f>
        <v/>
      </c>
      <c r="C5" s="142">
        <f>SUMIFS('Bookings Detail'!$S$5:$S$274,'Bookings Detail'!$F$5:$F$274,$A5)</f>
        <v/>
      </c>
      <c r="D5" s="144">
        <f>IFERROR(C5/B5,0)</f>
        <v/>
      </c>
      <c r="E5" s="161">
        <f>COUNTIFS('Bookings Detail'!$F$5:$F$274,$A5)</f>
        <v/>
      </c>
      <c r="F5" s="162" t="inlineStr">
        <is>
          <t>Actual</t>
        </is>
      </c>
    </row>
    <row r="6" ht="15" customHeight="1" s="107">
      <c r="A6" s="133" t="inlineStr">
        <is>
          <t>2026-02</t>
        </is>
      </c>
      <c r="B6" s="148">
        <f>SUMIFS('Bookings Detail'!$K$5:$K$274,'Bookings Detail'!$F$5:$F$274,$A6)</f>
        <v/>
      </c>
      <c r="C6" s="148">
        <f>SUMIFS('Bookings Detail'!$S$5:$S$274,'Bookings Detail'!$F$5:$F$274,$A6)</f>
        <v/>
      </c>
      <c r="D6" s="150">
        <f>IFERROR(C6/B6,0)</f>
        <v/>
      </c>
      <c r="E6" s="163">
        <f>COUNTIFS('Bookings Detail'!$F$5:$F$274,$A6)</f>
        <v/>
      </c>
      <c r="F6" s="164" t="inlineStr">
        <is>
          <t>Actual</t>
        </is>
      </c>
    </row>
    <row r="7" ht="15" customHeight="1" s="107">
      <c r="A7" s="130" t="inlineStr">
        <is>
          <t>2026-03</t>
        </is>
      </c>
      <c r="B7" s="142">
        <f>SUMIFS('Bookings Detail'!$K$5:$K$274,'Bookings Detail'!$F$5:$F$274,$A7)</f>
        <v/>
      </c>
      <c r="C7" s="142">
        <f>SUMIFS('Bookings Detail'!$S$5:$S$274,'Bookings Detail'!$F$5:$F$274,$A7)</f>
        <v/>
      </c>
      <c r="D7" s="144">
        <f>IFERROR(C7/B7,0)</f>
        <v/>
      </c>
      <c r="E7" s="161">
        <f>COUNTIFS('Bookings Detail'!$F$5:$F$274,$A7)</f>
        <v/>
      </c>
      <c r="F7" s="162" t="inlineStr">
        <is>
          <t>Actual</t>
        </is>
      </c>
    </row>
    <row r="8" ht="15" customHeight="1" s="107">
      <c r="A8" s="133" t="inlineStr">
        <is>
          <t>2026-04</t>
        </is>
      </c>
      <c r="B8" s="148">
        <f>SUMIFS('Bookings Detail'!$K$5:$K$274,'Bookings Detail'!$F$5:$F$274,$A8)</f>
        <v/>
      </c>
      <c r="C8" s="148">
        <f>SUMIFS('Bookings Detail'!$S$5:$S$274,'Bookings Detail'!$F$5:$F$274,$A8)</f>
        <v/>
      </c>
      <c r="D8" s="150">
        <f>IFERROR(C8/B8,0)</f>
        <v/>
      </c>
      <c r="E8" s="163">
        <f>COUNTIFS('Bookings Detail'!$F$5:$F$274,$A8)</f>
        <v/>
      </c>
      <c r="F8" s="164" t="inlineStr">
        <is>
          <t>Actual</t>
        </is>
      </c>
    </row>
    <row r="9" ht="15" customHeight="1" s="107">
      <c r="A9" s="130" t="inlineStr">
        <is>
          <t>2026-05</t>
        </is>
      </c>
      <c r="B9" s="142">
        <f>SUMIFS('Bookings Detail'!$K$5:$K$274,'Bookings Detail'!$F$5:$F$274,$A9)</f>
        <v/>
      </c>
      <c r="C9" s="142">
        <f>SUMIFS('Bookings Detail'!$S$5:$S$274,'Bookings Detail'!$F$5:$F$274,$A9)</f>
        <v/>
      </c>
      <c r="D9" s="144">
        <f>IFERROR(C9/B9,0)</f>
        <v/>
      </c>
      <c r="E9" s="161">
        <f>COUNTIFS('Bookings Detail'!$F$5:$F$274,$A9)</f>
        <v/>
      </c>
      <c r="F9" s="162" t="inlineStr">
        <is>
          <t>Actual</t>
        </is>
      </c>
    </row>
    <row r="10" ht="15" customHeight="1" s="107">
      <c r="A10" s="133" t="inlineStr">
        <is>
          <t>2026-06</t>
        </is>
      </c>
      <c r="B10" s="148">
        <f>SUMIFS('Bookings Detail'!$K$5:$K$274,'Bookings Detail'!$F$5:$F$274,$A10)</f>
        <v/>
      </c>
      <c r="C10" s="148">
        <f>SUMIFS('Bookings Detail'!$S$5:$S$274,'Bookings Detail'!$F$5:$F$274,$A10)</f>
        <v/>
      </c>
      <c r="D10" s="150">
        <f>IFERROR(C10/B10,0)</f>
        <v/>
      </c>
      <c r="E10" s="163">
        <f>COUNTIFS('Bookings Detail'!$F$5:$F$274,$A10)</f>
        <v/>
      </c>
      <c r="F10" s="164" t="inlineStr">
        <is>
          <t>Actual</t>
        </is>
      </c>
    </row>
    <row r="11" ht="15" customHeight="1" s="107">
      <c r="A11" s="130" t="inlineStr">
        <is>
          <t>2026-07</t>
        </is>
      </c>
      <c r="B11" s="165">
        <f>TREND($B$5:$B$10,ROW($B$5:$B$10)-ROW($B$5)+1,7)</f>
        <v/>
      </c>
      <c r="C11" s="165">
        <f>B11*AVERAGE($D$5:$D$10)</f>
        <v/>
      </c>
      <c r="D11" s="144">
        <f>IFERROR(C11/B11,0)</f>
        <v/>
      </c>
      <c r="E11" s="166">
        <f>ROUND(E10*0.98,0)</f>
        <v/>
      </c>
      <c r="F11" s="167" t="inlineStr">
        <is>
          <t>Forecast</t>
        </is>
      </c>
    </row>
    <row r="12" ht="15" customHeight="1" s="107">
      <c r="A12" s="133" t="inlineStr">
        <is>
          <t>2026-08</t>
        </is>
      </c>
      <c r="B12" s="168">
        <f>TREND($B$5:$B$10,ROW($B$5:$B$10)-ROW($B$5)+1,8)</f>
        <v/>
      </c>
      <c r="C12" s="168">
        <f>B12*AVERAGE($D$5:$D$10)</f>
        <v/>
      </c>
      <c r="D12" s="150">
        <f>IFERROR(C12/B12,0)</f>
        <v/>
      </c>
      <c r="E12" s="169">
        <f>ROUND(E10*0.98,0)</f>
        <v/>
      </c>
      <c r="F12" s="170" t="inlineStr">
        <is>
          <t>Forecast</t>
        </is>
      </c>
    </row>
    <row r="13" ht="15" customHeight="1" s="107">
      <c r="A13" s="130" t="inlineStr">
        <is>
          <t>2026-09</t>
        </is>
      </c>
      <c r="B13" s="165">
        <f>TREND($B$5:$B$10,ROW($B$5:$B$10)-ROW($B$5)+1,9)</f>
        <v/>
      </c>
      <c r="C13" s="165">
        <f>B13*AVERAGE($D$5:$D$10)</f>
        <v/>
      </c>
      <c r="D13" s="144">
        <f>IFERROR(C13/B13,0)</f>
        <v/>
      </c>
      <c r="E13" s="166">
        <f>ROUND(E10*0.98,0)</f>
        <v/>
      </c>
      <c r="F13" s="167" t="inlineStr">
        <is>
          <t>Forecast</t>
        </is>
      </c>
    </row>
    <row r="15" ht="15" customHeight="1" s="107">
      <c r="A15" s="114" t="inlineStr">
        <is>
          <t>Q3 FY26 Forecast Summary</t>
        </is>
      </c>
    </row>
    <row r="16" ht="15" customHeight="1" s="107">
      <c r="A16" s="106" t="inlineStr">
        <is>
          <t>Forecasted Q3 Bookings ARR:</t>
        </is>
      </c>
      <c r="C16" s="171">
        <f>SUM(B11:B13)</f>
        <v/>
      </c>
    </row>
    <row r="17" ht="15" customHeight="1" s="107">
      <c r="A17" s="106" t="inlineStr">
        <is>
          <t>Forecasted Q3 Commission Expense (for budget accrual):</t>
        </is>
      </c>
      <c r="C17" s="171">
        <f>SUM(C11:C13)</f>
        <v/>
      </c>
    </row>
    <row r="18" ht="15" customHeight="1" s="107">
      <c r="A18" s="110" t="inlineStr">
        <is>
          <t>Method:</t>
        </is>
      </c>
      <c r="C18" s="110" t="inlineStr">
        <is>
          <t>Linear trend (TREND function) on 6 months of actuals; commission % applies the trailing 6-month average rate.</t>
        </is>
      </c>
    </row>
  </sheetData>
  <mergeCells count="1">
    <mergeCell ref="A2:F2"/>
  </mergeCells>
  <printOptions horizontalCentered="0" verticalCentered="0" headings="0" gridLines="0" gridLinesSet="1"/>
  <pageMargins left="0.3" right="0.3" top="0.4" bottom="0.4"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B2:W66"/>
  <sheetViews>
    <sheetView showFormulas="0" showGridLines="0" showRowColHeaders="1" showZeros="1" rightToLeft="0" tabSelected="0" showOutlineSymbols="1" defaultGridColor="1" view="normal" topLeftCell="A1" colorId="64" zoomScale="90" zoomScaleNormal="90" zoomScalePageLayoutView="100" workbookViewId="0">
      <selection pane="topLeft" activeCell="A1" activeCellId="0" sqref="A1"/>
    </sheetView>
  </sheetViews>
  <sheetFormatPr baseColWidth="8" defaultColWidth="8.6796875" defaultRowHeight="15" zeroHeight="0" outlineLevelRow="0"/>
  <cols>
    <col width="2" customWidth="1" style="106" min="1" max="1"/>
    <col width="16" customWidth="1" style="106" min="2" max="7"/>
    <col width="14" customWidth="1" style="106" min="20" max="23"/>
  </cols>
  <sheetData>
    <row r="2" ht="19.5" customHeight="1" s="107">
      <c r="B2" s="172" t="inlineStr">
        <is>
          <t>MERIDIAN RISK TECHNOLOGIES</t>
        </is>
      </c>
    </row>
    <row r="3" ht="15" customHeight="1" s="107">
      <c r="B3" s="173" t="inlineStr">
        <is>
          <t>FY26 Sales Commission — Executive Dashboard (H1 Actuals + Q3 Forecast)</t>
        </is>
      </c>
    </row>
    <row r="4" ht="15" customHeight="1" s="107">
      <c r="T4" s="110" t="inlineStr">
        <is>
          <t>Chart source data (linked — do not delete)</t>
        </is>
      </c>
    </row>
    <row r="5" ht="15" customHeight="1" s="107">
      <c r="B5" s="174" t="inlineStr">
        <is>
          <t>Total Bookings ARR (H1)</t>
        </is>
      </c>
      <c r="D5" s="175" t="inlineStr">
        <is>
          <t>Total Commission Expense (H1)</t>
        </is>
      </c>
      <c r="F5" s="174" t="inlineStr">
        <is>
          <t>Commission as % of Bookings</t>
        </is>
      </c>
    </row>
    <row r="6" ht="23.25" customHeight="1" s="107">
      <c r="B6" s="176">
        <f>SUM('Bookings Detail'!$K$5:$K$274)</f>
        <v/>
      </c>
      <c r="D6" s="177">
        <f>SUM('Bookings Detail'!$S$5:$S$274)</f>
        <v/>
      </c>
      <c r="F6" s="178">
        <f>'Executive Dashboard'!D6/'Executive Dashboard'!B6</f>
        <v/>
      </c>
      <c r="T6" s="120" t="inlineStr">
        <is>
          <t>Month</t>
        </is>
      </c>
      <c r="U6" s="120" t="inlineStr">
        <is>
          <t>Bookings ARR</t>
        </is>
      </c>
      <c r="V6" s="120" t="inlineStr">
        <is>
          <t>Commission Expense</t>
        </is>
      </c>
    </row>
    <row r="7" ht="15" customHeight="1" s="107">
      <c r="B7" s="179" t="n"/>
      <c r="C7" s="179" t="n"/>
      <c r="D7" s="180" t="n"/>
      <c r="E7" s="180" t="n"/>
      <c r="F7" s="179" t="n"/>
      <c r="G7" s="179" t="n"/>
      <c r="T7" s="106">
        <f>'Monthly Accrual &amp; Forecast'!A5</f>
        <v/>
      </c>
      <c r="U7" s="181">
        <f>'Monthly Accrual &amp; Forecast'!B5</f>
        <v/>
      </c>
      <c r="V7" s="181">
        <f>'Monthly Accrual &amp; Forecast'!C5</f>
        <v/>
      </c>
    </row>
    <row r="8" ht="15" customHeight="1" s="107">
      <c r="T8" s="106">
        <f>'Monthly Accrual &amp; Forecast'!A6</f>
        <v/>
      </c>
      <c r="U8" s="181">
        <f>'Monthly Accrual &amp; Forecast'!B6</f>
        <v/>
      </c>
      <c r="V8" s="181">
        <f>'Monthly Accrual &amp; Forecast'!C6</f>
        <v/>
      </c>
    </row>
    <row r="9" ht="15" customHeight="1" s="107">
      <c r="B9" s="175" t="inlineStr">
        <is>
          <t>Avg Attainment (all reps, both qtrs)</t>
        </is>
      </c>
      <c r="D9" s="174" t="inlineStr">
        <is>
          <t>Reps at/above 100% Attainment</t>
        </is>
      </c>
      <c r="F9" s="175" t="inlineStr">
        <is>
          <t>Reps below 85% Attainment</t>
        </is>
      </c>
      <c r="T9" s="106">
        <f>'Monthly Accrual &amp; Forecast'!A7</f>
        <v/>
      </c>
      <c r="U9" s="181">
        <f>'Monthly Accrual &amp; Forecast'!B7</f>
        <v/>
      </c>
      <c r="V9" s="181">
        <f>'Monthly Accrual &amp; Forecast'!C7</f>
        <v/>
      </c>
    </row>
    <row r="10" ht="21.75" customHeight="1" s="107">
      <c r="B10" s="182">
        <f>AVERAGE('Rep-Quarter Summary'!$K$5:$K$34)</f>
        <v/>
      </c>
      <c r="D10" s="183">
        <f>COUNTIF('Rep-Quarter Summary'!$K$5:$K$34,"&gt;=1")</f>
        <v/>
      </c>
      <c r="F10" s="184">
        <f>COUNTIF('Rep-Quarter Summary'!$K$5:$K$34,"&lt;0.85")</f>
        <v/>
      </c>
      <c r="T10" s="106">
        <f>'Monthly Accrual &amp; Forecast'!A8</f>
        <v/>
      </c>
      <c r="U10" s="181">
        <f>'Monthly Accrual &amp; Forecast'!B8</f>
        <v/>
      </c>
      <c r="V10" s="181">
        <f>'Monthly Accrual &amp; Forecast'!C8</f>
        <v/>
      </c>
    </row>
    <row r="11" ht="15" customHeight="1" s="107">
      <c r="B11" s="180" t="n"/>
      <c r="C11" s="180" t="n"/>
      <c r="D11" s="179" t="n"/>
      <c r="E11" s="179" t="n"/>
      <c r="F11" s="180" t="n"/>
      <c r="G11" s="180" t="n"/>
      <c r="T11" s="106">
        <f>'Monthly Accrual &amp; Forecast'!A9</f>
        <v/>
      </c>
      <c r="U11" s="181">
        <f>'Monthly Accrual &amp; Forecast'!B9</f>
        <v/>
      </c>
      <c r="V11" s="181">
        <f>'Monthly Accrual &amp; Forecast'!C9</f>
        <v/>
      </c>
    </row>
    <row r="12" ht="15" customHeight="1" s="107">
      <c r="T12" s="106">
        <f>'Monthly Accrual &amp; Forecast'!A10</f>
        <v/>
      </c>
      <c r="U12" s="181">
        <f>'Monthly Accrual &amp; Forecast'!B10</f>
        <v/>
      </c>
      <c r="V12" s="181">
        <f>'Monthly Accrual &amp; Forecast'!C10</f>
        <v/>
      </c>
    </row>
    <row r="13" ht="15" customHeight="1" s="107">
      <c r="T13" s="106">
        <f>'Monthly Accrual &amp; Forecast'!A11</f>
        <v/>
      </c>
      <c r="U13" s="181">
        <f>'Monthly Accrual &amp; Forecast'!B11</f>
        <v/>
      </c>
      <c r="V13" s="181">
        <f>'Monthly Accrual &amp; Forecast'!C11</f>
        <v/>
      </c>
    </row>
    <row r="14" ht="15" customHeight="1" s="107">
      <c r="T14" s="106">
        <f>'Monthly Accrual &amp; Forecast'!A12</f>
        <v/>
      </c>
      <c r="U14" s="181">
        <f>'Monthly Accrual &amp; Forecast'!B12</f>
        <v/>
      </c>
      <c r="V14" s="181">
        <f>'Monthly Accrual &amp; Forecast'!C12</f>
        <v/>
      </c>
    </row>
    <row r="15" ht="15" customHeight="1" s="107">
      <c r="T15" s="106">
        <f>'Monthly Accrual &amp; Forecast'!A13</f>
        <v/>
      </c>
      <c r="U15" s="181">
        <f>'Monthly Accrual &amp; Forecast'!B13</f>
        <v/>
      </c>
      <c r="V15" s="181">
        <f>'Monthly Accrual &amp; Forecast'!C13</f>
        <v/>
      </c>
    </row>
    <row r="18" ht="15" customHeight="1" s="107">
      <c r="T18" s="120" t="inlineStr">
        <is>
          <t>Rep</t>
        </is>
      </c>
      <c r="U18" s="120" t="inlineStr">
        <is>
          <t>Q2 Attainment</t>
        </is>
      </c>
    </row>
    <row r="19" ht="15" customHeight="1" s="107">
      <c r="T19" s="106">
        <f>'Rep-Quarter Summary'!B6</f>
        <v/>
      </c>
      <c r="U19" s="185">
        <f>'Rep-Quarter Summary'!K6</f>
        <v/>
      </c>
    </row>
    <row r="20" ht="15" customHeight="1" s="107">
      <c r="T20" s="106">
        <f>'Rep-Quarter Summary'!B8</f>
        <v/>
      </c>
      <c r="U20" s="185">
        <f>'Rep-Quarter Summary'!K8</f>
        <v/>
      </c>
    </row>
    <row r="21" ht="15" customHeight="1" s="107">
      <c r="T21" s="106">
        <f>'Rep-Quarter Summary'!B10</f>
        <v/>
      </c>
      <c r="U21" s="185">
        <f>'Rep-Quarter Summary'!K10</f>
        <v/>
      </c>
    </row>
    <row r="22" ht="15" customHeight="1" s="107">
      <c r="T22" s="106">
        <f>'Rep-Quarter Summary'!B12</f>
        <v/>
      </c>
      <c r="U22" s="185">
        <f>'Rep-Quarter Summary'!K12</f>
        <v/>
      </c>
    </row>
    <row r="23" ht="15" customHeight="1" s="107">
      <c r="T23" s="106">
        <f>'Rep-Quarter Summary'!B14</f>
        <v/>
      </c>
      <c r="U23" s="185">
        <f>'Rep-Quarter Summary'!K14</f>
        <v/>
      </c>
    </row>
    <row r="24" ht="15" customHeight="1" s="107">
      <c r="T24" s="106">
        <f>'Rep-Quarter Summary'!B16</f>
        <v/>
      </c>
      <c r="U24" s="185">
        <f>'Rep-Quarter Summary'!K16</f>
        <v/>
      </c>
    </row>
    <row r="25" ht="15" customHeight="1" s="107">
      <c r="T25" s="106">
        <f>'Rep-Quarter Summary'!B18</f>
        <v/>
      </c>
      <c r="U25" s="185">
        <f>'Rep-Quarter Summary'!K18</f>
        <v/>
      </c>
    </row>
    <row r="26" ht="15" customHeight="1" s="107">
      <c r="T26" s="106">
        <f>'Rep-Quarter Summary'!B20</f>
        <v/>
      </c>
      <c r="U26" s="185">
        <f>'Rep-Quarter Summary'!K20</f>
        <v/>
      </c>
    </row>
    <row r="27" ht="15" customHeight="1" s="107">
      <c r="T27" s="106">
        <f>'Rep-Quarter Summary'!B22</f>
        <v/>
      </c>
      <c r="U27" s="185">
        <f>'Rep-Quarter Summary'!K22</f>
        <v/>
      </c>
    </row>
    <row r="28" ht="15" customHeight="1" s="107">
      <c r="T28" s="106">
        <f>'Rep-Quarter Summary'!B24</f>
        <v/>
      </c>
      <c r="U28" s="185">
        <f>'Rep-Quarter Summary'!K24</f>
        <v/>
      </c>
    </row>
    <row r="29" ht="15" customHeight="1" s="107">
      <c r="T29" s="106">
        <f>'Rep-Quarter Summary'!B26</f>
        <v/>
      </c>
      <c r="U29" s="185">
        <f>'Rep-Quarter Summary'!K26</f>
        <v/>
      </c>
    </row>
    <row r="30" ht="15" customHeight="1" s="107">
      <c r="T30" s="106">
        <f>'Rep-Quarter Summary'!B28</f>
        <v/>
      </c>
      <c r="U30" s="185">
        <f>'Rep-Quarter Summary'!K28</f>
        <v/>
      </c>
    </row>
    <row r="31" ht="15" customHeight="1" s="107">
      <c r="T31" s="106">
        <f>'Rep-Quarter Summary'!B30</f>
        <v/>
      </c>
      <c r="U31" s="185">
        <f>'Rep-Quarter Summary'!K30</f>
        <v/>
      </c>
    </row>
    <row r="32" ht="15" customHeight="1" s="107">
      <c r="T32" s="106">
        <f>'Rep-Quarter Summary'!B32</f>
        <v/>
      </c>
      <c r="U32" s="185">
        <f>'Rep-Quarter Summary'!K32</f>
        <v/>
      </c>
    </row>
    <row r="33" ht="15" customHeight="1" s="107">
      <c r="T33" s="106">
        <f>'Rep-Quarter Summary'!B34</f>
        <v/>
      </c>
      <c r="U33" s="185">
        <f>'Rep-Quarter Summary'!K34</f>
        <v/>
      </c>
    </row>
    <row r="35" ht="15" customHeight="1" s="107">
      <c r="T35" s="120" t="inlineStr">
        <is>
          <t>Deal Type</t>
        </is>
      </c>
      <c r="U35" s="120" t="inlineStr">
        <is>
          <t>ARR</t>
        </is>
      </c>
    </row>
    <row r="36" ht="15" customHeight="1" s="107">
      <c r="T36" s="106" t="inlineStr">
        <is>
          <t>New Business</t>
        </is>
      </c>
      <c r="U36" s="181">
        <f>SUMIF('Bookings Detail'!$H$5:$H$274,T36,'Bookings Detail'!$K$5:$K$274)</f>
        <v/>
      </c>
    </row>
    <row r="37" ht="15" customHeight="1" s="107">
      <c r="T37" s="106" t="inlineStr">
        <is>
          <t>Upsell</t>
        </is>
      </c>
      <c r="U37" s="181">
        <f>SUMIF('Bookings Detail'!$H$5:$H$274,T37,'Bookings Detail'!$K$5:$K$274)</f>
        <v/>
      </c>
    </row>
    <row r="38" ht="15" customHeight="1" s="107">
      <c r="T38" s="106" t="inlineStr">
        <is>
          <t>Renewal</t>
        </is>
      </c>
      <c r="U38" s="181">
        <f>SUMIF('Bookings Detail'!$H$5:$H$274,T38,'Bookings Detail'!$K$5:$K$274)</f>
        <v/>
      </c>
    </row>
    <row r="41" ht="15" customHeight="1" s="107">
      <c r="T41" s="120" t="inlineStr">
        <is>
          <t>Segment</t>
        </is>
      </c>
      <c r="U41" s="120" t="inlineStr">
        <is>
          <t>Renewed ARR</t>
        </is>
      </c>
      <c r="V41" s="120" t="inlineStr">
        <is>
          <t>Eligible Book</t>
        </is>
      </c>
      <c r="W41" s="120" t="inlineStr">
        <is>
          <t>NRR</t>
        </is>
      </c>
    </row>
    <row r="42" ht="15" customHeight="1" s="107">
      <c r="T42" s="106" t="inlineStr">
        <is>
          <t>SMB</t>
        </is>
      </c>
      <c r="U42" s="181">
        <f>SUMPRODUCT(('Bookings Detail'!$H$5:$H$274="Renewal")*('Bookings Detail'!$D$5:$D$274=T42)*'Bookings Detail'!$K$5:$K$274)</f>
        <v/>
      </c>
      <c r="V42" s="181">
        <f>SUMIF('Sales Roster &amp; Quotas'!$D$6:$D$20,T42,'Sales Roster &amp; Quotas'!$H$6:$H$20)*0.5</f>
        <v/>
      </c>
      <c r="W42" s="185">
        <f>IFERROR(U42/V42,0)</f>
        <v/>
      </c>
    </row>
    <row r="43" ht="15" customHeight="1" s="107">
      <c r="T43" s="106" t="inlineStr">
        <is>
          <t>Mid-Market</t>
        </is>
      </c>
      <c r="U43" s="181">
        <f>SUMPRODUCT(('Bookings Detail'!$H$5:$H$274="Renewal")*('Bookings Detail'!$D$5:$D$274=T43)*'Bookings Detail'!$K$5:$K$274)</f>
        <v/>
      </c>
      <c r="V43" s="181">
        <f>SUMIF('Sales Roster &amp; Quotas'!$D$6:$D$20,T43,'Sales Roster &amp; Quotas'!$H$6:$H$20)*0.5</f>
        <v/>
      </c>
      <c r="W43" s="185">
        <f>IFERROR(U43/V43,0)</f>
        <v/>
      </c>
    </row>
    <row r="44" ht="15" customHeight="1" s="107">
      <c r="T44" s="106" t="inlineStr">
        <is>
          <t>Enterprise</t>
        </is>
      </c>
      <c r="U44" s="181">
        <f>SUMPRODUCT(('Bookings Detail'!$H$5:$H$274="Renewal")*('Bookings Detail'!$D$5:$D$274=T44)*'Bookings Detail'!$K$5:$K$274)</f>
        <v/>
      </c>
      <c r="V44" s="181">
        <f>SUMIF('Sales Roster &amp; Quotas'!$D$6:$D$20,T44,'Sales Roster &amp; Quotas'!$H$6:$H$20)*0.5</f>
        <v/>
      </c>
      <c r="W44" s="185">
        <f>IFERROR(U44/V44,0)</f>
        <v/>
      </c>
    </row>
    <row r="62" ht="15" customHeight="1" s="107">
      <c r="B62" s="114" t="inlineStr">
        <is>
          <t>Key Takeaways</t>
        </is>
      </c>
    </row>
    <row r="63" ht="27.75" customHeight="1" s="107">
      <c r="B63" s="186" t="inlineStr">
        <is>
          <t>•</t>
        </is>
      </c>
      <c r="C63" s="117" t="inlineStr">
        <is>
          <t>Mid-Market rep Omar Fischer is running at 178% of quota in Q2 — flag for accelerator payout review and a look at whether his territory quota was set too low.</t>
        </is>
      </c>
    </row>
    <row r="64" ht="27.75" customHeight="1" s="107">
      <c r="B64" s="186" t="inlineStr">
        <is>
          <t>•</t>
        </is>
      </c>
      <c r="C64" s="117" t="inlineStr">
        <is>
          <t>David Nguyen and Grace Adeyemi are both under 60% attainment for two consecutive quarters — candidates for a coaching plan before Q3 comp true-up.</t>
        </is>
      </c>
    </row>
    <row r="65" ht="27.75" customHeight="1" s="107">
      <c r="B65" s="186" t="inlineStr">
        <is>
          <t>•</t>
        </is>
      </c>
      <c r="C65" s="117" t="inlineStr">
        <is>
          <t>SMB segment NRR of 125% is being driven by a small number of large expansion renewals, not broad-based retention — worth validating before assuming the whole segment is over-performing.</t>
        </is>
      </c>
    </row>
    <row r="66" ht="27.75" customHeight="1" s="107">
      <c r="B66" s="186" t="inlineStr">
        <is>
          <t>•</t>
        </is>
      </c>
      <c r="C66" s="117" t="inlineStr">
        <is>
          <t>Commission expense has held steady at 6.1%-7.2% of bookings ARR each month, in line with the FY26 plan target of ~6.5%.</t>
        </is>
      </c>
    </row>
  </sheetData>
  <mergeCells count="16">
    <mergeCell ref="D6:E6"/>
    <mergeCell ref="B6:C6"/>
    <mergeCell ref="D10:E10"/>
    <mergeCell ref="C65:G65"/>
    <mergeCell ref="F10:G10"/>
    <mergeCell ref="B5:C5"/>
    <mergeCell ref="F5:G5"/>
    <mergeCell ref="D5:E5"/>
    <mergeCell ref="B10:C10"/>
    <mergeCell ref="C63:G63"/>
    <mergeCell ref="C66:G66"/>
    <mergeCell ref="F6:G6"/>
    <mergeCell ref="B9:C9"/>
    <mergeCell ref="D9:E9"/>
    <mergeCell ref="F9:G9"/>
    <mergeCell ref="C64:G64"/>
  </mergeCells>
  <printOptions horizontalCentered="0" verticalCentered="0" headings="0" gridLines="0" gridLinesSet="1"/>
  <pageMargins left="0.3" right="0.3" top="0.4" bottom="0.4"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B2:P53"/>
  <sheetViews>
    <sheetView showFormulas="0" showGridLines="0" showRowColHeaders="1" showZeros="1" rightToLeft="0" tabSelected="0" showOutlineSymbols="1" defaultGridColor="1" view="normal" topLeftCell="A1" colorId="64" zoomScale="100" zoomScaleNormal="100" zoomScalePageLayoutView="100" workbookViewId="0">
      <pane xSplit="1" ySplit="17" topLeftCell="B18" activePane="bottomRight" state="frozen"/>
      <selection pane="topLeft" activeCell="A1" activeCellId="0" sqref="A1"/>
      <selection pane="topRight" activeCell="B1" activeCellId="0" sqref="B1"/>
      <selection pane="bottomLeft" activeCell="A18" activeCellId="0" sqref="A18"/>
      <selection pane="bottomRight" activeCell="A1" activeCellId="0" sqref="A1"/>
    </sheetView>
  </sheetViews>
  <sheetFormatPr baseColWidth="8" defaultColWidth="8.6796875" defaultRowHeight="15" zeroHeight="0" outlineLevelRow="0"/>
  <cols>
    <col width="2" customWidth="1" style="106" min="1" max="1"/>
    <col width="24" customWidth="1" style="106" min="2" max="2"/>
    <col width="16" customWidth="1" style="106" min="3" max="3"/>
    <col width="14" customWidth="1" style="106" min="4" max="4"/>
    <col width="13" customWidth="1" style="106" min="5" max="7"/>
    <col width="14" customWidth="1" style="106" min="8" max="8"/>
    <col width="16" customWidth="1" style="106" min="9" max="9"/>
    <col width="13" customWidth="1" style="106" min="10" max="12"/>
    <col width="15" customWidth="1" style="106" min="13" max="15"/>
    <col width="16" customWidth="1" style="106" min="16" max="16"/>
  </cols>
  <sheetData>
    <row r="2" ht="17.25" customHeight="1" s="107">
      <c r="B2" s="119" t="inlineStr">
        <is>
          <t>Commission Plan Scenario Planner</t>
        </is>
      </c>
    </row>
    <row r="3" ht="15" customHeight="1" s="107">
      <c r="B3" s="110" t="inlineStr">
        <is>
          <t>What-if analysis: change the plan rates or quota below and see the resulting company-wide commission expense, holding actual H1 bookings behavior constant. Used to model plan changes before proposing them.</t>
        </is>
      </c>
    </row>
    <row r="5" ht="15" customHeight="1" s="107">
      <c r="B5" s="114" t="inlineStr">
        <is>
          <t>Scenario Inputs</t>
        </is>
      </c>
    </row>
    <row r="6" ht="15" customHeight="1" s="107">
      <c r="B6" s="112" t="inlineStr">
        <is>
          <t>New Biz Tier 1 rate (0-100% attainment)</t>
        </is>
      </c>
      <c r="D6" s="187" t="n">
        <v>0.08</v>
      </c>
    </row>
    <row r="7" ht="15" customHeight="1" s="107">
      <c r="B7" s="112" t="inlineStr">
        <is>
          <t>New Biz Tier 2 rate (100-125% attainment)</t>
        </is>
      </c>
      <c r="D7" s="187" t="n">
        <v>0.1</v>
      </c>
    </row>
    <row r="8" ht="15" customHeight="1" s="107">
      <c r="B8" s="112" t="inlineStr">
        <is>
          <t>New Biz Tier 3 rate (125%+ attainment)</t>
        </is>
      </c>
      <c r="D8" s="187" t="n">
        <v>0.12</v>
      </c>
    </row>
    <row r="9" ht="15" customHeight="1" s="107">
      <c r="B9" s="112" t="inlineStr">
        <is>
          <t>Upsell flat rate</t>
        </is>
      </c>
      <c r="D9" s="187" t="n">
        <v>0.06</v>
      </c>
    </row>
    <row r="10" ht="15" customHeight="1" s="107">
      <c r="B10" s="112" t="inlineStr">
        <is>
          <t>Renewal flat rate</t>
        </is>
      </c>
      <c r="D10" s="187" t="n">
        <v>0.03</v>
      </c>
    </row>
    <row r="11" ht="15" customHeight="1" s="107">
      <c r="B11" s="112" t="inlineStr">
        <is>
          <t>Quota adjustment (+/-, applied to all reps)</t>
        </is>
      </c>
      <c r="D11" s="187" t="n">
        <v>0</v>
      </c>
    </row>
    <row r="12" ht="15" customHeight="1" s="107">
      <c r="B12" s="110" t="inlineStr">
        <is>
          <t>Base plan rates shown in Commission Plan Rules tab for comparison.</t>
        </is>
      </c>
    </row>
    <row r="15" ht="15" customHeight="1" s="107">
      <c r="B15" s="114" t="inlineStr">
        <is>
          <t>Scenario Recalculation — Rep x Quarter (bookings held constant, rates/quota changed)</t>
        </is>
      </c>
    </row>
    <row r="17" ht="23.25" customHeight="1" s="107">
      <c r="B17" s="120" t="inlineStr">
        <is>
          <t>Rep ID</t>
        </is>
      </c>
      <c r="C17" s="120" t="inlineStr">
        <is>
          <t>Rep Name</t>
        </is>
      </c>
      <c r="D17" s="120" t="inlineStr">
        <is>
          <t>Quarter</t>
        </is>
      </c>
      <c r="E17" s="120" t="inlineStr">
        <is>
          <t>New Biz ARR</t>
        </is>
      </c>
      <c r="F17" s="120" t="inlineStr">
        <is>
          <t>Upsell ARR</t>
        </is>
      </c>
      <c r="G17" s="120" t="inlineStr">
        <is>
          <t>Renewal ARR</t>
        </is>
      </c>
      <c r="H17" s="120" t="inlineStr">
        <is>
          <t>Scenario Quota</t>
        </is>
      </c>
      <c r="I17" s="120" t="inlineStr">
        <is>
          <t>Scenario Attainment %</t>
        </is>
      </c>
      <c r="J17" s="120" t="inlineStr">
        <is>
          <t>Scenario Tier 1</t>
        </is>
      </c>
      <c r="K17" s="120" t="inlineStr">
        <is>
          <t>Scenario Tier 2</t>
        </is>
      </c>
      <c r="L17" s="120" t="inlineStr">
        <is>
          <t>Scenario Tier 3</t>
        </is>
      </c>
      <c r="M17" s="120" t="inlineStr">
        <is>
          <t>Scenario New Biz Comm.</t>
        </is>
      </c>
      <c r="N17" s="120" t="inlineStr">
        <is>
          <t>Scenario Upsell Comm.</t>
        </is>
      </c>
      <c r="O17" s="120" t="inlineStr">
        <is>
          <t>Scenario Renewal Comm.</t>
        </is>
      </c>
      <c r="P17" s="120" t="inlineStr">
        <is>
          <t>Scenario Total Commission</t>
        </is>
      </c>
    </row>
    <row r="18" ht="15" customHeight="1" s="107">
      <c r="B18" s="140">
        <f>'Rep-Quarter Summary'!A5</f>
        <v/>
      </c>
      <c r="C18" s="140">
        <f>'Rep-Quarter Summary'!B5</f>
        <v/>
      </c>
      <c r="D18" s="140">
        <f>'Rep-Quarter Summary'!E5</f>
        <v/>
      </c>
      <c r="E18" s="142">
        <f>'Rep-Quarter Summary'!F5</f>
        <v/>
      </c>
      <c r="F18" s="142">
        <f>'Rep-Quarter Summary'!G5</f>
        <v/>
      </c>
      <c r="G18" s="142">
        <f>'Rep-Quarter Summary'!H5</f>
        <v/>
      </c>
      <c r="H18" s="143">
        <f>'Rep-Quarter Summary'!J5*(1+$D$11)</f>
        <v/>
      </c>
      <c r="I18" s="144">
        <f>IFERROR(E18/H18,0)</f>
        <v/>
      </c>
      <c r="J18" s="143">
        <f>MIN(E18,H18)</f>
        <v/>
      </c>
      <c r="K18" s="143">
        <f>MAX(MIN(E18,H18*1.25)-H18,0)</f>
        <v/>
      </c>
      <c r="L18" s="143">
        <f>MAX(E18-H18*1.25,0)</f>
        <v/>
      </c>
      <c r="M18" s="143">
        <f>J18*$D$6+K18*$D$7+L18*$D$8</f>
        <v/>
      </c>
      <c r="N18" s="143">
        <f>F18*$D$9</f>
        <v/>
      </c>
      <c r="O18" s="143">
        <f>G18*$D$10</f>
        <v/>
      </c>
      <c r="P18" s="155">
        <f>M18+N18+O18</f>
        <v/>
      </c>
    </row>
    <row r="19" ht="15" customHeight="1" s="107">
      <c r="B19" s="146">
        <f>'Rep-Quarter Summary'!A6</f>
        <v/>
      </c>
      <c r="C19" s="146">
        <f>'Rep-Quarter Summary'!B6</f>
        <v/>
      </c>
      <c r="D19" s="146">
        <f>'Rep-Quarter Summary'!E6</f>
        <v/>
      </c>
      <c r="E19" s="148">
        <f>'Rep-Quarter Summary'!F6</f>
        <v/>
      </c>
      <c r="F19" s="148">
        <f>'Rep-Quarter Summary'!G6</f>
        <v/>
      </c>
      <c r="G19" s="148">
        <f>'Rep-Quarter Summary'!H6</f>
        <v/>
      </c>
      <c r="H19" s="149">
        <f>'Rep-Quarter Summary'!J6*(1+$D$11)</f>
        <v/>
      </c>
      <c r="I19" s="150">
        <f>IFERROR(E19/H19,0)</f>
        <v/>
      </c>
      <c r="J19" s="149">
        <f>MIN(E19,H19)</f>
        <v/>
      </c>
      <c r="K19" s="149">
        <f>MAX(MIN(E19,H19*1.25)-H19,0)</f>
        <v/>
      </c>
      <c r="L19" s="149">
        <f>MAX(E19-H19*1.25,0)</f>
        <v/>
      </c>
      <c r="M19" s="149">
        <f>J19*$D$6+K19*$D$7+L19*$D$8</f>
        <v/>
      </c>
      <c r="N19" s="149">
        <f>F19*$D$9</f>
        <v/>
      </c>
      <c r="O19" s="149">
        <f>G19*$D$10</f>
        <v/>
      </c>
      <c r="P19" s="157">
        <f>M19+N19+O19</f>
        <v/>
      </c>
    </row>
    <row r="20" ht="15" customHeight="1" s="107">
      <c r="B20" s="140">
        <f>'Rep-Quarter Summary'!A7</f>
        <v/>
      </c>
      <c r="C20" s="140">
        <f>'Rep-Quarter Summary'!B7</f>
        <v/>
      </c>
      <c r="D20" s="140">
        <f>'Rep-Quarter Summary'!E7</f>
        <v/>
      </c>
      <c r="E20" s="142">
        <f>'Rep-Quarter Summary'!F7</f>
        <v/>
      </c>
      <c r="F20" s="142">
        <f>'Rep-Quarter Summary'!G7</f>
        <v/>
      </c>
      <c r="G20" s="142">
        <f>'Rep-Quarter Summary'!H7</f>
        <v/>
      </c>
      <c r="H20" s="143">
        <f>'Rep-Quarter Summary'!J7*(1+$D$11)</f>
        <v/>
      </c>
      <c r="I20" s="144">
        <f>IFERROR(E20/H20,0)</f>
        <v/>
      </c>
      <c r="J20" s="143">
        <f>MIN(E20,H20)</f>
        <v/>
      </c>
      <c r="K20" s="143">
        <f>MAX(MIN(E20,H20*1.25)-H20,0)</f>
        <v/>
      </c>
      <c r="L20" s="143">
        <f>MAX(E20-H20*1.25,0)</f>
        <v/>
      </c>
      <c r="M20" s="143">
        <f>J20*$D$6+K20*$D$7+L20*$D$8</f>
        <v/>
      </c>
      <c r="N20" s="143">
        <f>F20*$D$9</f>
        <v/>
      </c>
      <c r="O20" s="143">
        <f>G20*$D$10</f>
        <v/>
      </c>
      <c r="P20" s="155">
        <f>M20+N20+O20</f>
        <v/>
      </c>
    </row>
    <row r="21" ht="15" customHeight="1" s="107">
      <c r="B21" s="146">
        <f>'Rep-Quarter Summary'!A8</f>
        <v/>
      </c>
      <c r="C21" s="146">
        <f>'Rep-Quarter Summary'!B8</f>
        <v/>
      </c>
      <c r="D21" s="146">
        <f>'Rep-Quarter Summary'!E8</f>
        <v/>
      </c>
      <c r="E21" s="148">
        <f>'Rep-Quarter Summary'!F8</f>
        <v/>
      </c>
      <c r="F21" s="148">
        <f>'Rep-Quarter Summary'!G8</f>
        <v/>
      </c>
      <c r="G21" s="148">
        <f>'Rep-Quarter Summary'!H8</f>
        <v/>
      </c>
      <c r="H21" s="149">
        <f>'Rep-Quarter Summary'!J8*(1+$D$11)</f>
        <v/>
      </c>
      <c r="I21" s="150">
        <f>IFERROR(E21/H21,0)</f>
        <v/>
      </c>
      <c r="J21" s="149">
        <f>MIN(E21,H21)</f>
        <v/>
      </c>
      <c r="K21" s="149">
        <f>MAX(MIN(E21,H21*1.25)-H21,0)</f>
        <v/>
      </c>
      <c r="L21" s="149">
        <f>MAX(E21-H21*1.25,0)</f>
        <v/>
      </c>
      <c r="M21" s="149">
        <f>J21*$D$6+K21*$D$7+L21*$D$8</f>
        <v/>
      </c>
      <c r="N21" s="149">
        <f>F21*$D$9</f>
        <v/>
      </c>
      <c r="O21" s="149">
        <f>G21*$D$10</f>
        <v/>
      </c>
      <c r="P21" s="157">
        <f>M21+N21+O21</f>
        <v/>
      </c>
    </row>
    <row r="22" ht="15" customHeight="1" s="107">
      <c r="B22" s="140">
        <f>'Rep-Quarter Summary'!A9</f>
        <v/>
      </c>
      <c r="C22" s="140">
        <f>'Rep-Quarter Summary'!B9</f>
        <v/>
      </c>
      <c r="D22" s="140">
        <f>'Rep-Quarter Summary'!E9</f>
        <v/>
      </c>
      <c r="E22" s="142">
        <f>'Rep-Quarter Summary'!F9</f>
        <v/>
      </c>
      <c r="F22" s="142">
        <f>'Rep-Quarter Summary'!G9</f>
        <v/>
      </c>
      <c r="G22" s="142">
        <f>'Rep-Quarter Summary'!H9</f>
        <v/>
      </c>
      <c r="H22" s="143">
        <f>'Rep-Quarter Summary'!J9*(1+$D$11)</f>
        <v/>
      </c>
      <c r="I22" s="144">
        <f>IFERROR(E22/H22,0)</f>
        <v/>
      </c>
      <c r="J22" s="143">
        <f>MIN(E22,H22)</f>
        <v/>
      </c>
      <c r="K22" s="143">
        <f>MAX(MIN(E22,H22*1.25)-H22,0)</f>
        <v/>
      </c>
      <c r="L22" s="143">
        <f>MAX(E22-H22*1.25,0)</f>
        <v/>
      </c>
      <c r="M22" s="143">
        <f>J22*$D$6+K22*$D$7+L22*$D$8</f>
        <v/>
      </c>
      <c r="N22" s="143">
        <f>F22*$D$9</f>
        <v/>
      </c>
      <c r="O22" s="143">
        <f>G22*$D$10</f>
        <v/>
      </c>
      <c r="P22" s="155">
        <f>M22+N22+O22</f>
        <v/>
      </c>
    </row>
    <row r="23" ht="15" customHeight="1" s="107">
      <c r="B23" s="146">
        <f>'Rep-Quarter Summary'!A10</f>
        <v/>
      </c>
      <c r="C23" s="146">
        <f>'Rep-Quarter Summary'!B10</f>
        <v/>
      </c>
      <c r="D23" s="146">
        <f>'Rep-Quarter Summary'!E10</f>
        <v/>
      </c>
      <c r="E23" s="148">
        <f>'Rep-Quarter Summary'!F10</f>
        <v/>
      </c>
      <c r="F23" s="148">
        <f>'Rep-Quarter Summary'!G10</f>
        <v/>
      </c>
      <c r="G23" s="148">
        <f>'Rep-Quarter Summary'!H10</f>
        <v/>
      </c>
      <c r="H23" s="149">
        <f>'Rep-Quarter Summary'!J10*(1+$D$11)</f>
        <v/>
      </c>
      <c r="I23" s="150">
        <f>IFERROR(E23/H23,0)</f>
        <v/>
      </c>
      <c r="J23" s="149">
        <f>MIN(E23,H23)</f>
        <v/>
      </c>
      <c r="K23" s="149">
        <f>MAX(MIN(E23,H23*1.25)-H23,0)</f>
        <v/>
      </c>
      <c r="L23" s="149">
        <f>MAX(E23-H23*1.25,0)</f>
        <v/>
      </c>
      <c r="M23" s="149">
        <f>J23*$D$6+K23*$D$7+L23*$D$8</f>
        <v/>
      </c>
      <c r="N23" s="149">
        <f>F23*$D$9</f>
        <v/>
      </c>
      <c r="O23" s="149">
        <f>G23*$D$10</f>
        <v/>
      </c>
      <c r="P23" s="157">
        <f>M23+N23+O23</f>
        <v/>
      </c>
    </row>
    <row r="24" ht="15" customHeight="1" s="107">
      <c r="B24" s="140">
        <f>'Rep-Quarter Summary'!A11</f>
        <v/>
      </c>
      <c r="C24" s="140">
        <f>'Rep-Quarter Summary'!B11</f>
        <v/>
      </c>
      <c r="D24" s="140">
        <f>'Rep-Quarter Summary'!E11</f>
        <v/>
      </c>
      <c r="E24" s="142">
        <f>'Rep-Quarter Summary'!F11</f>
        <v/>
      </c>
      <c r="F24" s="142">
        <f>'Rep-Quarter Summary'!G11</f>
        <v/>
      </c>
      <c r="G24" s="142">
        <f>'Rep-Quarter Summary'!H11</f>
        <v/>
      </c>
      <c r="H24" s="143">
        <f>'Rep-Quarter Summary'!J11*(1+$D$11)</f>
        <v/>
      </c>
      <c r="I24" s="144">
        <f>IFERROR(E24/H24,0)</f>
        <v/>
      </c>
      <c r="J24" s="143">
        <f>MIN(E24,H24)</f>
        <v/>
      </c>
      <c r="K24" s="143">
        <f>MAX(MIN(E24,H24*1.25)-H24,0)</f>
        <v/>
      </c>
      <c r="L24" s="143">
        <f>MAX(E24-H24*1.25,0)</f>
        <v/>
      </c>
      <c r="M24" s="143">
        <f>J24*$D$6+K24*$D$7+L24*$D$8</f>
        <v/>
      </c>
      <c r="N24" s="143">
        <f>F24*$D$9</f>
        <v/>
      </c>
      <c r="O24" s="143">
        <f>G24*$D$10</f>
        <v/>
      </c>
      <c r="P24" s="155">
        <f>M24+N24+O24</f>
        <v/>
      </c>
    </row>
    <row r="25" ht="15" customHeight="1" s="107">
      <c r="B25" s="146">
        <f>'Rep-Quarter Summary'!A12</f>
        <v/>
      </c>
      <c r="C25" s="146">
        <f>'Rep-Quarter Summary'!B12</f>
        <v/>
      </c>
      <c r="D25" s="146">
        <f>'Rep-Quarter Summary'!E12</f>
        <v/>
      </c>
      <c r="E25" s="148">
        <f>'Rep-Quarter Summary'!F12</f>
        <v/>
      </c>
      <c r="F25" s="148">
        <f>'Rep-Quarter Summary'!G12</f>
        <v/>
      </c>
      <c r="G25" s="148">
        <f>'Rep-Quarter Summary'!H12</f>
        <v/>
      </c>
      <c r="H25" s="149">
        <f>'Rep-Quarter Summary'!J12*(1+$D$11)</f>
        <v/>
      </c>
      <c r="I25" s="150">
        <f>IFERROR(E25/H25,0)</f>
        <v/>
      </c>
      <c r="J25" s="149">
        <f>MIN(E25,H25)</f>
        <v/>
      </c>
      <c r="K25" s="149">
        <f>MAX(MIN(E25,H25*1.25)-H25,0)</f>
        <v/>
      </c>
      <c r="L25" s="149">
        <f>MAX(E25-H25*1.25,0)</f>
        <v/>
      </c>
      <c r="M25" s="149">
        <f>J25*$D$6+K25*$D$7+L25*$D$8</f>
        <v/>
      </c>
      <c r="N25" s="149">
        <f>F25*$D$9</f>
        <v/>
      </c>
      <c r="O25" s="149">
        <f>G25*$D$10</f>
        <v/>
      </c>
      <c r="P25" s="157">
        <f>M25+N25+O25</f>
        <v/>
      </c>
    </row>
    <row r="26" ht="15" customHeight="1" s="107">
      <c r="B26" s="140">
        <f>'Rep-Quarter Summary'!A13</f>
        <v/>
      </c>
      <c r="C26" s="140">
        <f>'Rep-Quarter Summary'!B13</f>
        <v/>
      </c>
      <c r="D26" s="140">
        <f>'Rep-Quarter Summary'!E13</f>
        <v/>
      </c>
      <c r="E26" s="142">
        <f>'Rep-Quarter Summary'!F13</f>
        <v/>
      </c>
      <c r="F26" s="142">
        <f>'Rep-Quarter Summary'!G13</f>
        <v/>
      </c>
      <c r="G26" s="142">
        <f>'Rep-Quarter Summary'!H13</f>
        <v/>
      </c>
      <c r="H26" s="143">
        <f>'Rep-Quarter Summary'!J13*(1+$D$11)</f>
        <v/>
      </c>
      <c r="I26" s="144">
        <f>IFERROR(E26/H26,0)</f>
        <v/>
      </c>
      <c r="J26" s="143">
        <f>MIN(E26,H26)</f>
        <v/>
      </c>
      <c r="K26" s="143">
        <f>MAX(MIN(E26,H26*1.25)-H26,0)</f>
        <v/>
      </c>
      <c r="L26" s="143">
        <f>MAX(E26-H26*1.25,0)</f>
        <v/>
      </c>
      <c r="M26" s="143">
        <f>J26*$D$6+K26*$D$7+L26*$D$8</f>
        <v/>
      </c>
      <c r="N26" s="143">
        <f>F26*$D$9</f>
        <v/>
      </c>
      <c r="O26" s="143">
        <f>G26*$D$10</f>
        <v/>
      </c>
      <c r="P26" s="155">
        <f>M26+N26+O26</f>
        <v/>
      </c>
    </row>
    <row r="27" ht="15" customHeight="1" s="107">
      <c r="B27" s="146">
        <f>'Rep-Quarter Summary'!A14</f>
        <v/>
      </c>
      <c r="C27" s="146">
        <f>'Rep-Quarter Summary'!B14</f>
        <v/>
      </c>
      <c r="D27" s="146">
        <f>'Rep-Quarter Summary'!E14</f>
        <v/>
      </c>
      <c r="E27" s="148">
        <f>'Rep-Quarter Summary'!F14</f>
        <v/>
      </c>
      <c r="F27" s="148">
        <f>'Rep-Quarter Summary'!G14</f>
        <v/>
      </c>
      <c r="G27" s="148">
        <f>'Rep-Quarter Summary'!H14</f>
        <v/>
      </c>
      <c r="H27" s="149">
        <f>'Rep-Quarter Summary'!J14*(1+$D$11)</f>
        <v/>
      </c>
      <c r="I27" s="150">
        <f>IFERROR(E27/H27,0)</f>
        <v/>
      </c>
      <c r="J27" s="149">
        <f>MIN(E27,H27)</f>
        <v/>
      </c>
      <c r="K27" s="149">
        <f>MAX(MIN(E27,H27*1.25)-H27,0)</f>
        <v/>
      </c>
      <c r="L27" s="149">
        <f>MAX(E27-H27*1.25,0)</f>
        <v/>
      </c>
      <c r="M27" s="149">
        <f>J27*$D$6+K27*$D$7+L27*$D$8</f>
        <v/>
      </c>
      <c r="N27" s="149">
        <f>F27*$D$9</f>
        <v/>
      </c>
      <c r="O27" s="149">
        <f>G27*$D$10</f>
        <v/>
      </c>
      <c r="P27" s="157">
        <f>M27+N27+O27</f>
        <v/>
      </c>
    </row>
    <row r="28" ht="15" customHeight="1" s="107">
      <c r="B28" s="140">
        <f>'Rep-Quarter Summary'!A15</f>
        <v/>
      </c>
      <c r="C28" s="140">
        <f>'Rep-Quarter Summary'!B15</f>
        <v/>
      </c>
      <c r="D28" s="140">
        <f>'Rep-Quarter Summary'!E15</f>
        <v/>
      </c>
      <c r="E28" s="142">
        <f>'Rep-Quarter Summary'!F15</f>
        <v/>
      </c>
      <c r="F28" s="142">
        <f>'Rep-Quarter Summary'!G15</f>
        <v/>
      </c>
      <c r="G28" s="142">
        <f>'Rep-Quarter Summary'!H15</f>
        <v/>
      </c>
      <c r="H28" s="143">
        <f>'Rep-Quarter Summary'!J15*(1+$D$11)</f>
        <v/>
      </c>
      <c r="I28" s="144">
        <f>IFERROR(E28/H28,0)</f>
        <v/>
      </c>
      <c r="J28" s="143">
        <f>MIN(E28,H28)</f>
        <v/>
      </c>
      <c r="K28" s="143">
        <f>MAX(MIN(E28,H28*1.25)-H28,0)</f>
        <v/>
      </c>
      <c r="L28" s="143">
        <f>MAX(E28-H28*1.25,0)</f>
        <v/>
      </c>
      <c r="M28" s="143">
        <f>J28*$D$6+K28*$D$7+L28*$D$8</f>
        <v/>
      </c>
      <c r="N28" s="143">
        <f>F28*$D$9</f>
        <v/>
      </c>
      <c r="O28" s="143">
        <f>G28*$D$10</f>
        <v/>
      </c>
      <c r="P28" s="155">
        <f>M28+N28+O28</f>
        <v/>
      </c>
    </row>
    <row r="29" ht="15" customHeight="1" s="107">
      <c r="B29" s="146">
        <f>'Rep-Quarter Summary'!A16</f>
        <v/>
      </c>
      <c r="C29" s="146">
        <f>'Rep-Quarter Summary'!B16</f>
        <v/>
      </c>
      <c r="D29" s="146">
        <f>'Rep-Quarter Summary'!E16</f>
        <v/>
      </c>
      <c r="E29" s="148">
        <f>'Rep-Quarter Summary'!F16</f>
        <v/>
      </c>
      <c r="F29" s="148">
        <f>'Rep-Quarter Summary'!G16</f>
        <v/>
      </c>
      <c r="G29" s="148">
        <f>'Rep-Quarter Summary'!H16</f>
        <v/>
      </c>
      <c r="H29" s="149">
        <f>'Rep-Quarter Summary'!J16*(1+$D$11)</f>
        <v/>
      </c>
      <c r="I29" s="150">
        <f>IFERROR(E29/H29,0)</f>
        <v/>
      </c>
      <c r="J29" s="149">
        <f>MIN(E29,H29)</f>
        <v/>
      </c>
      <c r="K29" s="149">
        <f>MAX(MIN(E29,H29*1.25)-H29,0)</f>
        <v/>
      </c>
      <c r="L29" s="149">
        <f>MAX(E29-H29*1.25,0)</f>
        <v/>
      </c>
      <c r="M29" s="149">
        <f>J29*$D$6+K29*$D$7+L29*$D$8</f>
        <v/>
      </c>
      <c r="N29" s="149">
        <f>F29*$D$9</f>
        <v/>
      </c>
      <c r="O29" s="149">
        <f>G29*$D$10</f>
        <v/>
      </c>
      <c r="P29" s="157">
        <f>M29+N29+O29</f>
        <v/>
      </c>
    </row>
    <row r="30" ht="15" customHeight="1" s="107">
      <c r="B30" s="140">
        <f>'Rep-Quarter Summary'!A17</f>
        <v/>
      </c>
      <c r="C30" s="140">
        <f>'Rep-Quarter Summary'!B17</f>
        <v/>
      </c>
      <c r="D30" s="140">
        <f>'Rep-Quarter Summary'!E17</f>
        <v/>
      </c>
      <c r="E30" s="142">
        <f>'Rep-Quarter Summary'!F17</f>
        <v/>
      </c>
      <c r="F30" s="142">
        <f>'Rep-Quarter Summary'!G17</f>
        <v/>
      </c>
      <c r="G30" s="142">
        <f>'Rep-Quarter Summary'!H17</f>
        <v/>
      </c>
      <c r="H30" s="143">
        <f>'Rep-Quarter Summary'!J17*(1+$D$11)</f>
        <v/>
      </c>
      <c r="I30" s="144">
        <f>IFERROR(E30/H30,0)</f>
        <v/>
      </c>
      <c r="J30" s="143">
        <f>MIN(E30,H30)</f>
        <v/>
      </c>
      <c r="K30" s="143">
        <f>MAX(MIN(E30,H30*1.25)-H30,0)</f>
        <v/>
      </c>
      <c r="L30" s="143">
        <f>MAX(E30-H30*1.25,0)</f>
        <v/>
      </c>
      <c r="M30" s="143">
        <f>J30*$D$6+K30*$D$7+L30*$D$8</f>
        <v/>
      </c>
      <c r="N30" s="143">
        <f>F30*$D$9</f>
        <v/>
      </c>
      <c r="O30" s="143">
        <f>G30*$D$10</f>
        <v/>
      </c>
      <c r="P30" s="155">
        <f>M30+N30+O30</f>
        <v/>
      </c>
    </row>
    <row r="31" ht="15" customHeight="1" s="107">
      <c r="B31" s="146">
        <f>'Rep-Quarter Summary'!A18</f>
        <v/>
      </c>
      <c r="C31" s="146">
        <f>'Rep-Quarter Summary'!B18</f>
        <v/>
      </c>
      <c r="D31" s="146">
        <f>'Rep-Quarter Summary'!E18</f>
        <v/>
      </c>
      <c r="E31" s="148">
        <f>'Rep-Quarter Summary'!F18</f>
        <v/>
      </c>
      <c r="F31" s="148">
        <f>'Rep-Quarter Summary'!G18</f>
        <v/>
      </c>
      <c r="G31" s="148">
        <f>'Rep-Quarter Summary'!H18</f>
        <v/>
      </c>
      <c r="H31" s="149">
        <f>'Rep-Quarter Summary'!J18*(1+$D$11)</f>
        <v/>
      </c>
      <c r="I31" s="150">
        <f>IFERROR(E31/H31,0)</f>
        <v/>
      </c>
      <c r="J31" s="149">
        <f>MIN(E31,H31)</f>
        <v/>
      </c>
      <c r="K31" s="149">
        <f>MAX(MIN(E31,H31*1.25)-H31,0)</f>
        <v/>
      </c>
      <c r="L31" s="149">
        <f>MAX(E31-H31*1.25,0)</f>
        <v/>
      </c>
      <c r="M31" s="149">
        <f>J31*$D$6+K31*$D$7+L31*$D$8</f>
        <v/>
      </c>
      <c r="N31" s="149">
        <f>F31*$D$9</f>
        <v/>
      </c>
      <c r="O31" s="149">
        <f>G31*$D$10</f>
        <v/>
      </c>
      <c r="P31" s="157">
        <f>M31+N31+O31</f>
        <v/>
      </c>
    </row>
    <row r="32" ht="15" customHeight="1" s="107">
      <c r="B32" s="140">
        <f>'Rep-Quarter Summary'!A19</f>
        <v/>
      </c>
      <c r="C32" s="140">
        <f>'Rep-Quarter Summary'!B19</f>
        <v/>
      </c>
      <c r="D32" s="140">
        <f>'Rep-Quarter Summary'!E19</f>
        <v/>
      </c>
      <c r="E32" s="142">
        <f>'Rep-Quarter Summary'!F19</f>
        <v/>
      </c>
      <c r="F32" s="142">
        <f>'Rep-Quarter Summary'!G19</f>
        <v/>
      </c>
      <c r="G32" s="142">
        <f>'Rep-Quarter Summary'!H19</f>
        <v/>
      </c>
      <c r="H32" s="143">
        <f>'Rep-Quarter Summary'!J19*(1+$D$11)</f>
        <v/>
      </c>
      <c r="I32" s="144">
        <f>IFERROR(E32/H32,0)</f>
        <v/>
      </c>
      <c r="J32" s="143">
        <f>MIN(E32,H32)</f>
        <v/>
      </c>
      <c r="K32" s="143">
        <f>MAX(MIN(E32,H32*1.25)-H32,0)</f>
        <v/>
      </c>
      <c r="L32" s="143">
        <f>MAX(E32-H32*1.25,0)</f>
        <v/>
      </c>
      <c r="M32" s="143">
        <f>J32*$D$6+K32*$D$7+L32*$D$8</f>
        <v/>
      </c>
      <c r="N32" s="143">
        <f>F32*$D$9</f>
        <v/>
      </c>
      <c r="O32" s="143">
        <f>G32*$D$10</f>
        <v/>
      </c>
      <c r="P32" s="155">
        <f>M32+N32+O32</f>
        <v/>
      </c>
    </row>
    <row r="33" ht="15" customHeight="1" s="107">
      <c r="B33" s="146">
        <f>'Rep-Quarter Summary'!A20</f>
        <v/>
      </c>
      <c r="C33" s="146">
        <f>'Rep-Quarter Summary'!B20</f>
        <v/>
      </c>
      <c r="D33" s="146">
        <f>'Rep-Quarter Summary'!E20</f>
        <v/>
      </c>
      <c r="E33" s="148">
        <f>'Rep-Quarter Summary'!F20</f>
        <v/>
      </c>
      <c r="F33" s="148">
        <f>'Rep-Quarter Summary'!G20</f>
        <v/>
      </c>
      <c r="G33" s="148">
        <f>'Rep-Quarter Summary'!H20</f>
        <v/>
      </c>
      <c r="H33" s="149">
        <f>'Rep-Quarter Summary'!J20*(1+$D$11)</f>
        <v/>
      </c>
      <c r="I33" s="150">
        <f>IFERROR(E33/H33,0)</f>
        <v/>
      </c>
      <c r="J33" s="149">
        <f>MIN(E33,H33)</f>
        <v/>
      </c>
      <c r="K33" s="149">
        <f>MAX(MIN(E33,H33*1.25)-H33,0)</f>
        <v/>
      </c>
      <c r="L33" s="149">
        <f>MAX(E33-H33*1.25,0)</f>
        <v/>
      </c>
      <c r="M33" s="149">
        <f>J33*$D$6+K33*$D$7+L33*$D$8</f>
        <v/>
      </c>
      <c r="N33" s="149">
        <f>F33*$D$9</f>
        <v/>
      </c>
      <c r="O33" s="149">
        <f>G33*$D$10</f>
        <v/>
      </c>
      <c r="P33" s="157">
        <f>M33+N33+O33</f>
        <v/>
      </c>
    </row>
    <row r="34" ht="15" customHeight="1" s="107">
      <c r="B34" s="140">
        <f>'Rep-Quarter Summary'!A21</f>
        <v/>
      </c>
      <c r="C34" s="140">
        <f>'Rep-Quarter Summary'!B21</f>
        <v/>
      </c>
      <c r="D34" s="140">
        <f>'Rep-Quarter Summary'!E21</f>
        <v/>
      </c>
      <c r="E34" s="142">
        <f>'Rep-Quarter Summary'!F21</f>
        <v/>
      </c>
      <c r="F34" s="142">
        <f>'Rep-Quarter Summary'!G21</f>
        <v/>
      </c>
      <c r="G34" s="142">
        <f>'Rep-Quarter Summary'!H21</f>
        <v/>
      </c>
      <c r="H34" s="143">
        <f>'Rep-Quarter Summary'!J21*(1+$D$11)</f>
        <v/>
      </c>
      <c r="I34" s="144">
        <f>IFERROR(E34/H34,0)</f>
        <v/>
      </c>
      <c r="J34" s="143">
        <f>MIN(E34,H34)</f>
        <v/>
      </c>
      <c r="K34" s="143">
        <f>MAX(MIN(E34,H34*1.25)-H34,0)</f>
        <v/>
      </c>
      <c r="L34" s="143">
        <f>MAX(E34-H34*1.25,0)</f>
        <v/>
      </c>
      <c r="M34" s="143">
        <f>J34*$D$6+K34*$D$7+L34*$D$8</f>
        <v/>
      </c>
      <c r="N34" s="143">
        <f>F34*$D$9</f>
        <v/>
      </c>
      <c r="O34" s="143">
        <f>G34*$D$10</f>
        <v/>
      </c>
      <c r="P34" s="155">
        <f>M34+N34+O34</f>
        <v/>
      </c>
    </row>
    <row r="35" ht="15" customHeight="1" s="107">
      <c r="B35" s="146">
        <f>'Rep-Quarter Summary'!A22</f>
        <v/>
      </c>
      <c r="C35" s="146">
        <f>'Rep-Quarter Summary'!B22</f>
        <v/>
      </c>
      <c r="D35" s="146">
        <f>'Rep-Quarter Summary'!E22</f>
        <v/>
      </c>
      <c r="E35" s="148">
        <f>'Rep-Quarter Summary'!F22</f>
        <v/>
      </c>
      <c r="F35" s="148">
        <f>'Rep-Quarter Summary'!G22</f>
        <v/>
      </c>
      <c r="G35" s="148">
        <f>'Rep-Quarter Summary'!H22</f>
        <v/>
      </c>
      <c r="H35" s="149">
        <f>'Rep-Quarter Summary'!J22*(1+$D$11)</f>
        <v/>
      </c>
      <c r="I35" s="150">
        <f>IFERROR(E35/H35,0)</f>
        <v/>
      </c>
      <c r="J35" s="149">
        <f>MIN(E35,H35)</f>
        <v/>
      </c>
      <c r="K35" s="149">
        <f>MAX(MIN(E35,H35*1.25)-H35,0)</f>
        <v/>
      </c>
      <c r="L35" s="149">
        <f>MAX(E35-H35*1.25,0)</f>
        <v/>
      </c>
      <c r="M35" s="149">
        <f>J35*$D$6+K35*$D$7+L35*$D$8</f>
        <v/>
      </c>
      <c r="N35" s="149">
        <f>F35*$D$9</f>
        <v/>
      </c>
      <c r="O35" s="149">
        <f>G35*$D$10</f>
        <v/>
      </c>
      <c r="P35" s="157">
        <f>M35+N35+O35</f>
        <v/>
      </c>
    </row>
    <row r="36" ht="15" customHeight="1" s="107">
      <c r="B36" s="140">
        <f>'Rep-Quarter Summary'!A23</f>
        <v/>
      </c>
      <c r="C36" s="140">
        <f>'Rep-Quarter Summary'!B23</f>
        <v/>
      </c>
      <c r="D36" s="140">
        <f>'Rep-Quarter Summary'!E23</f>
        <v/>
      </c>
      <c r="E36" s="142">
        <f>'Rep-Quarter Summary'!F23</f>
        <v/>
      </c>
      <c r="F36" s="142">
        <f>'Rep-Quarter Summary'!G23</f>
        <v/>
      </c>
      <c r="G36" s="142">
        <f>'Rep-Quarter Summary'!H23</f>
        <v/>
      </c>
      <c r="H36" s="143">
        <f>'Rep-Quarter Summary'!J23*(1+$D$11)</f>
        <v/>
      </c>
      <c r="I36" s="144">
        <f>IFERROR(E36/H36,0)</f>
        <v/>
      </c>
      <c r="J36" s="143">
        <f>MIN(E36,H36)</f>
        <v/>
      </c>
      <c r="K36" s="143">
        <f>MAX(MIN(E36,H36*1.25)-H36,0)</f>
        <v/>
      </c>
      <c r="L36" s="143">
        <f>MAX(E36-H36*1.25,0)</f>
        <v/>
      </c>
      <c r="M36" s="143">
        <f>J36*$D$6+K36*$D$7+L36*$D$8</f>
        <v/>
      </c>
      <c r="N36" s="143">
        <f>F36*$D$9</f>
        <v/>
      </c>
      <c r="O36" s="143">
        <f>G36*$D$10</f>
        <v/>
      </c>
      <c r="P36" s="155">
        <f>M36+N36+O36</f>
        <v/>
      </c>
    </row>
    <row r="37" ht="15" customHeight="1" s="107">
      <c r="B37" s="146">
        <f>'Rep-Quarter Summary'!A24</f>
        <v/>
      </c>
      <c r="C37" s="146">
        <f>'Rep-Quarter Summary'!B24</f>
        <v/>
      </c>
      <c r="D37" s="146">
        <f>'Rep-Quarter Summary'!E24</f>
        <v/>
      </c>
      <c r="E37" s="148">
        <f>'Rep-Quarter Summary'!F24</f>
        <v/>
      </c>
      <c r="F37" s="148">
        <f>'Rep-Quarter Summary'!G24</f>
        <v/>
      </c>
      <c r="G37" s="148">
        <f>'Rep-Quarter Summary'!H24</f>
        <v/>
      </c>
      <c r="H37" s="149">
        <f>'Rep-Quarter Summary'!J24*(1+$D$11)</f>
        <v/>
      </c>
      <c r="I37" s="150">
        <f>IFERROR(E37/H37,0)</f>
        <v/>
      </c>
      <c r="J37" s="149">
        <f>MIN(E37,H37)</f>
        <v/>
      </c>
      <c r="K37" s="149">
        <f>MAX(MIN(E37,H37*1.25)-H37,0)</f>
        <v/>
      </c>
      <c r="L37" s="149">
        <f>MAX(E37-H37*1.25,0)</f>
        <v/>
      </c>
      <c r="M37" s="149">
        <f>J37*$D$6+K37*$D$7+L37*$D$8</f>
        <v/>
      </c>
      <c r="N37" s="149">
        <f>F37*$D$9</f>
        <v/>
      </c>
      <c r="O37" s="149">
        <f>G37*$D$10</f>
        <v/>
      </c>
      <c r="P37" s="157">
        <f>M37+N37+O37</f>
        <v/>
      </c>
    </row>
    <row r="38" ht="15" customHeight="1" s="107">
      <c r="B38" s="140">
        <f>'Rep-Quarter Summary'!A25</f>
        <v/>
      </c>
      <c r="C38" s="140">
        <f>'Rep-Quarter Summary'!B25</f>
        <v/>
      </c>
      <c r="D38" s="140">
        <f>'Rep-Quarter Summary'!E25</f>
        <v/>
      </c>
      <c r="E38" s="142">
        <f>'Rep-Quarter Summary'!F25</f>
        <v/>
      </c>
      <c r="F38" s="142">
        <f>'Rep-Quarter Summary'!G25</f>
        <v/>
      </c>
      <c r="G38" s="142">
        <f>'Rep-Quarter Summary'!H25</f>
        <v/>
      </c>
      <c r="H38" s="143">
        <f>'Rep-Quarter Summary'!J25*(1+$D$11)</f>
        <v/>
      </c>
      <c r="I38" s="144">
        <f>IFERROR(E38/H38,0)</f>
        <v/>
      </c>
      <c r="J38" s="143">
        <f>MIN(E38,H38)</f>
        <v/>
      </c>
      <c r="K38" s="143">
        <f>MAX(MIN(E38,H38*1.25)-H38,0)</f>
        <v/>
      </c>
      <c r="L38" s="143">
        <f>MAX(E38-H38*1.25,0)</f>
        <v/>
      </c>
      <c r="M38" s="143">
        <f>J38*$D$6+K38*$D$7+L38*$D$8</f>
        <v/>
      </c>
      <c r="N38" s="143">
        <f>F38*$D$9</f>
        <v/>
      </c>
      <c r="O38" s="143">
        <f>G38*$D$10</f>
        <v/>
      </c>
      <c r="P38" s="155">
        <f>M38+N38+O38</f>
        <v/>
      </c>
    </row>
    <row r="39" ht="15" customHeight="1" s="107">
      <c r="B39" s="146">
        <f>'Rep-Quarter Summary'!A26</f>
        <v/>
      </c>
      <c r="C39" s="146">
        <f>'Rep-Quarter Summary'!B26</f>
        <v/>
      </c>
      <c r="D39" s="146">
        <f>'Rep-Quarter Summary'!E26</f>
        <v/>
      </c>
      <c r="E39" s="148">
        <f>'Rep-Quarter Summary'!F26</f>
        <v/>
      </c>
      <c r="F39" s="148">
        <f>'Rep-Quarter Summary'!G26</f>
        <v/>
      </c>
      <c r="G39" s="148">
        <f>'Rep-Quarter Summary'!H26</f>
        <v/>
      </c>
      <c r="H39" s="149">
        <f>'Rep-Quarter Summary'!J26*(1+$D$11)</f>
        <v/>
      </c>
      <c r="I39" s="150">
        <f>IFERROR(E39/H39,0)</f>
        <v/>
      </c>
      <c r="J39" s="149">
        <f>MIN(E39,H39)</f>
        <v/>
      </c>
      <c r="K39" s="149">
        <f>MAX(MIN(E39,H39*1.25)-H39,0)</f>
        <v/>
      </c>
      <c r="L39" s="149">
        <f>MAX(E39-H39*1.25,0)</f>
        <v/>
      </c>
      <c r="M39" s="149">
        <f>J39*$D$6+K39*$D$7+L39*$D$8</f>
        <v/>
      </c>
      <c r="N39" s="149">
        <f>F39*$D$9</f>
        <v/>
      </c>
      <c r="O39" s="149">
        <f>G39*$D$10</f>
        <v/>
      </c>
      <c r="P39" s="157">
        <f>M39+N39+O39</f>
        <v/>
      </c>
    </row>
    <row r="40" ht="15" customHeight="1" s="107">
      <c r="B40" s="140">
        <f>'Rep-Quarter Summary'!A27</f>
        <v/>
      </c>
      <c r="C40" s="140">
        <f>'Rep-Quarter Summary'!B27</f>
        <v/>
      </c>
      <c r="D40" s="140">
        <f>'Rep-Quarter Summary'!E27</f>
        <v/>
      </c>
      <c r="E40" s="142">
        <f>'Rep-Quarter Summary'!F27</f>
        <v/>
      </c>
      <c r="F40" s="142">
        <f>'Rep-Quarter Summary'!G27</f>
        <v/>
      </c>
      <c r="G40" s="142">
        <f>'Rep-Quarter Summary'!H27</f>
        <v/>
      </c>
      <c r="H40" s="143">
        <f>'Rep-Quarter Summary'!J27*(1+$D$11)</f>
        <v/>
      </c>
      <c r="I40" s="144">
        <f>IFERROR(E40/H40,0)</f>
        <v/>
      </c>
      <c r="J40" s="143">
        <f>MIN(E40,H40)</f>
        <v/>
      </c>
      <c r="K40" s="143">
        <f>MAX(MIN(E40,H40*1.25)-H40,0)</f>
        <v/>
      </c>
      <c r="L40" s="143">
        <f>MAX(E40-H40*1.25,0)</f>
        <v/>
      </c>
      <c r="M40" s="143">
        <f>J40*$D$6+K40*$D$7+L40*$D$8</f>
        <v/>
      </c>
      <c r="N40" s="143">
        <f>F40*$D$9</f>
        <v/>
      </c>
      <c r="O40" s="143">
        <f>G40*$D$10</f>
        <v/>
      </c>
      <c r="P40" s="155">
        <f>M40+N40+O40</f>
        <v/>
      </c>
    </row>
    <row r="41" ht="15" customHeight="1" s="107">
      <c r="B41" s="146">
        <f>'Rep-Quarter Summary'!A28</f>
        <v/>
      </c>
      <c r="C41" s="146">
        <f>'Rep-Quarter Summary'!B28</f>
        <v/>
      </c>
      <c r="D41" s="146">
        <f>'Rep-Quarter Summary'!E28</f>
        <v/>
      </c>
      <c r="E41" s="148">
        <f>'Rep-Quarter Summary'!F28</f>
        <v/>
      </c>
      <c r="F41" s="148">
        <f>'Rep-Quarter Summary'!G28</f>
        <v/>
      </c>
      <c r="G41" s="148">
        <f>'Rep-Quarter Summary'!H28</f>
        <v/>
      </c>
      <c r="H41" s="149">
        <f>'Rep-Quarter Summary'!J28*(1+$D$11)</f>
        <v/>
      </c>
      <c r="I41" s="150">
        <f>IFERROR(E41/H41,0)</f>
        <v/>
      </c>
      <c r="J41" s="149">
        <f>MIN(E41,H41)</f>
        <v/>
      </c>
      <c r="K41" s="149">
        <f>MAX(MIN(E41,H41*1.25)-H41,0)</f>
        <v/>
      </c>
      <c r="L41" s="149">
        <f>MAX(E41-H41*1.25,0)</f>
        <v/>
      </c>
      <c r="M41" s="149">
        <f>J41*$D$6+K41*$D$7+L41*$D$8</f>
        <v/>
      </c>
      <c r="N41" s="149">
        <f>F41*$D$9</f>
        <v/>
      </c>
      <c r="O41" s="149">
        <f>G41*$D$10</f>
        <v/>
      </c>
      <c r="P41" s="157">
        <f>M41+N41+O41</f>
        <v/>
      </c>
    </row>
    <row r="42" ht="15" customHeight="1" s="107">
      <c r="B42" s="140">
        <f>'Rep-Quarter Summary'!A29</f>
        <v/>
      </c>
      <c r="C42" s="140">
        <f>'Rep-Quarter Summary'!B29</f>
        <v/>
      </c>
      <c r="D42" s="140">
        <f>'Rep-Quarter Summary'!E29</f>
        <v/>
      </c>
      <c r="E42" s="142">
        <f>'Rep-Quarter Summary'!F29</f>
        <v/>
      </c>
      <c r="F42" s="142">
        <f>'Rep-Quarter Summary'!G29</f>
        <v/>
      </c>
      <c r="G42" s="142">
        <f>'Rep-Quarter Summary'!H29</f>
        <v/>
      </c>
      <c r="H42" s="143">
        <f>'Rep-Quarter Summary'!J29*(1+$D$11)</f>
        <v/>
      </c>
      <c r="I42" s="144">
        <f>IFERROR(E42/H42,0)</f>
        <v/>
      </c>
      <c r="J42" s="143">
        <f>MIN(E42,H42)</f>
        <v/>
      </c>
      <c r="K42" s="143">
        <f>MAX(MIN(E42,H42*1.25)-H42,0)</f>
        <v/>
      </c>
      <c r="L42" s="143">
        <f>MAX(E42-H42*1.25,0)</f>
        <v/>
      </c>
      <c r="M42" s="143">
        <f>J42*$D$6+K42*$D$7+L42*$D$8</f>
        <v/>
      </c>
      <c r="N42" s="143">
        <f>F42*$D$9</f>
        <v/>
      </c>
      <c r="O42" s="143">
        <f>G42*$D$10</f>
        <v/>
      </c>
      <c r="P42" s="155">
        <f>M42+N42+O42</f>
        <v/>
      </c>
    </row>
    <row r="43" ht="15" customHeight="1" s="107">
      <c r="B43" s="146">
        <f>'Rep-Quarter Summary'!A30</f>
        <v/>
      </c>
      <c r="C43" s="146">
        <f>'Rep-Quarter Summary'!B30</f>
        <v/>
      </c>
      <c r="D43" s="146">
        <f>'Rep-Quarter Summary'!E30</f>
        <v/>
      </c>
      <c r="E43" s="148">
        <f>'Rep-Quarter Summary'!F30</f>
        <v/>
      </c>
      <c r="F43" s="148">
        <f>'Rep-Quarter Summary'!G30</f>
        <v/>
      </c>
      <c r="G43" s="148">
        <f>'Rep-Quarter Summary'!H30</f>
        <v/>
      </c>
      <c r="H43" s="149">
        <f>'Rep-Quarter Summary'!J30*(1+$D$11)</f>
        <v/>
      </c>
      <c r="I43" s="150">
        <f>IFERROR(E43/H43,0)</f>
        <v/>
      </c>
      <c r="J43" s="149">
        <f>MIN(E43,H43)</f>
        <v/>
      </c>
      <c r="K43" s="149">
        <f>MAX(MIN(E43,H43*1.25)-H43,0)</f>
        <v/>
      </c>
      <c r="L43" s="149">
        <f>MAX(E43-H43*1.25,0)</f>
        <v/>
      </c>
      <c r="M43" s="149">
        <f>J43*$D$6+K43*$D$7+L43*$D$8</f>
        <v/>
      </c>
      <c r="N43" s="149">
        <f>F43*$D$9</f>
        <v/>
      </c>
      <c r="O43" s="149">
        <f>G43*$D$10</f>
        <v/>
      </c>
      <c r="P43" s="157">
        <f>M43+N43+O43</f>
        <v/>
      </c>
    </row>
    <row r="44" ht="15" customHeight="1" s="107">
      <c r="B44" s="140">
        <f>'Rep-Quarter Summary'!A31</f>
        <v/>
      </c>
      <c r="C44" s="140">
        <f>'Rep-Quarter Summary'!B31</f>
        <v/>
      </c>
      <c r="D44" s="140">
        <f>'Rep-Quarter Summary'!E31</f>
        <v/>
      </c>
      <c r="E44" s="142">
        <f>'Rep-Quarter Summary'!F31</f>
        <v/>
      </c>
      <c r="F44" s="142">
        <f>'Rep-Quarter Summary'!G31</f>
        <v/>
      </c>
      <c r="G44" s="142">
        <f>'Rep-Quarter Summary'!H31</f>
        <v/>
      </c>
      <c r="H44" s="143">
        <f>'Rep-Quarter Summary'!J31*(1+$D$11)</f>
        <v/>
      </c>
      <c r="I44" s="144">
        <f>IFERROR(E44/H44,0)</f>
        <v/>
      </c>
      <c r="J44" s="143">
        <f>MIN(E44,H44)</f>
        <v/>
      </c>
      <c r="K44" s="143">
        <f>MAX(MIN(E44,H44*1.25)-H44,0)</f>
        <v/>
      </c>
      <c r="L44" s="143">
        <f>MAX(E44-H44*1.25,0)</f>
        <v/>
      </c>
      <c r="M44" s="143">
        <f>J44*$D$6+K44*$D$7+L44*$D$8</f>
        <v/>
      </c>
      <c r="N44" s="143">
        <f>F44*$D$9</f>
        <v/>
      </c>
      <c r="O44" s="143">
        <f>G44*$D$10</f>
        <v/>
      </c>
      <c r="P44" s="155">
        <f>M44+N44+O44</f>
        <v/>
      </c>
    </row>
    <row r="45" ht="15" customHeight="1" s="107">
      <c r="B45" s="146">
        <f>'Rep-Quarter Summary'!A32</f>
        <v/>
      </c>
      <c r="C45" s="146">
        <f>'Rep-Quarter Summary'!B32</f>
        <v/>
      </c>
      <c r="D45" s="146">
        <f>'Rep-Quarter Summary'!E32</f>
        <v/>
      </c>
      <c r="E45" s="148">
        <f>'Rep-Quarter Summary'!F32</f>
        <v/>
      </c>
      <c r="F45" s="148">
        <f>'Rep-Quarter Summary'!G32</f>
        <v/>
      </c>
      <c r="G45" s="148">
        <f>'Rep-Quarter Summary'!H32</f>
        <v/>
      </c>
      <c r="H45" s="149">
        <f>'Rep-Quarter Summary'!J32*(1+$D$11)</f>
        <v/>
      </c>
      <c r="I45" s="150">
        <f>IFERROR(E45/H45,0)</f>
        <v/>
      </c>
      <c r="J45" s="149">
        <f>MIN(E45,H45)</f>
        <v/>
      </c>
      <c r="K45" s="149">
        <f>MAX(MIN(E45,H45*1.25)-H45,0)</f>
        <v/>
      </c>
      <c r="L45" s="149">
        <f>MAX(E45-H45*1.25,0)</f>
        <v/>
      </c>
      <c r="M45" s="149">
        <f>J45*$D$6+K45*$D$7+L45*$D$8</f>
        <v/>
      </c>
      <c r="N45" s="149">
        <f>F45*$D$9</f>
        <v/>
      </c>
      <c r="O45" s="149">
        <f>G45*$D$10</f>
        <v/>
      </c>
      <c r="P45" s="157">
        <f>M45+N45+O45</f>
        <v/>
      </c>
    </row>
    <row r="46" ht="15" customHeight="1" s="107">
      <c r="B46" s="140">
        <f>'Rep-Quarter Summary'!A33</f>
        <v/>
      </c>
      <c r="C46" s="140">
        <f>'Rep-Quarter Summary'!B33</f>
        <v/>
      </c>
      <c r="D46" s="140">
        <f>'Rep-Quarter Summary'!E33</f>
        <v/>
      </c>
      <c r="E46" s="142">
        <f>'Rep-Quarter Summary'!F33</f>
        <v/>
      </c>
      <c r="F46" s="142">
        <f>'Rep-Quarter Summary'!G33</f>
        <v/>
      </c>
      <c r="G46" s="142">
        <f>'Rep-Quarter Summary'!H33</f>
        <v/>
      </c>
      <c r="H46" s="143">
        <f>'Rep-Quarter Summary'!J33*(1+$D$11)</f>
        <v/>
      </c>
      <c r="I46" s="144">
        <f>IFERROR(E46/H46,0)</f>
        <v/>
      </c>
      <c r="J46" s="143">
        <f>MIN(E46,H46)</f>
        <v/>
      </c>
      <c r="K46" s="143">
        <f>MAX(MIN(E46,H46*1.25)-H46,0)</f>
        <v/>
      </c>
      <c r="L46" s="143">
        <f>MAX(E46-H46*1.25,0)</f>
        <v/>
      </c>
      <c r="M46" s="143">
        <f>J46*$D$6+K46*$D$7+L46*$D$8</f>
        <v/>
      </c>
      <c r="N46" s="143">
        <f>F46*$D$9</f>
        <v/>
      </c>
      <c r="O46" s="143">
        <f>G46*$D$10</f>
        <v/>
      </c>
      <c r="P46" s="155">
        <f>M46+N46+O46</f>
        <v/>
      </c>
    </row>
    <row r="47" ht="15" customHeight="1" s="107">
      <c r="B47" s="146">
        <f>'Rep-Quarter Summary'!A34</f>
        <v/>
      </c>
      <c r="C47" s="146">
        <f>'Rep-Quarter Summary'!B34</f>
        <v/>
      </c>
      <c r="D47" s="146">
        <f>'Rep-Quarter Summary'!E34</f>
        <v/>
      </c>
      <c r="E47" s="148">
        <f>'Rep-Quarter Summary'!F34</f>
        <v/>
      </c>
      <c r="F47" s="148">
        <f>'Rep-Quarter Summary'!G34</f>
        <v/>
      </c>
      <c r="G47" s="148">
        <f>'Rep-Quarter Summary'!H34</f>
        <v/>
      </c>
      <c r="H47" s="149">
        <f>'Rep-Quarter Summary'!J34*(1+$D$11)</f>
        <v/>
      </c>
      <c r="I47" s="150">
        <f>IFERROR(E47/H47,0)</f>
        <v/>
      </c>
      <c r="J47" s="149">
        <f>MIN(E47,H47)</f>
        <v/>
      </c>
      <c r="K47" s="149">
        <f>MAX(MIN(E47,H47*1.25)-H47,0)</f>
        <v/>
      </c>
      <c r="L47" s="149">
        <f>MAX(E47-H47*1.25,0)</f>
        <v/>
      </c>
      <c r="M47" s="149">
        <f>J47*$D$6+K47*$D$7+L47*$D$8</f>
        <v/>
      </c>
      <c r="N47" s="149">
        <f>F47*$D$9</f>
        <v/>
      </c>
      <c r="O47" s="149">
        <f>G47*$D$10</f>
        <v/>
      </c>
      <c r="P47" s="157">
        <f>M47+N47+O47</f>
        <v/>
      </c>
    </row>
    <row r="49" ht="15" customHeight="1" s="107">
      <c r="B49" s="114" t="inlineStr">
        <is>
          <t>Base Plan vs. Scenario — Total Commission Expense</t>
        </is>
      </c>
    </row>
    <row r="50" ht="15" customHeight="1" s="107">
      <c r="B50" s="106" t="inlineStr">
        <is>
          <t>Base plan (actual rates, actual quota):</t>
        </is>
      </c>
      <c r="D50" s="171">
        <f>SUM('Rep-Quarter Summary'!L5:L34)</f>
        <v/>
      </c>
    </row>
    <row r="51" ht="15" customHeight="1" s="107">
      <c r="B51" s="106" t="inlineStr">
        <is>
          <t>Scenario plan (rates/quota above):</t>
        </is>
      </c>
      <c r="D51" s="188">
        <f>SUM(P18:P47)</f>
        <v/>
      </c>
    </row>
    <row r="52" ht="15" customHeight="1" s="107">
      <c r="B52" s="106" t="inlineStr">
        <is>
          <t>Dollar impact of scenario:</t>
        </is>
      </c>
      <c r="D52" s="171">
        <f>D51-D50</f>
        <v/>
      </c>
    </row>
    <row r="53" ht="15" customHeight="1" s="107">
      <c r="B53" s="106" t="inlineStr">
        <is>
          <t>Percent impact:</t>
        </is>
      </c>
      <c r="D53" s="189">
        <f>IFERROR(D52/D50,0)</f>
        <v/>
      </c>
    </row>
  </sheetData>
  <mergeCells count="1">
    <mergeCell ref="B3:H3"/>
  </mergeCells>
  <printOptions horizontalCentered="0" verticalCentered="0" headings="0" gridLines="0" gridLinesSet="1"/>
  <pageMargins left="0.3" right="0.3" top="0.4" bottom="0.4"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B2:J314"/>
  <sheetViews>
    <sheetView showFormulas="0" showGridLines="0"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 customWidth="1" style="106" min="1" max="1"/>
    <col width="11" customWidth="1" style="106" min="2" max="2"/>
    <col width="18" customWidth="1" style="106" min="3" max="3"/>
    <col width="12" customWidth="1" style="106" min="4" max="4"/>
    <col width="13" customWidth="1" style="106" min="5" max="5"/>
    <col width="18" customWidth="1" style="106" min="6" max="6"/>
    <col width="16" customWidth="1" style="106" min="7" max="7"/>
    <col width="15" customWidth="1" style="106" min="8" max="8"/>
    <col width="42" customWidth="1" style="106" min="9" max="9"/>
  </cols>
  <sheetData>
    <row r="2" ht="17.25" customHeight="1" s="107">
      <c r="B2" s="119" t="inlineStr">
        <is>
          <t>Audit &amp; Exceptions</t>
        </is>
      </c>
    </row>
    <row r="3" ht="15" customHeight="1" s="107">
      <c r="B3" s="110" t="inlineStr">
        <is>
          <t>Automated flags a reviewing analyst would check before commission is paid out. Section A flags rep-quarter attainment outliers; Section B flags individual deals far above a rep's typical deal size for that type. Click the filter arrow on the Flag column to isolate flagged rows.</t>
        </is>
      </c>
    </row>
    <row r="5" ht="15" customHeight="1" s="107">
      <c r="B5" s="190" t="inlineStr">
        <is>
          <t>Rep-Quarter flags:</t>
        </is>
      </c>
      <c r="D5" s="191">
        <f>COUNTIF(I10:I39,"&lt;&gt;")-COUNTIF(I10:I39,"")</f>
        <v/>
      </c>
      <c r="F5" s="190" t="inlineStr">
        <is>
          <t>Deal-level outlier flags:</t>
        </is>
      </c>
      <c r="H5" s="191">
        <f>COUNTIF(H45:H314,"&lt;&gt;")-COUNTIF(H45:H314,"")</f>
        <v/>
      </c>
    </row>
    <row r="7" ht="15" customHeight="1" s="107">
      <c r="B7" s="114" t="inlineStr">
        <is>
          <t>Section A — Rep-Quarter Attainment Exceptions</t>
        </is>
      </c>
    </row>
    <row r="9" ht="15" customHeight="1" s="107">
      <c r="B9" s="120" t="inlineStr">
        <is>
          <t>Rep ID</t>
        </is>
      </c>
      <c r="C9" s="120" t="inlineStr">
        <is>
          <t>Rep Name</t>
        </is>
      </c>
      <c r="D9" s="120" t="inlineStr">
        <is>
          <t>Segment</t>
        </is>
      </c>
      <c r="E9" s="120" t="inlineStr">
        <is>
          <t>Quarter</t>
        </is>
      </c>
      <c r="F9" s="120" t="inlineStr">
        <is>
          <t>Attainment %</t>
        </is>
      </c>
      <c r="G9" s="120" t="inlineStr">
        <is>
          <t>Renewal ARR</t>
        </is>
      </c>
      <c r="H9" s="120" t="inlineStr">
        <is>
          <t>Deal Count</t>
        </is>
      </c>
      <c r="I9" s="120" t="inlineStr">
        <is>
          <t>Flag</t>
        </is>
      </c>
    </row>
    <row r="10" ht="15" customHeight="1" s="107">
      <c r="B10" s="140">
        <f>'Rep-Quarter Summary'!A5</f>
        <v/>
      </c>
      <c r="C10" s="140">
        <f>'Rep-Quarter Summary'!B5</f>
        <v/>
      </c>
      <c r="D10" s="140">
        <f>'Rep-Quarter Summary'!C5</f>
        <v/>
      </c>
      <c r="E10" s="140">
        <f>'Rep-Quarter Summary'!E5</f>
        <v/>
      </c>
      <c r="F10" s="192">
        <f>'Rep-Quarter Summary'!K5</f>
        <v/>
      </c>
      <c r="G10" s="142">
        <f>'Rep-Quarter Summary'!H5</f>
        <v/>
      </c>
      <c r="H10" s="161">
        <f>'Rep-Quarter Summary'!M5</f>
        <v/>
      </c>
      <c r="I10" s="141">
        <f>IF(F10&gt;1.5,"Accelerator review — attainment over 150%",IF(F10&lt;0.6,"Coaching flag — attainment under 60%",IF(G10=0,"Retention gap — zero renewals this quarter","")))</f>
        <v/>
      </c>
    </row>
    <row r="11" ht="15" customHeight="1" s="107">
      <c r="B11" s="146">
        <f>'Rep-Quarter Summary'!A6</f>
        <v/>
      </c>
      <c r="C11" s="146">
        <f>'Rep-Quarter Summary'!B6</f>
        <v/>
      </c>
      <c r="D11" s="146">
        <f>'Rep-Quarter Summary'!C6</f>
        <v/>
      </c>
      <c r="E11" s="146">
        <f>'Rep-Quarter Summary'!E6</f>
        <v/>
      </c>
      <c r="F11" s="193">
        <f>'Rep-Quarter Summary'!K6</f>
        <v/>
      </c>
      <c r="G11" s="148">
        <f>'Rep-Quarter Summary'!H6</f>
        <v/>
      </c>
      <c r="H11" s="163">
        <f>'Rep-Quarter Summary'!M6</f>
        <v/>
      </c>
      <c r="I11" s="147">
        <f>IF(F11&gt;1.5,"Accelerator review — attainment over 150%",IF(F11&lt;0.6,"Coaching flag — attainment under 60%",IF(G11=0,"Retention gap — zero renewals this quarter","")))</f>
        <v/>
      </c>
    </row>
    <row r="12" ht="15" customHeight="1" s="107">
      <c r="B12" s="140">
        <f>'Rep-Quarter Summary'!A7</f>
        <v/>
      </c>
      <c r="C12" s="140">
        <f>'Rep-Quarter Summary'!B7</f>
        <v/>
      </c>
      <c r="D12" s="140">
        <f>'Rep-Quarter Summary'!C7</f>
        <v/>
      </c>
      <c r="E12" s="140">
        <f>'Rep-Quarter Summary'!E7</f>
        <v/>
      </c>
      <c r="F12" s="192">
        <f>'Rep-Quarter Summary'!K7</f>
        <v/>
      </c>
      <c r="G12" s="142">
        <f>'Rep-Quarter Summary'!H7</f>
        <v/>
      </c>
      <c r="H12" s="161">
        <f>'Rep-Quarter Summary'!M7</f>
        <v/>
      </c>
      <c r="I12" s="141">
        <f>IF(F12&gt;1.5,"Accelerator review — attainment over 150%",IF(F12&lt;0.6,"Coaching flag — attainment under 60%",IF(G12=0,"Retention gap — zero renewals this quarter","")))</f>
        <v/>
      </c>
    </row>
    <row r="13" ht="15" customHeight="1" s="107">
      <c r="B13" s="146">
        <f>'Rep-Quarter Summary'!A8</f>
        <v/>
      </c>
      <c r="C13" s="146">
        <f>'Rep-Quarter Summary'!B8</f>
        <v/>
      </c>
      <c r="D13" s="146">
        <f>'Rep-Quarter Summary'!C8</f>
        <v/>
      </c>
      <c r="E13" s="146">
        <f>'Rep-Quarter Summary'!E8</f>
        <v/>
      </c>
      <c r="F13" s="193">
        <f>'Rep-Quarter Summary'!K8</f>
        <v/>
      </c>
      <c r="G13" s="148">
        <f>'Rep-Quarter Summary'!H8</f>
        <v/>
      </c>
      <c r="H13" s="163">
        <f>'Rep-Quarter Summary'!M8</f>
        <v/>
      </c>
      <c r="I13" s="147">
        <f>IF(F13&gt;1.5,"Accelerator review — attainment over 150%",IF(F13&lt;0.6,"Coaching flag — attainment under 60%",IF(G13=0,"Retention gap — zero renewals this quarter","")))</f>
        <v/>
      </c>
    </row>
    <row r="14" ht="15" customHeight="1" s="107">
      <c r="B14" s="140">
        <f>'Rep-Quarter Summary'!A9</f>
        <v/>
      </c>
      <c r="C14" s="140">
        <f>'Rep-Quarter Summary'!B9</f>
        <v/>
      </c>
      <c r="D14" s="140">
        <f>'Rep-Quarter Summary'!C9</f>
        <v/>
      </c>
      <c r="E14" s="140">
        <f>'Rep-Quarter Summary'!E9</f>
        <v/>
      </c>
      <c r="F14" s="192">
        <f>'Rep-Quarter Summary'!K9</f>
        <v/>
      </c>
      <c r="G14" s="142">
        <f>'Rep-Quarter Summary'!H9</f>
        <v/>
      </c>
      <c r="H14" s="161">
        <f>'Rep-Quarter Summary'!M9</f>
        <v/>
      </c>
      <c r="I14" s="141">
        <f>IF(F14&gt;1.5,"Accelerator review — attainment over 150%",IF(F14&lt;0.6,"Coaching flag — attainment under 60%",IF(G14=0,"Retention gap — zero renewals this quarter","")))</f>
        <v/>
      </c>
    </row>
    <row r="15" ht="15" customHeight="1" s="107">
      <c r="B15" s="146">
        <f>'Rep-Quarter Summary'!A10</f>
        <v/>
      </c>
      <c r="C15" s="146">
        <f>'Rep-Quarter Summary'!B10</f>
        <v/>
      </c>
      <c r="D15" s="146">
        <f>'Rep-Quarter Summary'!C10</f>
        <v/>
      </c>
      <c r="E15" s="146">
        <f>'Rep-Quarter Summary'!E10</f>
        <v/>
      </c>
      <c r="F15" s="193">
        <f>'Rep-Quarter Summary'!K10</f>
        <v/>
      </c>
      <c r="G15" s="148">
        <f>'Rep-Quarter Summary'!H10</f>
        <v/>
      </c>
      <c r="H15" s="163">
        <f>'Rep-Quarter Summary'!M10</f>
        <v/>
      </c>
      <c r="I15" s="147">
        <f>IF(F15&gt;1.5,"Accelerator review — attainment over 150%",IF(F15&lt;0.6,"Coaching flag — attainment under 60%",IF(G15=0,"Retention gap — zero renewals this quarter","")))</f>
        <v/>
      </c>
    </row>
    <row r="16" ht="15" customHeight="1" s="107">
      <c r="B16" s="140">
        <f>'Rep-Quarter Summary'!A11</f>
        <v/>
      </c>
      <c r="C16" s="140">
        <f>'Rep-Quarter Summary'!B11</f>
        <v/>
      </c>
      <c r="D16" s="140">
        <f>'Rep-Quarter Summary'!C11</f>
        <v/>
      </c>
      <c r="E16" s="140">
        <f>'Rep-Quarter Summary'!E11</f>
        <v/>
      </c>
      <c r="F16" s="192">
        <f>'Rep-Quarter Summary'!K11</f>
        <v/>
      </c>
      <c r="G16" s="142">
        <f>'Rep-Quarter Summary'!H11</f>
        <v/>
      </c>
      <c r="H16" s="161">
        <f>'Rep-Quarter Summary'!M11</f>
        <v/>
      </c>
      <c r="I16" s="141">
        <f>IF(F16&gt;1.5,"Accelerator review — attainment over 150%",IF(F16&lt;0.6,"Coaching flag — attainment under 60%",IF(G16=0,"Retention gap — zero renewals this quarter","")))</f>
        <v/>
      </c>
    </row>
    <row r="17" ht="15" customHeight="1" s="107">
      <c r="B17" s="146">
        <f>'Rep-Quarter Summary'!A12</f>
        <v/>
      </c>
      <c r="C17" s="146">
        <f>'Rep-Quarter Summary'!B12</f>
        <v/>
      </c>
      <c r="D17" s="146">
        <f>'Rep-Quarter Summary'!C12</f>
        <v/>
      </c>
      <c r="E17" s="146">
        <f>'Rep-Quarter Summary'!E12</f>
        <v/>
      </c>
      <c r="F17" s="193">
        <f>'Rep-Quarter Summary'!K12</f>
        <v/>
      </c>
      <c r="G17" s="148">
        <f>'Rep-Quarter Summary'!H12</f>
        <v/>
      </c>
      <c r="H17" s="163">
        <f>'Rep-Quarter Summary'!M12</f>
        <v/>
      </c>
      <c r="I17" s="147">
        <f>IF(F17&gt;1.5,"Accelerator review — attainment over 150%",IF(F17&lt;0.6,"Coaching flag — attainment under 60%",IF(G17=0,"Retention gap — zero renewals this quarter","")))</f>
        <v/>
      </c>
    </row>
    <row r="18" ht="15" customHeight="1" s="107">
      <c r="B18" s="140">
        <f>'Rep-Quarter Summary'!A13</f>
        <v/>
      </c>
      <c r="C18" s="140">
        <f>'Rep-Quarter Summary'!B13</f>
        <v/>
      </c>
      <c r="D18" s="140">
        <f>'Rep-Quarter Summary'!C13</f>
        <v/>
      </c>
      <c r="E18" s="140">
        <f>'Rep-Quarter Summary'!E13</f>
        <v/>
      </c>
      <c r="F18" s="192">
        <f>'Rep-Quarter Summary'!K13</f>
        <v/>
      </c>
      <c r="G18" s="142">
        <f>'Rep-Quarter Summary'!H13</f>
        <v/>
      </c>
      <c r="H18" s="161">
        <f>'Rep-Quarter Summary'!M13</f>
        <v/>
      </c>
      <c r="I18" s="141">
        <f>IF(F18&gt;1.5,"Accelerator review — attainment over 150%",IF(F18&lt;0.6,"Coaching flag — attainment under 60%",IF(G18=0,"Retention gap — zero renewals this quarter","")))</f>
        <v/>
      </c>
    </row>
    <row r="19" ht="15" customHeight="1" s="107">
      <c r="B19" s="146">
        <f>'Rep-Quarter Summary'!A14</f>
        <v/>
      </c>
      <c r="C19" s="146">
        <f>'Rep-Quarter Summary'!B14</f>
        <v/>
      </c>
      <c r="D19" s="146">
        <f>'Rep-Quarter Summary'!C14</f>
        <v/>
      </c>
      <c r="E19" s="146">
        <f>'Rep-Quarter Summary'!E14</f>
        <v/>
      </c>
      <c r="F19" s="193">
        <f>'Rep-Quarter Summary'!K14</f>
        <v/>
      </c>
      <c r="G19" s="148">
        <f>'Rep-Quarter Summary'!H14</f>
        <v/>
      </c>
      <c r="H19" s="163">
        <f>'Rep-Quarter Summary'!M14</f>
        <v/>
      </c>
      <c r="I19" s="147">
        <f>IF(F19&gt;1.5,"Accelerator review — attainment over 150%",IF(F19&lt;0.6,"Coaching flag — attainment under 60%",IF(G19=0,"Retention gap — zero renewals this quarter","")))</f>
        <v/>
      </c>
    </row>
    <row r="20" ht="15" customHeight="1" s="107">
      <c r="B20" s="140">
        <f>'Rep-Quarter Summary'!A15</f>
        <v/>
      </c>
      <c r="C20" s="140">
        <f>'Rep-Quarter Summary'!B15</f>
        <v/>
      </c>
      <c r="D20" s="140">
        <f>'Rep-Quarter Summary'!C15</f>
        <v/>
      </c>
      <c r="E20" s="140">
        <f>'Rep-Quarter Summary'!E15</f>
        <v/>
      </c>
      <c r="F20" s="192">
        <f>'Rep-Quarter Summary'!K15</f>
        <v/>
      </c>
      <c r="G20" s="142">
        <f>'Rep-Quarter Summary'!H15</f>
        <v/>
      </c>
      <c r="H20" s="161">
        <f>'Rep-Quarter Summary'!M15</f>
        <v/>
      </c>
      <c r="I20" s="141">
        <f>IF(F20&gt;1.5,"Accelerator review — attainment over 150%",IF(F20&lt;0.6,"Coaching flag — attainment under 60%",IF(G20=0,"Retention gap — zero renewals this quarter","")))</f>
        <v/>
      </c>
    </row>
    <row r="21" ht="15" customHeight="1" s="107">
      <c r="B21" s="146">
        <f>'Rep-Quarter Summary'!A16</f>
        <v/>
      </c>
      <c r="C21" s="146">
        <f>'Rep-Quarter Summary'!B16</f>
        <v/>
      </c>
      <c r="D21" s="146">
        <f>'Rep-Quarter Summary'!C16</f>
        <v/>
      </c>
      <c r="E21" s="146">
        <f>'Rep-Quarter Summary'!E16</f>
        <v/>
      </c>
      <c r="F21" s="193">
        <f>'Rep-Quarter Summary'!K16</f>
        <v/>
      </c>
      <c r="G21" s="148">
        <f>'Rep-Quarter Summary'!H16</f>
        <v/>
      </c>
      <c r="H21" s="163">
        <f>'Rep-Quarter Summary'!M16</f>
        <v/>
      </c>
      <c r="I21" s="147">
        <f>IF(F21&gt;1.5,"Accelerator review — attainment over 150%",IF(F21&lt;0.6,"Coaching flag — attainment under 60%",IF(G21=0,"Retention gap — zero renewals this quarter","")))</f>
        <v/>
      </c>
    </row>
    <row r="22" ht="15" customHeight="1" s="107">
      <c r="B22" s="140">
        <f>'Rep-Quarter Summary'!A17</f>
        <v/>
      </c>
      <c r="C22" s="140">
        <f>'Rep-Quarter Summary'!B17</f>
        <v/>
      </c>
      <c r="D22" s="140">
        <f>'Rep-Quarter Summary'!C17</f>
        <v/>
      </c>
      <c r="E22" s="140">
        <f>'Rep-Quarter Summary'!E17</f>
        <v/>
      </c>
      <c r="F22" s="192">
        <f>'Rep-Quarter Summary'!K17</f>
        <v/>
      </c>
      <c r="G22" s="142">
        <f>'Rep-Quarter Summary'!H17</f>
        <v/>
      </c>
      <c r="H22" s="161">
        <f>'Rep-Quarter Summary'!M17</f>
        <v/>
      </c>
      <c r="I22" s="141">
        <f>IF(F22&gt;1.5,"Accelerator review — attainment over 150%",IF(F22&lt;0.6,"Coaching flag — attainment under 60%",IF(G22=0,"Retention gap — zero renewals this quarter","")))</f>
        <v/>
      </c>
    </row>
    <row r="23" ht="15" customHeight="1" s="107">
      <c r="B23" s="146">
        <f>'Rep-Quarter Summary'!A18</f>
        <v/>
      </c>
      <c r="C23" s="146">
        <f>'Rep-Quarter Summary'!B18</f>
        <v/>
      </c>
      <c r="D23" s="146">
        <f>'Rep-Quarter Summary'!C18</f>
        <v/>
      </c>
      <c r="E23" s="146">
        <f>'Rep-Quarter Summary'!E18</f>
        <v/>
      </c>
      <c r="F23" s="193">
        <f>'Rep-Quarter Summary'!K18</f>
        <v/>
      </c>
      <c r="G23" s="148">
        <f>'Rep-Quarter Summary'!H18</f>
        <v/>
      </c>
      <c r="H23" s="163">
        <f>'Rep-Quarter Summary'!M18</f>
        <v/>
      </c>
      <c r="I23" s="147">
        <f>IF(F23&gt;1.5,"Accelerator review — attainment over 150%",IF(F23&lt;0.6,"Coaching flag — attainment under 60%",IF(G23=0,"Retention gap — zero renewals this quarter","")))</f>
        <v/>
      </c>
    </row>
    <row r="24" ht="15" customHeight="1" s="107">
      <c r="B24" s="140">
        <f>'Rep-Quarter Summary'!A19</f>
        <v/>
      </c>
      <c r="C24" s="140">
        <f>'Rep-Quarter Summary'!B19</f>
        <v/>
      </c>
      <c r="D24" s="140">
        <f>'Rep-Quarter Summary'!C19</f>
        <v/>
      </c>
      <c r="E24" s="140">
        <f>'Rep-Quarter Summary'!E19</f>
        <v/>
      </c>
      <c r="F24" s="192">
        <f>'Rep-Quarter Summary'!K19</f>
        <v/>
      </c>
      <c r="G24" s="142">
        <f>'Rep-Quarter Summary'!H19</f>
        <v/>
      </c>
      <c r="H24" s="161">
        <f>'Rep-Quarter Summary'!M19</f>
        <v/>
      </c>
      <c r="I24" s="141">
        <f>IF(F24&gt;1.5,"Accelerator review — attainment over 150%",IF(F24&lt;0.6,"Coaching flag — attainment under 60%",IF(G24=0,"Retention gap — zero renewals this quarter","")))</f>
        <v/>
      </c>
    </row>
    <row r="25" ht="15" customHeight="1" s="107">
      <c r="B25" s="146">
        <f>'Rep-Quarter Summary'!A20</f>
        <v/>
      </c>
      <c r="C25" s="146">
        <f>'Rep-Quarter Summary'!B20</f>
        <v/>
      </c>
      <c r="D25" s="146">
        <f>'Rep-Quarter Summary'!C20</f>
        <v/>
      </c>
      <c r="E25" s="146">
        <f>'Rep-Quarter Summary'!E20</f>
        <v/>
      </c>
      <c r="F25" s="193">
        <f>'Rep-Quarter Summary'!K20</f>
        <v/>
      </c>
      <c r="G25" s="148">
        <f>'Rep-Quarter Summary'!H20</f>
        <v/>
      </c>
      <c r="H25" s="163">
        <f>'Rep-Quarter Summary'!M20</f>
        <v/>
      </c>
      <c r="I25" s="147">
        <f>IF(F25&gt;1.5,"Accelerator review — attainment over 150%",IF(F25&lt;0.6,"Coaching flag — attainment under 60%",IF(G25=0,"Retention gap — zero renewals this quarter","")))</f>
        <v/>
      </c>
    </row>
    <row r="26" ht="15" customHeight="1" s="107">
      <c r="B26" s="140">
        <f>'Rep-Quarter Summary'!A21</f>
        <v/>
      </c>
      <c r="C26" s="140">
        <f>'Rep-Quarter Summary'!B21</f>
        <v/>
      </c>
      <c r="D26" s="140">
        <f>'Rep-Quarter Summary'!C21</f>
        <v/>
      </c>
      <c r="E26" s="140">
        <f>'Rep-Quarter Summary'!E21</f>
        <v/>
      </c>
      <c r="F26" s="192">
        <f>'Rep-Quarter Summary'!K21</f>
        <v/>
      </c>
      <c r="G26" s="142">
        <f>'Rep-Quarter Summary'!H21</f>
        <v/>
      </c>
      <c r="H26" s="161">
        <f>'Rep-Quarter Summary'!M21</f>
        <v/>
      </c>
      <c r="I26" s="141">
        <f>IF(F26&gt;1.5,"Accelerator review — attainment over 150%",IF(F26&lt;0.6,"Coaching flag — attainment under 60%",IF(G26=0,"Retention gap — zero renewals this quarter","")))</f>
        <v/>
      </c>
    </row>
    <row r="27" ht="15" customHeight="1" s="107">
      <c r="B27" s="146">
        <f>'Rep-Quarter Summary'!A22</f>
        <v/>
      </c>
      <c r="C27" s="146">
        <f>'Rep-Quarter Summary'!B22</f>
        <v/>
      </c>
      <c r="D27" s="146">
        <f>'Rep-Quarter Summary'!C22</f>
        <v/>
      </c>
      <c r="E27" s="146">
        <f>'Rep-Quarter Summary'!E22</f>
        <v/>
      </c>
      <c r="F27" s="193">
        <f>'Rep-Quarter Summary'!K22</f>
        <v/>
      </c>
      <c r="G27" s="148">
        <f>'Rep-Quarter Summary'!H22</f>
        <v/>
      </c>
      <c r="H27" s="163">
        <f>'Rep-Quarter Summary'!M22</f>
        <v/>
      </c>
      <c r="I27" s="147">
        <f>IF(F27&gt;1.5,"Accelerator review — attainment over 150%",IF(F27&lt;0.6,"Coaching flag — attainment under 60%",IF(G27=0,"Retention gap — zero renewals this quarter","")))</f>
        <v/>
      </c>
    </row>
    <row r="28" ht="15" customHeight="1" s="107">
      <c r="B28" s="140">
        <f>'Rep-Quarter Summary'!A23</f>
        <v/>
      </c>
      <c r="C28" s="140">
        <f>'Rep-Quarter Summary'!B23</f>
        <v/>
      </c>
      <c r="D28" s="140">
        <f>'Rep-Quarter Summary'!C23</f>
        <v/>
      </c>
      <c r="E28" s="140">
        <f>'Rep-Quarter Summary'!E23</f>
        <v/>
      </c>
      <c r="F28" s="192">
        <f>'Rep-Quarter Summary'!K23</f>
        <v/>
      </c>
      <c r="G28" s="142">
        <f>'Rep-Quarter Summary'!H23</f>
        <v/>
      </c>
      <c r="H28" s="161">
        <f>'Rep-Quarter Summary'!M23</f>
        <v/>
      </c>
      <c r="I28" s="141">
        <f>IF(F28&gt;1.5,"Accelerator review — attainment over 150%",IF(F28&lt;0.6,"Coaching flag — attainment under 60%",IF(G28=0,"Retention gap — zero renewals this quarter","")))</f>
        <v/>
      </c>
    </row>
    <row r="29" ht="15" customHeight="1" s="107">
      <c r="B29" s="146">
        <f>'Rep-Quarter Summary'!A24</f>
        <v/>
      </c>
      <c r="C29" s="146">
        <f>'Rep-Quarter Summary'!B24</f>
        <v/>
      </c>
      <c r="D29" s="146">
        <f>'Rep-Quarter Summary'!C24</f>
        <v/>
      </c>
      <c r="E29" s="146">
        <f>'Rep-Quarter Summary'!E24</f>
        <v/>
      </c>
      <c r="F29" s="193">
        <f>'Rep-Quarter Summary'!K24</f>
        <v/>
      </c>
      <c r="G29" s="148">
        <f>'Rep-Quarter Summary'!H24</f>
        <v/>
      </c>
      <c r="H29" s="163">
        <f>'Rep-Quarter Summary'!M24</f>
        <v/>
      </c>
      <c r="I29" s="147">
        <f>IF(F29&gt;1.5,"Accelerator review — attainment over 150%",IF(F29&lt;0.6,"Coaching flag — attainment under 60%",IF(G29=0,"Retention gap — zero renewals this quarter","")))</f>
        <v/>
      </c>
    </row>
    <row r="30" ht="15" customHeight="1" s="107">
      <c r="B30" s="140">
        <f>'Rep-Quarter Summary'!A25</f>
        <v/>
      </c>
      <c r="C30" s="140">
        <f>'Rep-Quarter Summary'!B25</f>
        <v/>
      </c>
      <c r="D30" s="140">
        <f>'Rep-Quarter Summary'!C25</f>
        <v/>
      </c>
      <c r="E30" s="140">
        <f>'Rep-Quarter Summary'!E25</f>
        <v/>
      </c>
      <c r="F30" s="192">
        <f>'Rep-Quarter Summary'!K25</f>
        <v/>
      </c>
      <c r="G30" s="142">
        <f>'Rep-Quarter Summary'!H25</f>
        <v/>
      </c>
      <c r="H30" s="161">
        <f>'Rep-Quarter Summary'!M25</f>
        <v/>
      </c>
      <c r="I30" s="141">
        <f>IF(F30&gt;1.5,"Accelerator review — attainment over 150%",IF(F30&lt;0.6,"Coaching flag — attainment under 60%",IF(G30=0,"Retention gap — zero renewals this quarter","")))</f>
        <v/>
      </c>
    </row>
    <row r="31" ht="15" customHeight="1" s="107">
      <c r="B31" s="146">
        <f>'Rep-Quarter Summary'!A26</f>
        <v/>
      </c>
      <c r="C31" s="146">
        <f>'Rep-Quarter Summary'!B26</f>
        <v/>
      </c>
      <c r="D31" s="146">
        <f>'Rep-Quarter Summary'!C26</f>
        <v/>
      </c>
      <c r="E31" s="146">
        <f>'Rep-Quarter Summary'!E26</f>
        <v/>
      </c>
      <c r="F31" s="193">
        <f>'Rep-Quarter Summary'!K26</f>
        <v/>
      </c>
      <c r="G31" s="148">
        <f>'Rep-Quarter Summary'!H26</f>
        <v/>
      </c>
      <c r="H31" s="163">
        <f>'Rep-Quarter Summary'!M26</f>
        <v/>
      </c>
      <c r="I31" s="147">
        <f>IF(F31&gt;1.5,"Accelerator review — attainment over 150%",IF(F31&lt;0.6,"Coaching flag — attainment under 60%",IF(G31=0,"Retention gap — zero renewals this quarter","")))</f>
        <v/>
      </c>
    </row>
    <row r="32" ht="15" customHeight="1" s="107">
      <c r="B32" s="140">
        <f>'Rep-Quarter Summary'!A27</f>
        <v/>
      </c>
      <c r="C32" s="140">
        <f>'Rep-Quarter Summary'!B27</f>
        <v/>
      </c>
      <c r="D32" s="140">
        <f>'Rep-Quarter Summary'!C27</f>
        <v/>
      </c>
      <c r="E32" s="140">
        <f>'Rep-Quarter Summary'!E27</f>
        <v/>
      </c>
      <c r="F32" s="192">
        <f>'Rep-Quarter Summary'!K27</f>
        <v/>
      </c>
      <c r="G32" s="142">
        <f>'Rep-Quarter Summary'!H27</f>
        <v/>
      </c>
      <c r="H32" s="161">
        <f>'Rep-Quarter Summary'!M27</f>
        <v/>
      </c>
      <c r="I32" s="141">
        <f>IF(F32&gt;1.5,"Accelerator review — attainment over 150%",IF(F32&lt;0.6,"Coaching flag — attainment under 60%",IF(G32=0,"Retention gap — zero renewals this quarter","")))</f>
        <v/>
      </c>
    </row>
    <row r="33" ht="15" customHeight="1" s="107">
      <c r="B33" s="146">
        <f>'Rep-Quarter Summary'!A28</f>
        <v/>
      </c>
      <c r="C33" s="146">
        <f>'Rep-Quarter Summary'!B28</f>
        <v/>
      </c>
      <c r="D33" s="146">
        <f>'Rep-Quarter Summary'!C28</f>
        <v/>
      </c>
      <c r="E33" s="146">
        <f>'Rep-Quarter Summary'!E28</f>
        <v/>
      </c>
      <c r="F33" s="193">
        <f>'Rep-Quarter Summary'!K28</f>
        <v/>
      </c>
      <c r="G33" s="148">
        <f>'Rep-Quarter Summary'!H28</f>
        <v/>
      </c>
      <c r="H33" s="163">
        <f>'Rep-Quarter Summary'!M28</f>
        <v/>
      </c>
      <c r="I33" s="147">
        <f>IF(F33&gt;1.5,"Accelerator review — attainment over 150%",IF(F33&lt;0.6,"Coaching flag — attainment under 60%",IF(G33=0,"Retention gap — zero renewals this quarter","")))</f>
        <v/>
      </c>
    </row>
    <row r="34" ht="15" customHeight="1" s="107">
      <c r="B34" s="140">
        <f>'Rep-Quarter Summary'!A29</f>
        <v/>
      </c>
      <c r="C34" s="140">
        <f>'Rep-Quarter Summary'!B29</f>
        <v/>
      </c>
      <c r="D34" s="140">
        <f>'Rep-Quarter Summary'!C29</f>
        <v/>
      </c>
      <c r="E34" s="140">
        <f>'Rep-Quarter Summary'!E29</f>
        <v/>
      </c>
      <c r="F34" s="192">
        <f>'Rep-Quarter Summary'!K29</f>
        <v/>
      </c>
      <c r="G34" s="142">
        <f>'Rep-Quarter Summary'!H29</f>
        <v/>
      </c>
      <c r="H34" s="161">
        <f>'Rep-Quarter Summary'!M29</f>
        <v/>
      </c>
      <c r="I34" s="141">
        <f>IF(F34&gt;1.5,"Accelerator review — attainment over 150%",IF(F34&lt;0.6,"Coaching flag — attainment under 60%",IF(G34=0,"Retention gap — zero renewals this quarter","")))</f>
        <v/>
      </c>
    </row>
    <row r="35" ht="15" customHeight="1" s="107">
      <c r="B35" s="146">
        <f>'Rep-Quarter Summary'!A30</f>
        <v/>
      </c>
      <c r="C35" s="146">
        <f>'Rep-Quarter Summary'!B30</f>
        <v/>
      </c>
      <c r="D35" s="146">
        <f>'Rep-Quarter Summary'!C30</f>
        <v/>
      </c>
      <c r="E35" s="146">
        <f>'Rep-Quarter Summary'!E30</f>
        <v/>
      </c>
      <c r="F35" s="193">
        <f>'Rep-Quarter Summary'!K30</f>
        <v/>
      </c>
      <c r="G35" s="148">
        <f>'Rep-Quarter Summary'!H30</f>
        <v/>
      </c>
      <c r="H35" s="163">
        <f>'Rep-Quarter Summary'!M30</f>
        <v/>
      </c>
      <c r="I35" s="147">
        <f>IF(F35&gt;1.5,"Accelerator review — attainment over 150%",IF(F35&lt;0.6,"Coaching flag — attainment under 60%",IF(G35=0,"Retention gap — zero renewals this quarter","")))</f>
        <v/>
      </c>
    </row>
    <row r="36" ht="15" customHeight="1" s="107">
      <c r="B36" s="140">
        <f>'Rep-Quarter Summary'!A31</f>
        <v/>
      </c>
      <c r="C36" s="140">
        <f>'Rep-Quarter Summary'!B31</f>
        <v/>
      </c>
      <c r="D36" s="140">
        <f>'Rep-Quarter Summary'!C31</f>
        <v/>
      </c>
      <c r="E36" s="140">
        <f>'Rep-Quarter Summary'!E31</f>
        <v/>
      </c>
      <c r="F36" s="192">
        <f>'Rep-Quarter Summary'!K31</f>
        <v/>
      </c>
      <c r="G36" s="142">
        <f>'Rep-Quarter Summary'!H31</f>
        <v/>
      </c>
      <c r="H36" s="161">
        <f>'Rep-Quarter Summary'!M31</f>
        <v/>
      </c>
      <c r="I36" s="141">
        <f>IF(F36&gt;1.5,"Accelerator review — attainment over 150%",IF(F36&lt;0.6,"Coaching flag — attainment under 60%",IF(G36=0,"Retention gap — zero renewals this quarter","")))</f>
        <v/>
      </c>
    </row>
    <row r="37" ht="15" customHeight="1" s="107">
      <c r="B37" s="146">
        <f>'Rep-Quarter Summary'!A32</f>
        <v/>
      </c>
      <c r="C37" s="146">
        <f>'Rep-Quarter Summary'!B32</f>
        <v/>
      </c>
      <c r="D37" s="146">
        <f>'Rep-Quarter Summary'!C32</f>
        <v/>
      </c>
      <c r="E37" s="146">
        <f>'Rep-Quarter Summary'!E32</f>
        <v/>
      </c>
      <c r="F37" s="193">
        <f>'Rep-Quarter Summary'!K32</f>
        <v/>
      </c>
      <c r="G37" s="148">
        <f>'Rep-Quarter Summary'!H32</f>
        <v/>
      </c>
      <c r="H37" s="163">
        <f>'Rep-Quarter Summary'!M32</f>
        <v/>
      </c>
      <c r="I37" s="147">
        <f>IF(F37&gt;1.5,"Accelerator review — attainment over 150%",IF(F37&lt;0.6,"Coaching flag — attainment under 60%",IF(G37=0,"Retention gap — zero renewals this quarter","")))</f>
        <v/>
      </c>
    </row>
    <row r="38" ht="15" customHeight="1" s="107">
      <c r="B38" s="140">
        <f>'Rep-Quarter Summary'!A33</f>
        <v/>
      </c>
      <c r="C38" s="140">
        <f>'Rep-Quarter Summary'!B33</f>
        <v/>
      </c>
      <c r="D38" s="140">
        <f>'Rep-Quarter Summary'!C33</f>
        <v/>
      </c>
      <c r="E38" s="140">
        <f>'Rep-Quarter Summary'!E33</f>
        <v/>
      </c>
      <c r="F38" s="192">
        <f>'Rep-Quarter Summary'!K33</f>
        <v/>
      </c>
      <c r="G38" s="142">
        <f>'Rep-Quarter Summary'!H33</f>
        <v/>
      </c>
      <c r="H38" s="161">
        <f>'Rep-Quarter Summary'!M33</f>
        <v/>
      </c>
      <c r="I38" s="141">
        <f>IF(F38&gt;1.5,"Accelerator review — attainment over 150%",IF(F38&lt;0.6,"Coaching flag — attainment under 60%",IF(G38=0,"Retention gap — zero renewals this quarter","")))</f>
        <v/>
      </c>
    </row>
    <row r="39" ht="15" customHeight="1" s="107">
      <c r="B39" s="146">
        <f>'Rep-Quarter Summary'!A34</f>
        <v/>
      </c>
      <c r="C39" s="146">
        <f>'Rep-Quarter Summary'!B34</f>
        <v/>
      </c>
      <c r="D39" s="146">
        <f>'Rep-Quarter Summary'!C34</f>
        <v/>
      </c>
      <c r="E39" s="146">
        <f>'Rep-Quarter Summary'!E34</f>
        <v/>
      </c>
      <c r="F39" s="193">
        <f>'Rep-Quarter Summary'!K34</f>
        <v/>
      </c>
      <c r="G39" s="148">
        <f>'Rep-Quarter Summary'!H34</f>
        <v/>
      </c>
      <c r="H39" s="163">
        <f>'Rep-Quarter Summary'!M34</f>
        <v/>
      </c>
      <c r="I39" s="147">
        <f>IF(F39&gt;1.5,"Accelerator review — attainment over 150%",IF(F39&lt;0.6,"Coaching flag — attainment under 60%",IF(G39=0,"Retention gap — zero renewals this quarter","")))</f>
        <v/>
      </c>
    </row>
    <row r="42" ht="15" customHeight="1" s="107">
      <c r="B42" s="114" t="inlineStr">
        <is>
          <t>Section B — Deal-Level Outliers (vs. rep's typical deal size by type)</t>
        </is>
      </c>
    </row>
    <row r="44" ht="23.25" customHeight="1" s="107">
      <c r="B44" s="120" t="inlineStr">
        <is>
          <t>Deal ID</t>
        </is>
      </c>
      <c r="C44" s="120" t="inlineStr">
        <is>
          <t>Rep ID</t>
        </is>
      </c>
      <c r="D44" s="120" t="inlineStr">
        <is>
          <t>Deal Type</t>
        </is>
      </c>
      <c r="E44" s="120" t="inlineStr">
        <is>
          <t>ARR Amount</t>
        </is>
      </c>
      <c r="F44" s="120" t="inlineStr">
        <is>
          <t>Rep's Avg ARR (this type)</t>
        </is>
      </c>
      <c r="G44" s="120" t="inlineStr">
        <is>
          <t>Ratio to Average</t>
        </is>
      </c>
      <c r="H44" s="120" t="inlineStr">
        <is>
          <t>Flag</t>
        </is>
      </c>
    </row>
    <row r="45" ht="15" customHeight="1" s="107">
      <c r="B45" s="140">
        <f>'Bookings Detail'!A5</f>
        <v/>
      </c>
      <c r="C45" s="140">
        <f>'Bookings Detail'!B5</f>
        <v/>
      </c>
      <c r="D45" s="140">
        <f>'Bookings Detail'!H5</f>
        <v/>
      </c>
      <c r="E45" s="142">
        <f>'Bookings Detail'!K5</f>
        <v/>
      </c>
      <c r="F45" s="143">
        <f>AVERAGEIFS('Bookings Detail'!$K$5:$K$274,'Bookings Detail'!$B$5:$B$274,C45,'Bookings Detail'!$H$5:$H$274,D45)</f>
        <v/>
      </c>
      <c r="G45" s="194">
        <f>IFERROR(E45/F45,0)</f>
        <v/>
      </c>
      <c r="H45" s="141">
        <f>IF(G45&gt;=2.5,"Outlier — 2.5x+ rep's typical deal size for this type","")</f>
        <v/>
      </c>
    </row>
    <row r="46" ht="15" customHeight="1" s="107">
      <c r="B46" s="146">
        <f>'Bookings Detail'!A6</f>
        <v/>
      </c>
      <c r="C46" s="146">
        <f>'Bookings Detail'!B6</f>
        <v/>
      </c>
      <c r="D46" s="146">
        <f>'Bookings Detail'!H6</f>
        <v/>
      </c>
      <c r="E46" s="148">
        <f>'Bookings Detail'!K6</f>
        <v/>
      </c>
      <c r="F46" s="149">
        <f>AVERAGEIFS('Bookings Detail'!$K$5:$K$274,'Bookings Detail'!$B$5:$B$274,C46,'Bookings Detail'!$H$5:$H$274,D46)</f>
        <v/>
      </c>
      <c r="G46" s="195">
        <f>IFERROR(E46/F46,0)</f>
        <v/>
      </c>
      <c r="H46" s="147">
        <f>IF(G46&gt;=2.5,"Outlier — 2.5x+ rep's typical deal size for this type","")</f>
        <v/>
      </c>
    </row>
    <row r="47" ht="15" customHeight="1" s="107">
      <c r="B47" s="140">
        <f>'Bookings Detail'!A7</f>
        <v/>
      </c>
      <c r="C47" s="140">
        <f>'Bookings Detail'!B7</f>
        <v/>
      </c>
      <c r="D47" s="140">
        <f>'Bookings Detail'!H7</f>
        <v/>
      </c>
      <c r="E47" s="142">
        <f>'Bookings Detail'!K7</f>
        <v/>
      </c>
      <c r="F47" s="143">
        <f>AVERAGEIFS('Bookings Detail'!$K$5:$K$274,'Bookings Detail'!$B$5:$B$274,C47,'Bookings Detail'!$H$5:$H$274,D47)</f>
        <v/>
      </c>
      <c r="G47" s="194">
        <f>IFERROR(E47/F47,0)</f>
        <v/>
      </c>
      <c r="H47" s="141">
        <f>IF(G47&gt;=2.5,"Outlier — 2.5x+ rep's typical deal size for this type","")</f>
        <v/>
      </c>
    </row>
    <row r="48" ht="15" customHeight="1" s="107">
      <c r="B48" s="146">
        <f>'Bookings Detail'!A8</f>
        <v/>
      </c>
      <c r="C48" s="146">
        <f>'Bookings Detail'!B8</f>
        <v/>
      </c>
      <c r="D48" s="146">
        <f>'Bookings Detail'!H8</f>
        <v/>
      </c>
      <c r="E48" s="148">
        <f>'Bookings Detail'!K8</f>
        <v/>
      </c>
      <c r="F48" s="149">
        <f>AVERAGEIFS('Bookings Detail'!$K$5:$K$274,'Bookings Detail'!$B$5:$B$274,C48,'Bookings Detail'!$H$5:$H$274,D48)</f>
        <v/>
      </c>
      <c r="G48" s="195">
        <f>IFERROR(E48/F48,0)</f>
        <v/>
      </c>
      <c r="H48" s="147">
        <f>IF(G48&gt;=2.5,"Outlier — 2.5x+ rep's typical deal size for this type","")</f>
        <v/>
      </c>
    </row>
    <row r="49" ht="15" customHeight="1" s="107">
      <c r="B49" s="140">
        <f>'Bookings Detail'!A9</f>
        <v/>
      </c>
      <c r="C49" s="140">
        <f>'Bookings Detail'!B9</f>
        <v/>
      </c>
      <c r="D49" s="140">
        <f>'Bookings Detail'!H9</f>
        <v/>
      </c>
      <c r="E49" s="142">
        <f>'Bookings Detail'!K9</f>
        <v/>
      </c>
      <c r="F49" s="143">
        <f>AVERAGEIFS('Bookings Detail'!$K$5:$K$274,'Bookings Detail'!$B$5:$B$274,C49,'Bookings Detail'!$H$5:$H$274,D49)</f>
        <v/>
      </c>
      <c r="G49" s="194">
        <f>IFERROR(E49/F49,0)</f>
        <v/>
      </c>
      <c r="H49" s="141">
        <f>IF(G49&gt;=2.5,"Outlier — 2.5x+ rep's typical deal size for this type","")</f>
        <v/>
      </c>
    </row>
    <row r="50" ht="15" customHeight="1" s="107">
      <c r="B50" s="146">
        <f>'Bookings Detail'!A10</f>
        <v/>
      </c>
      <c r="C50" s="146">
        <f>'Bookings Detail'!B10</f>
        <v/>
      </c>
      <c r="D50" s="146">
        <f>'Bookings Detail'!H10</f>
        <v/>
      </c>
      <c r="E50" s="148">
        <f>'Bookings Detail'!K10</f>
        <v/>
      </c>
      <c r="F50" s="149">
        <f>AVERAGEIFS('Bookings Detail'!$K$5:$K$274,'Bookings Detail'!$B$5:$B$274,C50,'Bookings Detail'!$H$5:$H$274,D50)</f>
        <v/>
      </c>
      <c r="G50" s="195">
        <f>IFERROR(E50/F50,0)</f>
        <v/>
      </c>
      <c r="H50" s="147">
        <f>IF(G50&gt;=2.5,"Outlier — 2.5x+ rep's typical deal size for this type","")</f>
        <v/>
      </c>
    </row>
    <row r="51" ht="15" customHeight="1" s="107">
      <c r="B51" s="140">
        <f>'Bookings Detail'!A11</f>
        <v/>
      </c>
      <c r="C51" s="140">
        <f>'Bookings Detail'!B11</f>
        <v/>
      </c>
      <c r="D51" s="140">
        <f>'Bookings Detail'!H11</f>
        <v/>
      </c>
      <c r="E51" s="142">
        <f>'Bookings Detail'!K11</f>
        <v/>
      </c>
      <c r="F51" s="143">
        <f>AVERAGEIFS('Bookings Detail'!$K$5:$K$274,'Bookings Detail'!$B$5:$B$274,C51,'Bookings Detail'!$H$5:$H$274,D51)</f>
        <v/>
      </c>
      <c r="G51" s="194">
        <f>IFERROR(E51/F51,0)</f>
        <v/>
      </c>
      <c r="H51" s="141">
        <f>IF(G51&gt;=2.5,"Outlier — 2.5x+ rep's typical deal size for this type","")</f>
        <v/>
      </c>
    </row>
    <row r="52" ht="15" customHeight="1" s="107">
      <c r="B52" s="146">
        <f>'Bookings Detail'!A12</f>
        <v/>
      </c>
      <c r="C52" s="146">
        <f>'Bookings Detail'!B12</f>
        <v/>
      </c>
      <c r="D52" s="146">
        <f>'Bookings Detail'!H12</f>
        <v/>
      </c>
      <c r="E52" s="148">
        <f>'Bookings Detail'!K12</f>
        <v/>
      </c>
      <c r="F52" s="149">
        <f>AVERAGEIFS('Bookings Detail'!$K$5:$K$274,'Bookings Detail'!$B$5:$B$274,C52,'Bookings Detail'!$H$5:$H$274,D52)</f>
        <v/>
      </c>
      <c r="G52" s="195">
        <f>IFERROR(E52/F52,0)</f>
        <v/>
      </c>
      <c r="H52" s="147">
        <f>IF(G52&gt;=2.5,"Outlier — 2.5x+ rep's typical deal size for this type","")</f>
        <v/>
      </c>
    </row>
    <row r="53" ht="15" customHeight="1" s="107">
      <c r="B53" s="140">
        <f>'Bookings Detail'!A13</f>
        <v/>
      </c>
      <c r="C53" s="140">
        <f>'Bookings Detail'!B13</f>
        <v/>
      </c>
      <c r="D53" s="140">
        <f>'Bookings Detail'!H13</f>
        <v/>
      </c>
      <c r="E53" s="142">
        <f>'Bookings Detail'!K13</f>
        <v/>
      </c>
      <c r="F53" s="143">
        <f>AVERAGEIFS('Bookings Detail'!$K$5:$K$274,'Bookings Detail'!$B$5:$B$274,C53,'Bookings Detail'!$H$5:$H$274,D53)</f>
        <v/>
      </c>
      <c r="G53" s="194">
        <f>IFERROR(E53/F53,0)</f>
        <v/>
      </c>
      <c r="H53" s="141">
        <f>IF(G53&gt;=2.5,"Outlier — 2.5x+ rep's typical deal size for this type","")</f>
        <v/>
      </c>
    </row>
    <row r="54" ht="15" customHeight="1" s="107">
      <c r="B54" s="146">
        <f>'Bookings Detail'!A14</f>
        <v/>
      </c>
      <c r="C54" s="146">
        <f>'Bookings Detail'!B14</f>
        <v/>
      </c>
      <c r="D54" s="146">
        <f>'Bookings Detail'!H14</f>
        <v/>
      </c>
      <c r="E54" s="148">
        <f>'Bookings Detail'!K14</f>
        <v/>
      </c>
      <c r="F54" s="149">
        <f>AVERAGEIFS('Bookings Detail'!$K$5:$K$274,'Bookings Detail'!$B$5:$B$274,C54,'Bookings Detail'!$H$5:$H$274,D54)</f>
        <v/>
      </c>
      <c r="G54" s="195">
        <f>IFERROR(E54/F54,0)</f>
        <v/>
      </c>
      <c r="H54" s="147">
        <f>IF(G54&gt;=2.5,"Outlier — 2.5x+ rep's typical deal size for this type","")</f>
        <v/>
      </c>
    </row>
    <row r="55" ht="15" customHeight="1" s="107">
      <c r="B55" s="140">
        <f>'Bookings Detail'!A15</f>
        <v/>
      </c>
      <c r="C55" s="140">
        <f>'Bookings Detail'!B15</f>
        <v/>
      </c>
      <c r="D55" s="140">
        <f>'Bookings Detail'!H15</f>
        <v/>
      </c>
      <c r="E55" s="142">
        <f>'Bookings Detail'!K15</f>
        <v/>
      </c>
      <c r="F55" s="143">
        <f>AVERAGEIFS('Bookings Detail'!$K$5:$K$274,'Bookings Detail'!$B$5:$B$274,C55,'Bookings Detail'!$H$5:$H$274,D55)</f>
        <v/>
      </c>
      <c r="G55" s="194">
        <f>IFERROR(E55/F55,0)</f>
        <v/>
      </c>
      <c r="H55" s="141">
        <f>IF(G55&gt;=2.5,"Outlier — 2.5x+ rep's typical deal size for this type","")</f>
        <v/>
      </c>
    </row>
    <row r="56" ht="15" customHeight="1" s="107">
      <c r="B56" s="146">
        <f>'Bookings Detail'!A16</f>
        <v/>
      </c>
      <c r="C56" s="146">
        <f>'Bookings Detail'!B16</f>
        <v/>
      </c>
      <c r="D56" s="146">
        <f>'Bookings Detail'!H16</f>
        <v/>
      </c>
      <c r="E56" s="148">
        <f>'Bookings Detail'!K16</f>
        <v/>
      </c>
      <c r="F56" s="149">
        <f>AVERAGEIFS('Bookings Detail'!$K$5:$K$274,'Bookings Detail'!$B$5:$B$274,C56,'Bookings Detail'!$H$5:$H$274,D56)</f>
        <v/>
      </c>
      <c r="G56" s="195">
        <f>IFERROR(E56/F56,0)</f>
        <v/>
      </c>
      <c r="H56" s="147">
        <f>IF(G56&gt;=2.5,"Outlier — 2.5x+ rep's typical deal size for this type","")</f>
        <v/>
      </c>
    </row>
    <row r="57" ht="15" customHeight="1" s="107">
      <c r="B57" s="140">
        <f>'Bookings Detail'!A17</f>
        <v/>
      </c>
      <c r="C57" s="140">
        <f>'Bookings Detail'!B17</f>
        <v/>
      </c>
      <c r="D57" s="140">
        <f>'Bookings Detail'!H17</f>
        <v/>
      </c>
      <c r="E57" s="142">
        <f>'Bookings Detail'!K17</f>
        <v/>
      </c>
      <c r="F57" s="143">
        <f>AVERAGEIFS('Bookings Detail'!$K$5:$K$274,'Bookings Detail'!$B$5:$B$274,C57,'Bookings Detail'!$H$5:$H$274,D57)</f>
        <v/>
      </c>
      <c r="G57" s="194">
        <f>IFERROR(E57/F57,0)</f>
        <v/>
      </c>
      <c r="H57" s="141">
        <f>IF(G57&gt;=2.5,"Outlier — 2.5x+ rep's typical deal size for this type","")</f>
        <v/>
      </c>
    </row>
    <row r="58" ht="15" customHeight="1" s="107">
      <c r="B58" s="146">
        <f>'Bookings Detail'!A18</f>
        <v/>
      </c>
      <c r="C58" s="146">
        <f>'Bookings Detail'!B18</f>
        <v/>
      </c>
      <c r="D58" s="146">
        <f>'Bookings Detail'!H18</f>
        <v/>
      </c>
      <c r="E58" s="148">
        <f>'Bookings Detail'!K18</f>
        <v/>
      </c>
      <c r="F58" s="149">
        <f>AVERAGEIFS('Bookings Detail'!$K$5:$K$274,'Bookings Detail'!$B$5:$B$274,C58,'Bookings Detail'!$H$5:$H$274,D58)</f>
        <v/>
      </c>
      <c r="G58" s="195">
        <f>IFERROR(E58/F58,0)</f>
        <v/>
      </c>
      <c r="H58" s="147">
        <f>IF(G58&gt;=2.5,"Outlier — 2.5x+ rep's typical deal size for this type","")</f>
        <v/>
      </c>
    </row>
    <row r="59" ht="15" customHeight="1" s="107">
      <c r="B59" s="140">
        <f>'Bookings Detail'!A19</f>
        <v/>
      </c>
      <c r="C59" s="140">
        <f>'Bookings Detail'!B19</f>
        <v/>
      </c>
      <c r="D59" s="140">
        <f>'Bookings Detail'!H19</f>
        <v/>
      </c>
      <c r="E59" s="142">
        <f>'Bookings Detail'!K19</f>
        <v/>
      </c>
      <c r="F59" s="143">
        <f>AVERAGEIFS('Bookings Detail'!$K$5:$K$274,'Bookings Detail'!$B$5:$B$274,C59,'Bookings Detail'!$H$5:$H$274,D59)</f>
        <v/>
      </c>
      <c r="G59" s="194">
        <f>IFERROR(E59/F59,0)</f>
        <v/>
      </c>
      <c r="H59" s="141">
        <f>IF(G59&gt;=2.5,"Outlier — 2.5x+ rep's typical deal size for this type","")</f>
        <v/>
      </c>
    </row>
    <row r="60" ht="15" customHeight="1" s="107">
      <c r="B60" s="146">
        <f>'Bookings Detail'!A20</f>
        <v/>
      </c>
      <c r="C60" s="146">
        <f>'Bookings Detail'!B20</f>
        <v/>
      </c>
      <c r="D60" s="146">
        <f>'Bookings Detail'!H20</f>
        <v/>
      </c>
      <c r="E60" s="148">
        <f>'Bookings Detail'!K20</f>
        <v/>
      </c>
      <c r="F60" s="149">
        <f>AVERAGEIFS('Bookings Detail'!$K$5:$K$274,'Bookings Detail'!$B$5:$B$274,C60,'Bookings Detail'!$H$5:$H$274,D60)</f>
        <v/>
      </c>
      <c r="G60" s="195">
        <f>IFERROR(E60/F60,0)</f>
        <v/>
      </c>
      <c r="H60" s="147">
        <f>IF(G60&gt;=2.5,"Outlier — 2.5x+ rep's typical deal size for this type","")</f>
        <v/>
      </c>
    </row>
    <row r="61" ht="15" customHeight="1" s="107">
      <c r="B61" s="140">
        <f>'Bookings Detail'!A21</f>
        <v/>
      </c>
      <c r="C61" s="140">
        <f>'Bookings Detail'!B21</f>
        <v/>
      </c>
      <c r="D61" s="140">
        <f>'Bookings Detail'!H21</f>
        <v/>
      </c>
      <c r="E61" s="142">
        <f>'Bookings Detail'!K21</f>
        <v/>
      </c>
      <c r="F61" s="143">
        <f>AVERAGEIFS('Bookings Detail'!$K$5:$K$274,'Bookings Detail'!$B$5:$B$274,C61,'Bookings Detail'!$H$5:$H$274,D61)</f>
        <v/>
      </c>
      <c r="G61" s="194">
        <f>IFERROR(E61/F61,0)</f>
        <v/>
      </c>
      <c r="H61" s="141">
        <f>IF(G61&gt;=2.5,"Outlier — 2.5x+ rep's typical deal size for this type","")</f>
        <v/>
      </c>
    </row>
    <row r="62" ht="15" customHeight="1" s="107">
      <c r="B62" s="146">
        <f>'Bookings Detail'!A22</f>
        <v/>
      </c>
      <c r="C62" s="146">
        <f>'Bookings Detail'!B22</f>
        <v/>
      </c>
      <c r="D62" s="146">
        <f>'Bookings Detail'!H22</f>
        <v/>
      </c>
      <c r="E62" s="148">
        <f>'Bookings Detail'!K22</f>
        <v/>
      </c>
      <c r="F62" s="149">
        <f>AVERAGEIFS('Bookings Detail'!$K$5:$K$274,'Bookings Detail'!$B$5:$B$274,C62,'Bookings Detail'!$H$5:$H$274,D62)</f>
        <v/>
      </c>
      <c r="G62" s="195">
        <f>IFERROR(E62/F62,0)</f>
        <v/>
      </c>
      <c r="H62" s="147">
        <f>IF(G62&gt;=2.5,"Outlier — 2.5x+ rep's typical deal size for this type","")</f>
        <v/>
      </c>
    </row>
    <row r="63" ht="15" customHeight="1" s="107">
      <c r="B63" s="140">
        <f>'Bookings Detail'!A23</f>
        <v/>
      </c>
      <c r="C63" s="140">
        <f>'Bookings Detail'!B23</f>
        <v/>
      </c>
      <c r="D63" s="140">
        <f>'Bookings Detail'!H23</f>
        <v/>
      </c>
      <c r="E63" s="142">
        <f>'Bookings Detail'!K23</f>
        <v/>
      </c>
      <c r="F63" s="143">
        <f>AVERAGEIFS('Bookings Detail'!$K$5:$K$274,'Bookings Detail'!$B$5:$B$274,C63,'Bookings Detail'!$H$5:$H$274,D63)</f>
        <v/>
      </c>
      <c r="G63" s="194">
        <f>IFERROR(E63/F63,0)</f>
        <v/>
      </c>
      <c r="H63" s="141">
        <f>IF(G63&gt;=2.5,"Outlier — 2.5x+ rep's typical deal size for this type","")</f>
        <v/>
      </c>
    </row>
    <row r="64" ht="15" customHeight="1" s="107">
      <c r="B64" s="146">
        <f>'Bookings Detail'!A24</f>
        <v/>
      </c>
      <c r="C64" s="146">
        <f>'Bookings Detail'!B24</f>
        <v/>
      </c>
      <c r="D64" s="146">
        <f>'Bookings Detail'!H24</f>
        <v/>
      </c>
      <c r="E64" s="148">
        <f>'Bookings Detail'!K24</f>
        <v/>
      </c>
      <c r="F64" s="149">
        <f>AVERAGEIFS('Bookings Detail'!$K$5:$K$274,'Bookings Detail'!$B$5:$B$274,C64,'Bookings Detail'!$H$5:$H$274,D64)</f>
        <v/>
      </c>
      <c r="G64" s="195">
        <f>IFERROR(E64/F64,0)</f>
        <v/>
      </c>
      <c r="H64" s="147">
        <f>IF(G64&gt;=2.5,"Outlier — 2.5x+ rep's typical deal size for this type","")</f>
        <v/>
      </c>
    </row>
    <row r="65" ht="15" customHeight="1" s="107">
      <c r="B65" s="140">
        <f>'Bookings Detail'!A25</f>
        <v/>
      </c>
      <c r="C65" s="140">
        <f>'Bookings Detail'!B25</f>
        <v/>
      </c>
      <c r="D65" s="140">
        <f>'Bookings Detail'!H25</f>
        <v/>
      </c>
      <c r="E65" s="142">
        <f>'Bookings Detail'!K25</f>
        <v/>
      </c>
      <c r="F65" s="143">
        <f>AVERAGEIFS('Bookings Detail'!$K$5:$K$274,'Bookings Detail'!$B$5:$B$274,C65,'Bookings Detail'!$H$5:$H$274,D65)</f>
        <v/>
      </c>
      <c r="G65" s="194">
        <f>IFERROR(E65/F65,0)</f>
        <v/>
      </c>
      <c r="H65" s="141">
        <f>IF(G65&gt;=2.5,"Outlier — 2.5x+ rep's typical deal size for this type","")</f>
        <v/>
      </c>
    </row>
    <row r="66" ht="15" customHeight="1" s="107">
      <c r="B66" s="146">
        <f>'Bookings Detail'!A26</f>
        <v/>
      </c>
      <c r="C66" s="146">
        <f>'Bookings Detail'!B26</f>
        <v/>
      </c>
      <c r="D66" s="146">
        <f>'Bookings Detail'!H26</f>
        <v/>
      </c>
      <c r="E66" s="148">
        <f>'Bookings Detail'!K26</f>
        <v/>
      </c>
      <c r="F66" s="149">
        <f>AVERAGEIFS('Bookings Detail'!$K$5:$K$274,'Bookings Detail'!$B$5:$B$274,C66,'Bookings Detail'!$H$5:$H$274,D66)</f>
        <v/>
      </c>
      <c r="G66" s="195">
        <f>IFERROR(E66/F66,0)</f>
        <v/>
      </c>
      <c r="H66" s="147">
        <f>IF(G66&gt;=2.5,"Outlier — 2.5x+ rep's typical deal size for this type","")</f>
        <v/>
      </c>
    </row>
    <row r="67" ht="15" customHeight="1" s="107">
      <c r="B67" s="140">
        <f>'Bookings Detail'!A27</f>
        <v/>
      </c>
      <c r="C67" s="140">
        <f>'Bookings Detail'!B27</f>
        <v/>
      </c>
      <c r="D67" s="140">
        <f>'Bookings Detail'!H27</f>
        <v/>
      </c>
      <c r="E67" s="142">
        <f>'Bookings Detail'!K27</f>
        <v/>
      </c>
      <c r="F67" s="143">
        <f>AVERAGEIFS('Bookings Detail'!$K$5:$K$274,'Bookings Detail'!$B$5:$B$274,C67,'Bookings Detail'!$H$5:$H$274,D67)</f>
        <v/>
      </c>
      <c r="G67" s="194">
        <f>IFERROR(E67/F67,0)</f>
        <v/>
      </c>
      <c r="H67" s="141">
        <f>IF(G67&gt;=2.5,"Outlier — 2.5x+ rep's typical deal size for this type","")</f>
        <v/>
      </c>
    </row>
    <row r="68" ht="15" customHeight="1" s="107">
      <c r="B68" s="146">
        <f>'Bookings Detail'!A28</f>
        <v/>
      </c>
      <c r="C68" s="146">
        <f>'Bookings Detail'!B28</f>
        <v/>
      </c>
      <c r="D68" s="146">
        <f>'Bookings Detail'!H28</f>
        <v/>
      </c>
      <c r="E68" s="148">
        <f>'Bookings Detail'!K28</f>
        <v/>
      </c>
      <c r="F68" s="149">
        <f>AVERAGEIFS('Bookings Detail'!$K$5:$K$274,'Bookings Detail'!$B$5:$B$274,C68,'Bookings Detail'!$H$5:$H$274,D68)</f>
        <v/>
      </c>
      <c r="G68" s="195">
        <f>IFERROR(E68/F68,0)</f>
        <v/>
      </c>
      <c r="H68" s="147">
        <f>IF(G68&gt;=2.5,"Outlier — 2.5x+ rep's typical deal size for this type","")</f>
        <v/>
      </c>
    </row>
    <row r="69" ht="15" customHeight="1" s="107">
      <c r="B69" s="140">
        <f>'Bookings Detail'!A29</f>
        <v/>
      </c>
      <c r="C69" s="140">
        <f>'Bookings Detail'!B29</f>
        <v/>
      </c>
      <c r="D69" s="140">
        <f>'Bookings Detail'!H29</f>
        <v/>
      </c>
      <c r="E69" s="142">
        <f>'Bookings Detail'!K29</f>
        <v/>
      </c>
      <c r="F69" s="143">
        <f>AVERAGEIFS('Bookings Detail'!$K$5:$K$274,'Bookings Detail'!$B$5:$B$274,C69,'Bookings Detail'!$H$5:$H$274,D69)</f>
        <v/>
      </c>
      <c r="G69" s="194">
        <f>IFERROR(E69/F69,0)</f>
        <v/>
      </c>
      <c r="H69" s="141">
        <f>IF(G69&gt;=2.5,"Outlier — 2.5x+ rep's typical deal size for this type","")</f>
        <v/>
      </c>
    </row>
    <row r="70" ht="15" customHeight="1" s="107">
      <c r="B70" s="146">
        <f>'Bookings Detail'!A30</f>
        <v/>
      </c>
      <c r="C70" s="146">
        <f>'Bookings Detail'!B30</f>
        <v/>
      </c>
      <c r="D70" s="146">
        <f>'Bookings Detail'!H30</f>
        <v/>
      </c>
      <c r="E70" s="148">
        <f>'Bookings Detail'!K30</f>
        <v/>
      </c>
      <c r="F70" s="149">
        <f>AVERAGEIFS('Bookings Detail'!$K$5:$K$274,'Bookings Detail'!$B$5:$B$274,C70,'Bookings Detail'!$H$5:$H$274,D70)</f>
        <v/>
      </c>
      <c r="G70" s="195">
        <f>IFERROR(E70/F70,0)</f>
        <v/>
      </c>
      <c r="H70" s="147">
        <f>IF(G70&gt;=2.5,"Outlier — 2.5x+ rep's typical deal size for this type","")</f>
        <v/>
      </c>
    </row>
    <row r="71" ht="15" customHeight="1" s="107">
      <c r="B71" s="140">
        <f>'Bookings Detail'!A31</f>
        <v/>
      </c>
      <c r="C71" s="140">
        <f>'Bookings Detail'!B31</f>
        <v/>
      </c>
      <c r="D71" s="140">
        <f>'Bookings Detail'!H31</f>
        <v/>
      </c>
      <c r="E71" s="142">
        <f>'Bookings Detail'!K31</f>
        <v/>
      </c>
      <c r="F71" s="143">
        <f>AVERAGEIFS('Bookings Detail'!$K$5:$K$274,'Bookings Detail'!$B$5:$B$274,C71,'Bookings Detail'!$H$5:$H$274,D71)</f>
        <v/>
      </c>
      <c r="G71" s="194">
        <f>IFERROR(E71/F71,0)</f>
        <v/>
      </c>
      <c r="H71" s="141">
        <f>IF(G71&gt;=2.5,"Outlier — 2.5x+ rep's typical deal size for this type","")</f>
        <v/>
      </c>
    </row>
    <row r="72" ht="15" customHeight="1" s="107">
      <c r="B72" s="146">
        <f>'Bookings Detail'!A32</f>
        <v/>
      </c>
      <c r="C72" s="146">
        <f>'Bookings Detail'!B32</f>
        <v/>
      </c>
      <c r="D72" s="146">
        <f>'Bookings Detail'!H32</f>
        <v/>
      </c>
      <c r="E72" s="148">
        <f>'Bookings Detail'!K32</f>
        <v/>
      </c>
      <c r="F72" s="149">
        <f>AVERAGEIFS('Bookings Detail'!$K$5:$K$274,'Bookings Detail'!$B$5:$B$274,C72,'Bookings Detail'!$H$5:$H$274,D72)</f>
        <v/>
      </c>
      <c r="G72" s="195">
        <f>IFERROR(E72/F72,0)</f>
        <v/>
      </c>
      <c r="H72" s="147">
        <f>IF(G72&gt;=2.5,"Outlier — 2.5x+ rep's typical deal size for this type","")</f>
        <v/>
      </c>
    </row>
    <row r="73" ht="15" customHeight="1" s="107">
      <c r="B73" s="140">
        <f>'Bookings Detail'!A33</f>
        <v/>
      </c>
      <c r="C73" s="140">
        <f>'Bookings Detail'!B33</f>
        <v/>
      </c>
      <c r="D73" s="140">
        <f>'Bookings Detail'!H33</f>
        <v/>
      </c>
      <c r="E73" s="142">
        <f>'Bookings Detail'!K33</f>
        <v/>
      </c>
      <c r="F73" s="143">
        <f>AVERAGEIFS('Bookings Detail'!$K$5:$K$274,'Bookings Detail'!$B$5:$B$274,C73,'Bookings Detail'!$H$5:$H$274,D73)</f>
        <v/>
      </c>
      <c r="G73" s="194">
        <f>IFERROR(E73/F73,0)</f>
        <v/>
      </c>
      <c r="H73" s="141">
        <f>IF(G73&gt;=2.5,"Outlier — 2.5x+ rep's typical deal size for this type","")</f>
        <v/>
      </c>
    </row>
    <row r="74" ht="15" customHeight="1" s="107">
      <c r="B74" s="146">
        <f>'Bookings Detail'!A34</f>
        <v/>
      </c>
      <c r="C74" s="146">
        <f>'Bookings Detail'!B34</f>
        <v/>
      </c>
      <c r="D74" s="146">
        <f>'Bookings Detail'!H34</f>
        <v/>
      </c>
      <c r="E74" s="148">
        <f>'Bookings Detail'!K34</f>
        <v/>
      </c>
      <c r="F74" s="149">
        <f>AVERAGEIFS('Bookings Detail'!$K$5:$K$274,'Bookings Detail'!$B$5:$B$274,C74,'Bookings Detail'!$H$5:$H$274,D74)</f>
        <v/>
      </c>
      <c r="G74" s="195">
        <f>IFERROR(E74/F74,0)</f>
        <v/>
      </c>
      <c r="H74" s="147">
        <f>IF(G74&gt;=2.5,"Outlier — 2.5x+ rep's typical deal size for this type","")</f>
        <v/>
      </c>
    </row>
    <row r="75" ht="15" customHeight="1" s="107">
      <c r="B75" s="140">
        <f>'Bookings Detail'!A35</f>
        <v/>
      </c>
      <c r="C75" s="140">
        <f>'Bookings Detail'!B35</f>
        <v/>
      </c>
      <c r="D75" s="140">
        <f>'Bookings Detail'!H35</f>
        <v/>
      </c>
      <c r="E75" s="142">
        <f>'Bookings Detail'!K35</f>
        <v/>
      </c>
      <c r="F75" s="143">
        <f>AVERAGEIFS('Bookings Detail'!$K$5:$K$274,'Bookings Detail'!$B$5:$B$274,C75,'Bookings Detail'!$H$5:$H$274,D75)</f>
        <v/>
      </c>
      <c r="G75" s="194">
        <f>IFERROR(E75/F75,0)</f>
        <v/>
      </c>
      <c r="H75" s="141">
        <f>IF(G75&gt;=2.5,"Outlier — 2.5x+ rep's typical deal size for this type","")</f>
        <v/>
      </c>
    </row>
    <row r="76" ht="15" customHeight="1" s="107">
      <c r="B76" s="146">
        <f>'Bookings Detail'!A36</f>
        <v/>
      </c>
      <c r="C76" s="146">
        <f>'Bookings Detail'!B36</f>
        <v/>
      </c>
      <c r="D76" s="146">
        <f>'Bookings Detail'!H36</f>
        <v/>
      </c>
      <c r="E76" s="148">
        <f>'Bookings Detail'!K36</f>
        <v/>
      </c>
      <c r="F76" s="149">
        <f>AVERAGEIFS('Bookings Detail'!$K$5:$K$274,'Bookings Detail'!$B$5:$B$274,C76,'Bookings Detail'!$H$5:$H$274,D76)</f>
        <v/>
      </c>
      <c r="G76" s="195">
        <f>IFERROR(E76/F76,0)</f>
        <v/>
      </c>
      <c r="H76" s="147">
        <f>IF(G76&gt;=2.5,"Outlier — 2.5x+ rep's typical deal size for this type","")</f>
        <v/>
      </c>
    </row>
    <row r="77" ht="15" customHeight="1" s="107">
      <c r="B77" s="140">
        <f>'Bookings Detail'!A37</f>
        <v/>
      </c>
      <c r="C77" s="140">
        <f>'Bookings Detail'!B37</f>
        <v/>
      </c>
      <c r="D77" s="140">
        <f>'Bookings Detail'!H37</f>
        <v/>
      </c>
      <c r="E77" s="142">
        <f>'Bookings Detail'!K37</f>
        <v/>
      </c>
      <c r="F77" s="143">
        <f>AVERAGEIFS('Bookings Detail'!$K$5:$K$274,'Bookings Detail'!$B$5:$B$274,C77,'Bookings Detail'!$H$5:$H$274,D77)</f>
        <v/>
      </c>
      <c r="G77" s="194">
        <f>IFERROR(E77/F77,0)</f>
        <v/>
      </c>
      <c r="H77" s="141">
        <f>IF(G77&gt;=2.5,"Outlier — 2.5x+ rep's typical deal size for this type","")</f>
        <v/>
      </c>
    </row>
    <row r="78" ht="15" customHeight="1" s="107">
      <c r="B78" s="146">
        <f>'Bookings Detail'!A38</f>
        <v/>
      </c>
      <c r="C78" s="146">
        <f>'Bookings Detail'!B38</f>
        <v/>
      </c>
      <c r="D78" s="146">
        <f>'Bookings Detail'!H38</f>
        <v/>
      </c>
      <c r="E78" s="148">
        <f>'Bookings Detail'!K38</f>
        <v/>
      </c>
      <c r="F78" s="149">
        <f>AVERAGEIFS('Bookings Detail'!$K$5:$K$274,'Bookings Detail'!$B$5:$B$274,C78,'Bookings Detail'!$H$5:$H$274,D78)</f>
        <v/>
      </c>
      <c r="G78" s="195">
        <f>IFERROR(E78/F78,0)</f>
        <v/>
      </c>
      <c r="H78" s="147">
        <f>IF(G78&gt;=2.5,"Outlier — 2.5x+ rep's typical deal size for this type","")</f>
        <v/>
      </c>
    </row>
    <row r="79" ht="15" customHeight="1" s="107">
      <c r="B79" s="140">
        <f>'Bookings Detail'!A39</f>
        <v/>
      </c>
      <c r="C79" s="140">
        <f>'Bookings Detail'!B39</f>
        <v/>
      </c>
      <c r="D79" s="140">
        <f>'Bookings Detail'!H39</f>
        <v/>
      </c>
      <c r="E79" s="142">
        <f>'Bookings Detail'!K39</f>
        <v/>
      </c>
      <c r="F79" s="143">
        <f>AVERAGEIFS('Bookings Detail'!$K$5:$K$274,'Bookings Detail'!$B$5:$B$274,C79,'Bookings Detail'!$H$5:$H$274,D79)</f>
        <v/>
      </c>
      <c r="G79" s="194">
        <f>IFERROR(E79/F79,0)</f>
        <v/>
      </c>
      <c r="H79" s="141">
        <f>IF(G79&gt;=2.5,"Outlier — 2.5x+ rep's typical deal size for this type","")</f>
        <v/>
      </c>
    </row>
    <row r="80" ht="15" customHeight="1" s="107">
      <c r="B80" s="146">
        <f>'Bookings Detail'!A40</f>
        <v/>
      </c>
      <c r="C80" s="146">
        <f>'Bookings Detail'!B40</f>
        <v/>
      </c>
      <c r="D80" s="146">
        <f>'Bookings Detail'!H40</f>
        <v/>
      </c>
      <c r="E80" s="148">
        <f>'Bookings Detail'!K40</f>
        <v/>
      </c>
      <c r="F80" s="149">
        <f>AVERAGEIFS('Bookings Detail'!$K$5:$K$274,'Bookings Detail'!$B$5:$B$274,C80,'Bookings Detail'!$H$5:$H$274,D80)</f>
        <v/>
      </c>
      <c r="G80" s="195">
        <f>IFERROR(E80/F80,0)</f>
        <v/>
      </c>
      <c r="H80" s="147">
        <f>IF(G80&gt;=2.5,"Outlier — 2.5x+ rep's typical deal size for this type","")</f>
        <v/>
      </c>
    </row>
    <row r="81" ht="15" customHeight="1" s="107">
      <c r="B81" s="140">
        <f>'Bookings Detail'!A41</f>
        <v/>
      </c>
      <c r="C81" s="140">
        <f>'Bookings Detail'!B41</f>
        <v/>
      </c>
      <c r="D81" s="140">
        <f>'Bookings Detail'!H41</f>
        <v/>
      </c>
      <c r="E81" s="142">
        <f>'Bookings Detail'!K41</f>
        <v/>
      </c>
      <c r="F81" s="143">
        <f>AVERAGEIFS('Bookings Detail'!$K$5:$K$274,'Bookings Detail'!$B$5:$B$274,C81,'Bookings Detail'!$H$5:$H$274,D81)</f>
        <v/>
      </c>
      <c r="G81" s="194">
        <f>IFERROR(E81/F81,0)</f>
        <v/>
      </c>
      <c r="H81" s="141">
        <f>IF(G81&gt;=2.5,"Outlier — 2.5x+ rep's typical deal size for this type","")</f>
        <v/>
      </c>
    </row>
    <row r="82" ht="15" customHeight="1" s="107">
      <c r="B82" s="146">
        <f>'Bookings Detail'!A42</f>
        <v/>
      </c>
      <c r="C82" s="146">
        <f>'Bookings Detail'!B42</f>
        <v/>
      </c>
      <c r="D82" s="146">
        <f>'Bookings Detail'!H42</f>
        <v/>
      </c>
      <c r="E82" s="148">
        <f>'Bookings Detail'!K42</f>
        <v/>
      </c>
      <c r="F82" s="149">
        <f>AVERAGEIFS('Bookings Detail'!$K$5:$K$274,'Bookings Detail'!$B$5:$B$274,C82,'Bookings Detail'!$H$5:$H$274,D82)</f>
        <v/>
      </c>
      <c r="G82" s="195">
        <f>IFERROR(E82/F82,0)</f>
        <v/>
      </c>
      <c r="H82" s="147">
        <f>IF(G82&gt;=2.5,"Outlier — 2.5x+ rep's typical deal size for this type","")</f>
        <v/>
      </c>
    </row>
    <row r="83" ht="15" customHeight="1" s="107">
      <c r="B83" s="140">
        <f>'Bookings Detail'!A43</f>
        <v/>
      </c>
      <c r="C83" s="140">
        <f>'Bookings Detail'!B43</f>
        <v/>
      </c>
      <c r="D83" s="140">
        <f>'Bookings Detail'!H43</f>
        <v/>
      </c>
      <c r="E83" s="142">
        <f>'Bookings Detail'!K43</f>
        <v/>
      </c>
      <c r="F83" s="143">
        <f>AVERAGEIFS('Bookings Detail'!$K$5:$K$274,'Bookings Detail'!$B$5:$B$274,C83,'Bookings Detail'!$H$5:$H$274,D83)</f>
        <v/>
      </c>
      <c r="G83" s="194">
        <f>IFERROR(E83/F83,0)</f>
        <v/>
      </c>
      <c r="H83" s="141">
        <f>IF(G83&gt;=2.5,"Outlier — 2.5x+ rep's typical deal size for this type","")</f>
        <v/>
      </c>
    </row>
    <row r="84" ht="15" customHeight="1" s="107">
      <c r="B84" s="146">
        <f>'Bookings Detail'!A44</f>
        <v/>
      </c>
      <c r="C84" s="146">
        <f>'Bookings Detail'!B44</f>
        <v/>
      </c>
      <c r="D84" s="146">
        <f>'Bookings Detail'!H44</f>
        <v/>
      </c>
      <c r="E84" s="148">
        <f>'Bookings Detail'!K44</f>
        <v/>
      </c>
      <c r="F84" s="149">
        <f>AVERAGEIFS('Bookings Detail'!$K$5:$K$274,'Bookings Detail'!$B$5:$B$274,C84,'Bookings Detail'!$H$5:$H$274,D84)</f>
        <v/>
      </c>
      <c r="G84" s="195">
        <f>IFERROR(E84/F84,0)</f>
        <v/>
      </c>
      <c r="H84" s="147">
        <f>IF(G84&gt;=2.5,"Outlier — 2.5x+ rep's typical deal size for this type","")</f>
        <v/>
      </c>
    </row>
    <row r="85" ht="15" customHeight="1" s="107">
      <c r="B85" s="140">
        <f>'Bookings Detail'!A45</f>
        <v/>
      </c>
      <c r="C85" s="140">
        <f>'Bookings Detail'!B45</f>
        <v/>
      </c>
      <c r="D85" s="140">
        <f>'Bookings Detail'!H45</f>
        <v/>
      </c>
      <c r="E85" s="142">
        <f>'Bookings Detail'!K45</f>
        <v/>
      </c>
      <c r="F85" s="143">
        <f>AVERAGEIFS('Bookings Detail'!$K$5:$K$274,'Bookings Detail'!$B$5:$B$274,C85,'Bookings Detail'!$H$5:$H$274,D85)</f>
        <v/>
      </c>
      <c r="G85" s="194">
        <f>IFERROR(E85/F85,0)</f>
        <v/>
      </c>
      <c r="H85" s="141">
        <f>IF(G85&gt;=2.5,"Outlier — 2.5x+ rep's typical deal size for this type","")</f>
        <v/>
      </c>
    </row>
    <row r="86" ht="15" customHeight="1" s="107">
      <c r="B86" s="146">
        <f>'Bookings Detail'!A46</f>
        <v/>
      </c>
      <c r="C86" s="146">
        <f>'Bookings Detail'!B46</f>
        <v/>
      </c>
      <c r="D86" s="146">
        <f>'Bookings Detail'!H46</f>
        <v/>
      </c>
      <c r="E86" s="148">
        <f>'Bookings Detail'!K46</f>
        <v/>
      </c>
      <c r="F86" s="149">
        <f>AVERAGEIFS('Bookings Detail'!$K$5:$K$274,'Bookings Detail'!$B$5:$B$274,C86,'Bookings Detail'!$H$5:$H$274,D86)</f>
        <v/>
      </c>
      <c r="G86" s="195">
        <f>IFERROR(E86/F86,0)</f>
        <v/>
      </c>
      <c r="H86" s="147">
        <f>IF(G86&gt;=2.5,"Outlier — 2.5x+ rep's typical deal size for this type","")</f>
        <v/>
      </c>
    </row>
    <row r="87" ht="15" customHeight="1" s="107">
      <c r="B87" s="140">
        <f>'Bookings Detail'!A47</f>
        <v/>
      </c>
      <c r="C87" s="140">
        <f>'Bookings Detail'!B47</f>
        <v/>
      </c>
      <c r="D87" s="140">
        <f>'Bookings Detail'!H47</f>
        <v/>
      </c>
      <c r="E87" s="142">
        <f>'Bookings Detail'!K47</f>
        <v/>
      </c>
      <c r="F87" s="143">
        <f>AVERAGEIFS('Bookings Detail'!$K$5:$K$274,'Bookings Detail'!$B$5:$B$274,C87,'Bookings Detail'!$H$5:$H$274,D87)</f>
        <v/>
      </c>
      <c r="G87" s="194">
        <f>IFERROR(E87/F87,0)</f>
        <v/>
      </c>
      <c r="H87" s="141">
        <f>IF(G87&gt;=2.5,"Outlier — 2.5x+ rep's typical deal size for this type","")</f>
        <v/>
      </c>
    </row>
    <row r="88" ht="15" customHeight="1" s="107">
      <c r="B88" s="146">
        <f>'Bookings Detail'!A48</f>
        <v/>
      </c>
      <c r="C88" s="146">
        <f>'Bookings Detail'!B48</f>
        <v/>
      </c>
      <c r="D88" s="146">
        <f>'Bookings Detail'!H48</f>
        <v/>
      </c>
      <c r="E88" s="148">
        <f>'Bookings Detail'!K48</f>
        <v/>
      </c>
      <c r="F88" s="149">
        <f>AVERAGEIFS('Bookings Detail'!$K$5:$K$274,'Bookings Detail'!$B$5:$B$274,C88,'Bookings Detail'!$H$5:$H$274,D88)</f>
        <v/>
      </c>
      <c r="G88" s="195">
        <f>IFERROR(E88/F88,0)</f>
        <v/>
      </c>
      <c r="H88" s="147">
        <f>IF(G88&gt;=2.5,"Outlier — 2.5x+ rep's typical deal size for this type","")</f>
        <v/>
      </c>
    </row>
    <row r="89" ht="15" customHeight="1" s="107">
      <c r="B89" s="140">
        <f>'Bookings Detail'!A49</f>
        <v/>
      </c>
      <c r="C89" s="140">
        <f>'Bookings Detail'!B49</f>
        <v/>
      </c>
      <c r="D89" s="140">
        <f>'Bookings Detail'!H49</f>
        <v/>
      </c>
      <c r="E89" s="142">
        <f>'Bookings Detail'!K49</f>
        <v/>
      </c>
      <c r="F89" s="143">
        <f>AVERAGEIFS('Bookings Detail'!$K$5:$K$274,'Bookings Detail'!$B$5:$B$274,C89,'Bookings Detail'!$H$5:$H$274,D89)</f>
        <v/>
      </c>
      <c r="G89" s="194">
        <f>IFERROR(E89/F89,0)</f>
        <v/>
      </c>
      <c r="H89" s="141">
        <f>IF(G89&gt;=2.5,"Outlier — 2.5x+ rep's typical deal size for this type","")</f>
        <v/>
      </c>
    </row>
    <row r="90" ht="15" customHeight="1" s="107">
      <c r="B90" s="146">
        <f>'Bookings Detail'!A50</f>
        <v/>
      </c>
      <c r="C90" s="146">
        <f>'Bookings Detail'!B50</f>
        <v/>
      </c>
      <c r="D90" s="146">
        <f>'Bookings Detail'!H50</f>
        <v/>
      </c>
      <c r="E90" s="148">
        <f>'Bookings Detail'!K50</f>
        <v/>
      </c>
      <c r="F90" s="149">
        <f>AVERAGEIFS('Bookings Detail'!$K$5:$K$274,'Bookings Detail'!$B$5:$B$274,C90,'Bookings Detail'!$H$5:$H$274,D90)</f>
        <v/>
      </c>
      <c r="G90" s="195">
        <f>IFERROR(E90/F90,0)</f>
        <v/>
      </c>
      <c r="H90" s="147">
        <f>IF(G90&gt;=2.5,"Outlier — 2.5x+ rep's typical deal size for this type","")</f>
        <v/>
      </c>
    </row>
    <row r="91" ht="15" customHeight="1" s="107">
      <c r="B91" s="140">
        <f>'Bookings Detail'!A51</f>
        <v/>
      </c>
      <c r="C91" s="140">
        <f>'Bookings Detail'!B51</f>
        <v/>
      </c>
      <c r="D91" s="140">
        <f>'Bookings Detail'!H51</f>
        <v/>
      </c>
      <c r="E91" s="142">
        <f>'Bookings Detail'!K51</f>
        <v/>
      </c>
      <c r="F91" s="143">
        <f>AVERAGEIFS('Bookings Detail'!$K$5:$K$274,'Bookings Detail'!$B$5:$B$274,C91,'Bookings Detail'!$H$5:$H$274,D91)</f>
        <v/>
      </c>
      <c r="G91" s="194">
        <f>IFERROR(E91/F91,0)</f>
        <v/>
      </c>
      <c r="H91" s="141">
        <f>IF(G91&gt;=2.5,"Outlier — 2.5x+ rep's typical deal size for this type","")</f>
        <v/>
      </c>
    </row>
    <row r="92" ht="15" customHeight="1" s="107">
      <c r="B92" s="146">
        <f>'Bookings Detail'!A52</f>
        <v/>
      </c>
      <c r="C92" s="146">
        <f>'Bookings Detail'!B52</f>
        <v/>
      </c>
      <c r="D92" s="146">
        <f>'Bookings Detail'!H52</f>
        <v/>
      </c>
      <c r="E92" s="148">
        <f>'Bookings Detail'!K52</f>
        <v/>
      </c>
      <c r="F92" s="149">
        <f>AVERAGEIFS('Bookings Detail'!$K$5:$K$274,'Bookings Detail'!$B$5:$B$274,C92,'Bookings Detail'!$H$5:$H$274,D92)</f>
        <v/>
      </c>
      <c r="G92" s="195">
        <f>IFERROR(E92/F92,0)</f>
        <v/>
      </c>
      <c r="H92" s="147">
        <f>IF(G92&gt;=2.5,"Outlier — 2.5x+ rep's typical deal size for this type","")</f>
        <v/>
      </c>
    </row>
    <row r="93" ht="15" customHeight="1" s="107">
      <c r="B93" s="140">
        <f>'Bookings Detail'!A53</f>
        <v/>
      </c>
      <c r="C93" s="140">
        <f>'Bookings Detail'!B53</f>
        <v/>
      </c>
      <c r="D93" s="140">
        <f>'Bookings Detail'!H53</f>
        <v/>
      </c>
      <c r="E93" s="142">
        <f>'Bookings Detail'!K53</f>
        <v/>
      </c>
      <c r="F93" s="143">
        <f>AVERAGEIFS('Bookings Detail'!$K$5:$K$274,'Bookings Detail'!$B$5:$B$274,C93,'Bookings Detail'!$H$5:$H$274,D93)</f>
        <v/>
      </c>
      <c r="G93" s="194">
        <f>IFERROR(E93/F93,0)</f>
        <v/>
      </c>
      <c r="H93" s="141">
        <f>IF(G93&gt;=2.5,"Outlier — 2.5x+ rep's typical deal size for this type","")</f>
        <v/>
      </c>
    </row>
    <row r="94" ht="15" customHeight="1" s="107">
      <c r="B94" s="146">
        <f>'Bookings Detail'!A54</f>
        <v/>
      </c>
      <c r="C94" s="146">
        <f>'Bookings Detail'!B54</f>
        <v/>
      </c>
      <c r="D94" s="146">
        <f>'Bookings Detail'!H54</f>
        <v/>
      </c>
      <c r="E94" s="148">
        <f>'Bookings Detail'!K54</f>
        <v/>
      </c>
      <c r="F94" s="149">
        <f>AVERAGEIFS('Bookings Detail'!$K$5:$K$274,'Bookings Detail'!$B$5:$B$274,C94,'Bookings Detail'!$H$5:$H$274,D94)</f>
        <v/>
      </c>
      <c r="G94" s="195">
        <f>IFERROR(E94/F94,0)</f>
        <v/>
      </c>
      <c r="H94" s="147">
        <f>IF(G94&gt;=2.5,"Outlier — 2.5x+ rep's typical deal size for this type","")</f>
        <v/>
      </c>
    </row>
    <row r="95" ht="15" customHeight="1" s="107">
      <c r="B95" s="140">
        <f>'Bookings Detail'!A55</f>
        <v/>
      </c>
      <c r="C95" s="140">
        <f>'Bookings Detail'!B55</f>
        <v/>
      </c>
      <c r="D95" s="140">
        <f>'Bookings Detail'!H55</f>
        <v/>
      </c>
      <c r="E95" s="142">
        <f>'Bookings Detail'!K55</f>
        <v/>
      </c>
      <c r="F95" s="143">
        <f>AVERAGEIFS('Bookings Detail'!$K$5:$K$274,'Bookings Detail'!$B$5:$B$274,C95,'Bookings Detail'!$H$5:$H$274,D95)</f>
        <v/>
      </c>
      <c r="G95" s="194">
        <f>IFERROR(E95/F95,0)</f>
        <v/>
      </c>
      <c r="H95" s="141">
        <f>IF(G95&gt;=2.5,"Outlier — 2.5x+ rep's typical deal size for this type","")</f>
        <v/>
      </c>
    </row>
    <row r="96" ht="15" customHeight="1" s="107">
      <c r="B96" s="146">
        <f>'Bookings Detail'!A56</f>
        <v/>
      </c>
      <c r="C96" s="146">
        <f>'Bookings Detail'!B56</f>
        <v/>
      </c>
      <c r="D96" s="146">
        <f>'Bookings Detail'!H56</f>
        <v/>
      </c>
      <c r="E96" s="148">
        <f>'Bookings Detail'!K56</f>
        <v/>
      </c>
      <c r="F96" s="149">
        <f>AVERAGEIFS('Bookings Detail'!$K$5:$K$274,'Bookings Detail'!$B$5:$B$274,C96,'Bookings Detail'!$H$5:$H$274,D96)</f>
        <v/>
      </c>
      <c r="G96" s="195">
        <f>IFERROR(E96/F96,0)</f>
        <v/>
      </c>
      <c r="H96" s="147">
        <f>IF(G96&gt;=2.5,"Outlier — 2.5x+ rep's typical deal size for this type","")</f>
        <v/>
      </c>
    </row>
    <row r="97" ht="15" customHeight="1" s="107">
      <c r="B97" s="140">
        <f>'Bookings Detail'!A57</f>
        <v/>
      </c>
      <c r="C97" s="140">
        <f>'Bookings Detail'!B57</f>
        <v/>
      </c>
      <c r="D97" s="140">
        <f>'Bookings Detail'!H57</f>
        <v/>
      </c>
      <c r="E97" s="142">
        <f>'Bookings Detail'!K57</f>
        <v/>
      </c>
      <c r="F97" s="143">
        <f>AVERAGEIFS('Bookings Detail'!$K$5:$K$274,'Bookings Detail'!$B$5:$B$274,C97,'Bookings Detail'!$H$5:$H$274,D97)</f>
        <v/>
      </c>
      <c r="G97" s="194">
        <f>IFERROR(E97/F97,0)</f>
        <v/>
      </c>
      <c r="H97" s="141">
        <f>IF(G97&gt;=2.5,"Outlier — 2.5x+ rep's typical deal size for this type","")</f>
        <v/>
      </c>
    </row>
    <row r="98" ht="15" customHeight="1" s="107">
      <c r="B98" s="146">
        <f>'Bookings Detail'!A58</f>
        <v/>
      </c>
      <c r="C98" s="146">
        <f>'Bookings Detail'!B58</f>
        <v/>
      </c>
      <c r="D98" s="146">
        <f>'Bookings Detail'!H58</f>
        <v/>
      </c>
      <c r="E98" s="148">
        <f>'Bookings Detail'!K58</f>
        <v/>
      </c>
      <c r="F98" s="149">
        <f>AVERAGEIFS('Bookings Detail'!$K$5:$K$274,'Bookings Detail'!$B$5:$B$274,C98,'Bookings Detail'!$H$5:$H$274,D98)</f>
        <v/>
      </c>
      <c r="G98" s="195">
        <f>IFERROR(E98/F98,0)</f>
        <v/>
      </c>
      <c r="H98" s="147">
        <f>IF(G98&gt;=2.5,"Outlier — 2.5x+ rep's typical deal size for this type","")</f>
        <v/>
      </c>
    </row>
    <row r="99" ht="15" customHeight="1" s="107">
      <c r="B99" s="140">
        <f>'Bookings Detail'!A59</f>
        <v/>
      </c>
      <c r="C99" s="140">
        <f>'Bookings Detail'!B59</f>
        <v/>
      </c>
      <c r="D99" s="140">
        <f>'Bookings Detail'!H59</f>
        <v/>
      </c>
      <c r="E99" s="142">
        <f>'Bookings Detail'!K59</f>
        <v/>
      </c>
      <c r="F99" s="143">
        <f>AVERAGEIFS('Bookings Detail'!$K$5:$K$274,'Bookings Detail'!$B$5:$B$274,C99,'Bookings Detail'!$H$5:$H$274,D99)</f>
        <v/>
      </c>
      <c r="G99" s="194">
        <f>IFERROR(E99/F99,0)</f>
        <v/>
      </c>
      <c r="H99" s="141">
        <f>IF(G99&gt;=2.5,"Outlier — 2.5x+ rep's typical deal size for this type","")</f>
        <v/>
      </c>
    </row>
    <row r="100" ht="15" customHeight="1" s="107">
      <c r="B100" s="146">
        <f>'Bookings Detail'!A60</f>
        <v/>
      </c>
      <c r="C100" s="146">
        <f>'Bookings Detail'!B60</f>
        <v/>
      </c>
      <c r="D100" s="146">
        <f>'Bookings Detail'!H60</f>
        <v/>
      </c>
      <c r="E100" s="148">
        <f>'Bookings Detail'!K60</f>
        <v/>
      </c>
      <c r="F100" s="149">
        <f>AVERAGEIFS('Bookings Detail'!$K$5:$K$274,'Bookings Detail'!$B$5:$B$274,C100,'Bookings Detail'!$H$5:$H$274,D100)</f>
        <v/>
      </c>
      <c r="G100" s="195">
        <f>IFERROR(E100/F100,0)</f>
        <v/>
      </c>
      <c r="H100" s="147">
        <f>IF(G100&gt;=2.5,"Outlier — 2.5x+ rep's typical deal size for this type","")</f>
        <v/>
      </c>
    </row>
    <row r="101" ht="15" customHeight="1" s="107">
      <c r="B101" s="140">
        <f>'Bookings Detail'!A61</f>
        <v/>
      </c>
      <c r="C101" s="140">
        <f>'Bookings Detail'!B61</f>
        <v/>
      </c>
      <c r="D101" s="140">
        <f>'Bookings Detail'!H61</f>
        <v/>
      </c>
      <c r="E101" s="142">
        <f>'Bookings Detail'!K61</f>
        <v/>
      </c>
      <c r="F101" s="143">
        <f>AVERAGEIFS('Bookings Detail'!$K$5:$K$274,'Bookings Detail'!$B$5:$B$274,C101,'Bookings Detail'!$H$5:$H$274,D101)</f>
        <v/>
      </c>
      <c r="G101" s="194">
        <f>IFERROR(E101/F101,0)</f>
        <v/>
      </c>
      <c r="H101" s="141">
        <f>IF(G101&gt;=2.5,"Outlier — 2.5x+ rep's typical deal size for this type","")</f>
        <v/>
      </c>
    </row>
    <row r="102" ht="15" customHeight="1" s="107">
      <c r="B102" s="146">
        <f>'Bookings Detail'!A62</f>
        <v/>
      </c>
      <c r="C102" s="146">
        <f>'Bookings Detail'!B62</f>
        <v/>
      </c>
      <c r="D102" s="146">
        <f>'Bookings Detail'!H62</f>
        <v/>
      </c>
      <c r="E102" s="148">
        <f>'Bookings Detail'!K62</f>
        <v/>
      </c>
      <c r="F102" s="149">
        <f>AVERAGEIFS('Bookings Detail'!$K$5:$K$274,'Bookings Detail'!$B$5:$B$274,C102,'Bookings Detail'!$H$5:$H$274,D102)</f>
        <v/>
      </c>
      <c r="G102" s="195">
        <f>IFERROR(E102/F102,0)</f>
        <v/>
      </c>
      <c r="H102" s="147">
        <f>IF(G102&gt;=2.5,"Outlier — 2.5x+ rep's typical deal size for this type","")</f>
        <v/>
      </c>
    </row>
    <row r="103" ht="15" customHeight="1" s="107">
      <c r="B103" s="140">
        <f>'Bookings Detail'!A63</f>
        <v/>
      </c>
      <c r="C103" s="140">
        <f>'Bookings Detail'!B63</f>
        <v/>
      </c>
      <c r="D103" s="140">
        <f>'Bookings Detail'!H63</f>
        <v/>
      </c>
      <c r="E103" s="142">
        <f>'Bookings Detail'!K63</f>
        <v/>
      </c>
      <c r="F103" s="143">
        <f>AVERAGEIFS('Bookings Detail'!$K$5:$K$274,'Bookings Detail'!$B$5:$B$274,C103,'Bookings Detail'!$H$5:$H$274,D103)</f>
        <v/>
      </c>
      <c r="G103" s="194">
        <f>IFERROR(E103/F103,0)</f>
        <v/>
      </c>
      <c r="H103" s="141">
        <f>IF(G103&gt;=2.5,"Outlier — 2.5x+ rep's typical deal size for this type","")</f>
        <v/>
      </c>
    </row>
    <row r="104" ht="15" customHeight="1" s="107">
      <c r="B104" s="146">
        <f>'Bookings Detail'!A64</f>
        <v/>
      </c>
      <c r="C104" s="146">
        <f>'Bookings Detail'!B64</f>
        <v/>
      </c>
      <c r="D104" s="146">
        <f>'Bookings Detail'!H64</f>
        <v/>
      </c>
      <c r="E104" s="148">
        <f>'Bookings Detail'!K64</f>
        <v/>
      </c>
      <c r="F104" s="149">
        <f>AVERAGEIFS('Bookings Detail'!$K$5:$K$274,'Bookings Detail'!$B$5:$B$274,C104,'Bookings Detail'!$H$5:$H$274,D104)</f>
        <v/>
      </c>
      <c r="G104" s="195">
        <f>IFERROR(E104/F104,0)</f>
        <v/>
      </c>
      <c r="H104" s="147">
        <f>IF(G104&gt;=2.5,"Outlier — 2.5x+ rep's typical deal size for this type","")</f>
        <v/>
      </c>
    </row>
    <row r="105" ht="15" customHeight="1" s="107">
      <c r="B105" s="140">
        <f>'Bookings Detail'!A65</f>
        <v/>
      </c>
      <c r="C105" s="140">
        <f>'Bookings Detail'!B65</f>
        <v/>
      </c>
      <c r="D105" s="140">
        <f>'Bookings Detail'!H65</f>
        <v/>
      </c>
      <c r="E105" s="142">
        <f>'Bookings Detail'!K65</f>
        <v/>
      </c>
      <c r="F105" s="143">
        <f>AVERAGEIFS('Bookings Detail'!$K$5:$K$274,'Bookings Detail'!$B$5:$B$274,C105,'Bookings Detail'!$H$5:$H$274,D105)</f>
        <v/>
      </c>
      <c r="G105" s="194">
        <f>IFERROR(E105/F105,0)</f>
        <v/>
      </c>
      <c r="H105" s="141">
        <f>IF(G105&gt;=2.5,"Outlier — 2.5x+ rep's typical deal size for this type","")</f>
        <v/>
      </c>
    </row>
    <row r="106" ht="15" customHeight="1" s="107">
      <c r="B106" s="146">
        <f>'Bookings Detail'!A66</f>
        <v/>
      </c>
      <c r="C106" s="146">
        <f>'Bookings Detail'!B66</f>
        <v/>
      </c>
      <c r="D106" s="146">
        <f>'Bookings Detail'!H66</f>
        <v/>
      </c>
      <c r="E106" s="148">
        <f>'Bookings Detail'!K66</f>
        <v/>
      </c>
      <c r="F106" s="149">
        <f>AVERAGEIFS('Bookings Detail'!$K$5:$K$274,'Bookings Detail'!$B$5:$B$274,C106,'Bookings Detail'!$H$5:$H$274,D106)</f>
        <v/>
      </c>
      <c r="G106" s="195">
        <f>IFERROR(E106/F106,0)</f>
        <v/>
      </c>
      <c r="H106" s="147">
        <f>IF(G106&gt;=2.5,"Outlier — 2.5x+ rep's typical deal size for this type","")</f>
        <v/>
      </c>
    </row>
    <row r="107" ht="15" customHeight="1" s="107">
      <c r="B107" s="140">
        <f>'Bookings Detail'!A67</f>
        <v/>
      </c>
      <c r="C107" s="140">
        <f>'Bookings Detail'!B67</f>
        <v/>
      </c>
      <c r="D107" s="140">
        <f>'Bookings Detail'!H67</f>
        <v/>
      </c>
      <c r="E107" s="142">
        <f>'Bookings Detail'!K67</f>
        <v/>
      </c>
      <c r="F107" s="143">
        <f>AVERAGEIFS('Bookings Detail'!$K$5:$K$274,'Bookings Detail'!$B$5:$B$274,C107,'Bookings Detail'!$H$5:$H$274,D107)</f>
        <v/>
      </c>
      <c r="G107" s="194">
        <f>IFERROR(E107/F107,0)</f>
        <v/>
      </c>
      <c r="H107" s="141">
        <f>IF(G107&gt;=2.5,"Outlier — 2.5x+ rep's typical deal size for this type","")</f>
        <v/>
      </c>
    </row>
    <row r="108" ht="15" customHeight="1" s="107">
      <c r="B108" s="146">
        <f>'Bookings Detail'!A68</f>
        <v/>
      </c>
      <c r="C108" s="146">
        <f>'Bookings Detail'!B68</f>
        <v/>
      </c>
      <c r="D108" s="146">
        <f>'Bookings Detail'!H68</f>
        <v/>
      </c>
      <c r="E108" s="148">
        <f>'Bookings Detail'!K68</f>
        <v/>
      </c>
      <c r="F108" s="149">
        <f>AVERAGEIFS('Bookings Detail'!$K$5:$K$274,'Bookings Detail'!$B$5:$B$274,C108,'Bookings Detail'!$H$5:$H$274,D108)</f>
        <v/>
      </c>
      <c r="G108" s="195">
        <f>IFERROR(E108/F108,0)</f>
        <v/>
      </c>
      <c r="H108" s="147">
        <f>IF(G108&gt;=2.5,"Outlier — 2.5x+ rep's typical deal size for this type","")</f>
        <v/>
      </c>
    </row>
    <row r="109" ht="15" customHeight="1" s="107">
      <c r="B109" s="140">
        <f>'Bookings Detail'!A69</f>
        <v/>
      </c>
      <c r="C109" s="140">
        <f>'Bookings Detail'!B69</f>
        <v/>
      </c>
      <c r="D109" s="140">
        <f>'Bookings Detail'!H69</f>
        <v/>
      </c>
      <c r="E109" s="142">
        <f>'Bookings Detail'!K69</f>
        <v/>
      </c>
      <c r="F109" s="143">
        <f>AVERAGEIFS('Bookings Detail'!$K$5:$K$274,'Bookings Detail'!$B$5:$B$274,C109,'Bookings Detail'!$H$5:$H$274,D109)</f>
        <v/>
      </c>
      <c r="G109" s="194">
        <f>IFERROR(E109/F109,0)</f>
        <v/>
      </c>
      <c r="H109" s="141">
        <f>IF(G109&gt;=2.5,"Outlier — 2.5x+ rep's typical deal size for this type","")</f>
        <v/>
      </c>
    </row>
    <row r="110" ht="15" customHeight="1" s="107">
      <c r="B110" s="146">
        <f>'Bookings Detail'!A70</f>
        <v/>
      </c>
      <c r="C110" s="146">
        <f>'Bookings Detail'!B70</f>
        <v/>
      </c>
      <c r="D110" s="146">
        <f>'Bookings Detail'!H70</f>
        <v/>
      </c>
      <c r="E110" s="148">
        <f>'Bookings Detail'!K70</f>
        <v/>
      </c>
      <c r="F110" s="149">
        <f>AVERAGEIFS('Bookings Detail'!$K$5:$K$274,'Bookings Detail'!$B$5:$B$274,C110,'Bookings Detail'!$H$5:$H$274,D110)</f>
        <v/>
      </c>
      <c r="G110" s="195">
        <f>IFERROR(E110/F110,0)</f>
        <v/>
      </c>
      <c r="H110" s="147">
        <f>IF(G110&gt;=2.5,"Outlier — 2.5x+ rep's typical deal size for this type","")</f>
        <v/>
      </c>
    </row>
    <row r="111" ht="15" customHeight="1" s="107">
      <c r="B111" s="140">
        <f>'Bookings Detail'!A71</f>
        <v/>
      </c>
      <c r="C111" s="140">
        <f>'Bookings Detail'!B71</f>
        <v/>
      </c>
      <c r="D111" s="140">
        <f>'Bookings Detail'!H71</f>
        <v/>
      </c>
      <c r="E111" s="142">
        <f>'Bookings Detail'!K71</f>
        <v/>
      </c>
      <c r="F111" s="143">
        <f>AVERAGEIFS('Bookings Detail'!$K$5:$K$274,'Bookings Detail'!$B$5:$B$274,C111,'Bookings Detail'!$H$5:$H$274,D111)</f>
        <v/>
      </c>
      <c r="G111" s="194">
        <f>IFERROR(E111/F111,0)</f>
        <v/>
      </c>
      <c r="H111" s="141">
        <f>IF(G111&gt;=2.5,"Outlier — 2.5x+ rep's typical deal size for this type","")</f>
        <v/>
      </c>
    </row>
    <row r="112" ht="15" customHeight="1" s="107">
      <c r="B112" s="146">
        <f>'Bookings Detail'!A72</f>
        <v/>
      </c>
      <c r="C112" s="146">
        <f>'Bookings Detail'!B72</f>
        <v/>
      </c>
      <c r="D112" s="146">
        <f>'Bookings Detail'!H72</f>
        <v/>
      </c>
      <c r="E112" s="148">
        <f>'Bookings Detail'!K72</f>
        <v/>
      </c>
      <c r="F112" s="149">
        <f>AVERAGEIFS('Bookings Detail'!$K$5:$K$274,'Bookings Detail'!$B$5:$B$274,C112,'Bookings Detail'!$H$5:$H$274,D112)</f>
        <v/>
      </c>
      <c r="G112" s="195">
        <f>IFERROR(E112/F112,0)</f>
        <v/>
      </c>
      <c r="H112" s="147">
        <f>IF(G112&gt;=2.5,"Outlier — 2.5x+ rep's typical deal size for this type","")</f>
        <v/>
      </c>
    </row>
    <row r="113" ht="15" customHeight="1" s="107">
      <c r="B113" s="140">
        <f>'Bookings Detail'!A73</f>
        <v/>
      </c>
      <c r="C113" s="140">
        <f>'Bookings Detail'!B73</f>
        <v/>
      </c>
      <c r="D113" s="140">
        <f>'Bookings Detail'!H73</f>
        <v/>
      </c>
      <c r="E113" s="142">
        <f>'Bookings Detail'!K73</f>
        <v/>
      </c>
      <c r="F113" s="143">
        <f>AVERAGEIFS('Bookings Detail'!$K$5:$K$274,'Bookings Detail'!$B$5:$B$274,C113,'Bookings Detail'!$H$5:$H$274,D113)</f>
        <v/>
      </c>
      <c r="G113" s="194">
        <f>IFERROR(E113/F113,0)</f>
        <v/>
      </c>
      <c r="H113" s="141">
        <f>IF(G113&gt;=2.5,"Outlier — 2.5x+ rep's typical deal size for this type","")</f>
        <v/>
      </c>
    </row>
    <row r="114" ht="15" customHeight="1" s="107">
      <c r="B114" s="146">
        <f>'Bookings Detail'!A74</f>
        <v/>
      </c>
      <c r="C114" s="146">
        <f>'Bookings Detail'!B74</f>
        <v/>
      </c>
      <c r="D114" s="146">
        <f>'Bookings Detail'!H74</f>
        <v/>
      </c>
      <c r="E114" s="148">
        <f>'Bookings Detail'!K74</f>
        <v/>
      </c>
      <c r="F114" s="149">
        <f>AVERAGEIFS('Bookings Detail'!$K$5:$K$274,'Bookings Detail'!$B$5:$B$274,C114,'Bookings Detail'!$H$5:$H$274,D114)</f>
        <v/>
      </c>
      <c r="G114" s="195">
        <f>IFERROR(E114/F114,0)</f>
        <v/>
      </c>
      <c r="H114" s="147">
        <f>IF(G114&gt;=2.5,"Outlier — 2.5x+ rep's typical deal size for this type","")</f>
        <v/>
      </c>
    </row>
    <row r="115" ht="15" customHeight="1" s="107">
      <c r="B115" s="140">
        <f>'Bookings Detail'!A75</f>
        <v/>
      </c>
      <c r="C115" s="140">
        <f>'Bookings Detail'!B75</f>
        <v/>
      </c>
      <c r="D115" s="140">
        <f>'Bookings Detail'!H75</f>
        <v/>
      </c>
      <c r="E115" s="142">
        <f>'Bookings Detail'!K75</f>
        <v/>
      </c>
      <c r="F115" s="143">
        <f>AVERAGEIFS('Bookings Detail'!$K$5:$K$274,'Bookings Detail'!$B$5:$B$274,C115,'Bookings Detail'!$H$5:$H$274,D115)</f>
        <v/>
      </c>
      <c r="G115" s="194">
        <f>IFERROR(E115/F115,0)</f>
        <v/>
      </c>
      <c r="H115" s="141">
        <f>IF(G115&gt;=2.5,"Outlier — 2.5x+ rep's typical deal size for this type","")</f>
        <v/>
      </c>
    </row>
    <row r="116" ht="15" customHeight="1" s="107">
      <c r="B116" s="146">
        <f>'Bookings Detail'!A76</f>
        <v/>
      </c>
      <c r="C116" s="146">
        <f>'Bookings Detail'!B76</f>
        <v/>
      </c>
      <c r="D116" s="146">
        <f>'Bookings Detail'!H76</f>
        <v/>
      </c>
      <c r="E116" s="148">
        <f>'Bookings Detail'!K76</f>
        <v/>
      </c>
      <c r="F116" s="149">
        <f>AVERAGEIFS('Bookings Detail'!$K$5:$K$274,'Bookings Detail'!$B$5:$B$274,C116,'Bookings Detail'!$H$5:$H$274,D116)</f>
        <v/>
      </c>
      <c r="G116" s="195">
        <f>IFERROR(E116/F116,0)</f>
        <v/>
      </c>
      <c r="H116" s="147">
        <f>IF(G116&gt;=2.5,"Outlier — 2.5x+ rep's typical deal size for this type","")</f>
        <v/>
      </c>
    </row>
    <row r="117" ht="15" customHeight="1" s="107">
      <c r="B117" s="140">
        <f>'Bookings Detail'!A77</f>
        <v/>
      </c>
      <c r="C117" s="140">
        <f>'Bookings Detail'!B77</f>
        <v/>
      </c>
      <c r="D117" s="140">
        <f>'Bookings Detail'!H77</f>
        <v/>
      </c>
      <c r="E117" s="142">
        <f>'Bookings Detail'!K77</f>
        <v/>
      </c>
      <c r="F117" s="143">
        <f>AVERAGEIFS('Bookings Detail'!$K$5:$K$274,'Bookings Detail'!$B$5:$B$274,C117,'Bookings Detail'!$H$5:$H$274,D117)</f>
        <v/>
      </c>
      <c r="G117" s="194">
        <f>IFERROR(E117/F117,0)</f>
        <v/>
      </c>
      <c r="H117" s="141">
        <f>IF(G117&gt;=2.5,"Outlier — 2.5x+ rep's typical deal size for this type","")</f>
        <v/>
      </c>
    </row>
    <row r="118" ht="15" customHeight="1" s="107">
      <c r="B118" s="146">
        <f>'Bookings Detail'!A78</f>
        <v/>
      </c>
      <c r="C118" s="146">
        <f>'Bookings Detail'!B78</f>
        <v/>
      </c>
      <c r="D118" s="146">
        <f>'Bookings Detail'!H78</f>
        <v/>
      </c>
      <c r="E118" s="148">
        <f>'Bookings Detail'!K78</f>
        <v/>
      </c>
      <c r="F118" s="149">
        <f>AVERAGEIFS('Bookings Detail'!$K$5:$K$274,'Bookings Detail'!$B$5:$B$274,C118,'Bookings Detail'!$H$5:$H$274,D118)</f>
        <v/>
      </c>
      <c r="G118" s="195">
        <f>IFERROR(E118/F118,0)</f>
        <v/>
      </c>
      <c r="H118" s="147">
        <f>IF(G118&gt;=2.5,"Outlier — 2.5x+ rep's typical deal size for this type","")</f>
        <v/>
      </c>
    </row>
    <row r="119" ht="15" customHeight="1" s="107">
      <c r="B119" s="140">
        <f>'Bookings Detail'!A79</f>
        <v/>
      </c>
      <c r="C119" s="140">
        <f>'Bookings Detail'!B79</f>
        <v/>
      </c>
      <c r="D119" s="140">
        <f>'Bookings Detail'!H79</f>
        <v/>
      </c>
      <c r="E119" s="142">
        <f>'Bookings Detail'!K79</f>
        <v/>
      </c>
      <c r="F119" s="143">
        <f>AVERAGEIFS('Bookings Detail'!$K$5:$K$274,'Bookings Detail'!$B$5:$B$274,C119,'Bookings Detail'!$H$5:$H$274,D119)</f>
        <v/>
      </c>
      <c r="G119" s="194">
        <f>IFERROR(E119/F119,0)</f>
        <v/>
      </c>
      <c r="H119" s="141">
        <f>IF(G119&gt;=2.5,"Outlier — 2.5x+ rep's typical deal size for this type","")</f>
        <v/>
      </c>
    </row>
    <row r="120" ht="15" customHeight="1" s="107">
      <c r="B120" s="146">
        <f>'Bookings Detail'!A80</f>
        <v/>
      </c>
      <c r="C120" s="146">
        <f>'Bookings Detail'!B80</f>
        <v/>
      </c>
      <c r="D120" s="146">
        <f>'Bookings Detail'!H80</f>
        <v/>
      </c>
      <c r="E120" s="148">
        <f>'Bookings Detail'!K80</f>
        <v/>
      </c>
      <c r="F120" s="149">
        <f>AVERAGEIFS('Bookings Detail'!$K$5:$K$274,'Bookings Detail'!$B$5:$B$274,C120,'Bookings Detail'!$H$5:$H$274,D120)</f>
        <v/>
      </c>
      <c r="G120" s="195">
        <f>IFERROR(E120/F120,0)</f>
        <v/>
      </c>
      <c r="H120" s="147">
        <f>IF(G120&gt;=2.5,"Outlier — 2.5x+ rep's typical deal size for this type","")</f>
        <v/>
      </c>
    </row>
    <row r="121" ht="15" customHeight="1" s="107">
      <c r="B121" s="140">
        <f>'Bookings Detail'!A81</f>
        <v/>
      </c>
      <c r="C121" s="140">
        <f>'Bookings Detail'!B81</f>
        <v/>
      </c>
      <c r="D121" s="140">
        <f>'Bookings Detail'!H81</f>
        <v/>
      </c>
      <c r="E121" s="142">
        <f>'Bookings Detail'!K81</f>
        <v/>
      </c>
      <c r="F121" s="143">
        <f>AVERAGEIFS('Bookings Detail'!$K$5:$K$274,'Bookings Detail'!$B$5:$B$274,C121,'Bookings Detail'!$H$5:$H$274,D121)</f>
        <v/>
      </c>
      <c r="G121" s="194">
        <f>IFERROR(E121/F121,0)</f>
        <v/>
      </c>
      <c r="H121" s="141">
        <f>IF(G121&gt;=2.5,"Outlier — 2.5x+ rep's typical deal size for this type","")</f>
        <v/>
      </c>
    </row>
    <row r="122" ht="15" customHeight="1" s="107">
      <c r="B122" s="146">
        <f>'Bookings Detail'!A82</f>
        <v/>
      </c>
      <c r="C122" s="146">
        <f>'Bookings Detail'!B82</f>
        <v/>
      </c>
      <c r="D122" s="146">
        <f>'Bookings Detail'!H82</f>
        <v/>
      </c>
      <c r="E122" s="148">
        <f>'Bookings Detail'!K82</f>
        <v/>
      </c>
      <c r="F122" s="149">
        <f>AVERAGEIFS('Bookings Detail'!$K$5:$K$274,'Bookings Detail'!$B$5:$B$274,C122,'Bookings Detail'!$H$5:$H$274,D122)</f>
        <v/>
      </c>
      <c r="G122" s="195">
        <f>IFERROR(E122/F122,0)</f>
        <v/>
      </c>
      <c r="H122" s="147">
        <f>IF(G122&gt;=2.5,"Outlier — 2.5x+ rep's typical deal size for this type","")</f>
        <v/>
      </c>
    </row>
    <row r="123" ht="15" customHeight="1" s="107">
      <c r="B123" s="140">
        <f>'Bookings Detail'!A83</f>
        <v/>
      </c>
      <c r="C123" s="140">
        <f>'Bookings Detail'!B83</f>
        <v/>
      </c>
      <c r="D123" s="140">
        <f>'Bookings Detail'!H83</f>
        <v/>
      </c>
      <c r="E123" s="142">
        <f>'Bookings Detail'!K83</f>
        <v/>
      </c>
      <c r="F123" s="143">
        <f>AVERAGEIFS('Bookings Detail'!$K$5:$K$274,'Bookings Detail'!$B$5:$B$274,C123,'Bookings Detail'!$H$5:$H$274,D123)</f>
        <v/>
      </c>
      <c r="G123" s="194">
        <f>IFERROR(E123/F123,0)</f>
        <v/>
      </c>
      <c r="H123" s="141">
        <f>IF(G123&gt;=2.5,"Outlier — 2.5x+ rep's typical deal size for this type","")</f>
        <v/>
      </c>
    </row>
    <row r="124" ht="15" customHeight="1" s="107">
      <c r="B124" s="146">
        <f>'Bookings Detail'!A84</f>
        <v/>
      </c>
      <c r="C124" s="146">
        <f>'Bookings Detail'!B84</f>
        <v/>
      </c>
      <c r="D124" s="146">
        <f>'Bookings Detail'!H84</f>
        <v/>
      </c>
      <c r="E124" s="148">
        <f>'Bookings Detail'!K84</f>
        <v/>
      </c>
      <c r="F124" s="149">
        <f>AVERAGEIFS('Bookings Detail'!$K$5:$K$274,'Bookings Detail'!$B$5:$B$274,C124,'Bookings Detail'!$H$5:$H$274,D124)</f>
        <v/>
      </c>
      <c r="G124" s="195">
        <f>IFERROR(E124/F124,0)</f>
        <v/>
      </c>
      <c r="H124" s="147">
        <f>IF(G124&gt;=2.5,"Outlier — 2.5x+ rep's typical deal size for this type","")</f>
        <v/>
      </c>
    </row>
    <row r="125" ht="15" customHeight="1" s="107">
      <c r="B125" s="140">
        <f>'Bookings Detail'!A85</f>
        <v/>
      </c>
      <c r="C125" s="140">
        <f>'Bookings Detail'!B85</f>
        <v/>
      </c>
      <c r="D125" s="140">
        <f>'Bookings Detail'!H85</f>
        <v/>
      </c>
      <c r="E125" s="142">
        <f>'Bookings Detail'!K85</f>
        <v/>
      </c>
      <c r="F125" s="143">
        <f>AVERAGEIFS('Bookings Detail'!$K$5:$K$274,'Bookings Detail'!$B$5:$B$274,C125,'Bookings Detail'!$H$5:$H$274,D125)</f>
        <v/>
      </c>
      <c r="G125" s="194">
        <f>IFERROR(E125/F125,0)</f>
        <v/>
      </c>
      <c r="H125" s="141">
        <f>IF(G125&gt;=2.5,"Outlier — 2.5x+ rep's typical deal size for this type","")</f>
        <v/>
      </c>
    </row>
    <row r="126" ht="15" customHeight="1" s="107">
      <c r="B126" s="146">
        <f>'Bookings Detail'!A86</f>
        <v/>
      </c>
      <c r="C126" s="146">
        <f>'Bookings Detail'!B86</f>
        <v/>
      </c>
      <c r="D126" s="146">
        <f>'Bookings Detail'!H86</f>
        <v/>
      </c>
      <c r="E126" s="148">
        <f>'Bookings Detail'!K86</f>
        <v/>
      </c>
      <c r="F126" s="149">
        <f>AVERAGEIFS('Bookings Detail'!$K$5:$K$274,'Bookings Detail'!$B$5:$B$274,C126,'Bookings Detail'!$H$5:$H$274,D126)</f>
        <v/>
      </c>
      <c r="G126" s="195">
        <f>IFERROR(E126/F126,0)</f>
        <v/>
      </c>
      <c r="H126" s="147">
        <f>IF(G126&gt;=2.5,"Outlier — 2.5x+ rep's typical deal size for this type","")</f>
        <v/>
      </c>
    </row>
    <row r="127" ht="15" customHeight="1" s="107">
      <c r="B127" s="140">
        <f>'Bookings Detail'!A87</f>
        <v/>
      </c>
      <c r="C127" s="140">
        <f>'Bookings Detail'!B87</f>
        <v/>
      </c>
      <c r="D127" s="140">
        <f>'Bookings Detail'!H87</f>
        <v/>
      </c>
      <c r="E127" s="142">
        <f>'Bookings Detail'!K87</f>
        <v/>
      </c>
      <c r="F127" s="143">
        <f>AVERAGEIFS('Bookings Detail'!$K$5:$K$274,'Bookings Detail'!$B$5:$B$274,C127,'Bookings Detail'!$H$5:$H$274,D127)</f>
        <v/>
      </c>
      <c r="G127" s="194">
        <f>IFERROR(E127/F127,0)</f>
        <v/>
      </c>
      <c r="H127" s="141">
        <f>IF(G127&gt;=2.5,"Outlier — 2.5x+ rep's typical deal size for this type","")</f>
        <v/>
      </c>
    </row>
    <row r="128" ht="15" customHeight="1" s="107">
      <c r="B128" s="146">
        <f>'Bookings Detail'!A88</f>
        <v/>
      </c>
      <c r="C128" s="146">
        <f>'Bookings Detail'!B88</f>
        <v/>
      </c>
      <c r="D128" s="146">
        <f>'Bookings Detail'!H88</f>
        <v/>
      </c>
      <c r="E128" s="148">
        <f>'Bookings Detail'!K88</f>
        <v/>
      </c>
      <c r="F128" s="149">
        <f>AVERAGEIFS('Bookings Detail'!$K$5:$K$274,'Bookings Detail'!$B$5:$B$274,C128,'Bookings Detail'!$H$5:$H$274,D128)</f>
        <v/>
      </c>
      <c r="G128" s="195">
        <f>IFERROR(E128/F128,0)</f>
        <v/>
      </c>
      <c r="H128" s="147">
        <f>IF(G128&gt;=2.5,"Outlier — 2.5x+ rep's typical deal size for this type","")</f>
        <v/>
      </c>
    </row>
    <row r="129" ht="15" customHeight="1" s="107">
      <c r="B129" s="140">
        <f>'Bookings Detail'!A89</f>
        <v/>
      </c>
      <c r="C129" s="140">
        <f>'Bookings Detail'!B89</f>
        <v/>
      </c>
      <c r="D129" s="140">
        <f>'Bookings Detail'!H89</f>
        <v/>
      </c>
      <c r="E129" s="142">
        <f>'Bookings Detail'!K89</f>
        <v/>
      </c>
      <c r="F129" s="143">
        <f>AVERAGEIFS('Bookings Detail'!$K$5:$K$274,'Bookings Detail'!$B$5:$B$274,C129,'Bookings Detail'!$H$5:$H$274,D129)</f>
        <v/>
      </c>
      <c r="G129" s="194">
        <f>IFERROR(E129/F129,0)</f>
        <v/>
      </c>
      <c r="H129" s="141">
        <f>IF(G129&gt;=2.5,"Outlier — 2.5x+ rep's typical deal size for this type","")</f>
        <v/>
      </c>
    </row>
    <row r="130" ht="15" customHeight="1" s="107">
      <c r="B130" s="146">
        <f>'Bookings Detail'!A90</f>
        <v/>
      </c>
      <c r="C130" s="146">
        <f>'Bookings Detail'!B90</f>
        <v/>
      </c>
      <c r="D130" s="146">
        <f>'Bookings Detail'!H90</f>
        <v/>
      </c>
      <c r="E130" s="148">
        <f>'Bookings Detail'!K90</f>
        <v/>
      </c>
      <c r="F130" s="149">
        <f>AVERAGEIFS('Bookings Detail'!$K$5:$K$274,'Bookings Detail'!$B$5:$B$274,C130,'Bookings Detail'!$H$5:$H$274,D130)</f>
        <v/>
      </c>
      <c r="G130" s="195">
        <f>IFERROR(E130/F130,0)</f>
        <v/>
      </c>
      <c r="H130" s="147">
        <f>IF(G130&gt;=2.5,"Outlier — 2.5x+ rep's typical deal size for this type","")</f>
        <v/>
      </c>
    </row>
    <row r="131" ht="15" customHeight="1" s="107">
      <c r="B131" s="140">
        <f>'Bookings Detail'!A91</f>
        <v/>
      </c>
      <c r="C131" s="140">
        <f>'Bookings Detail'!B91</f>
        <v/>
      </c>
      <c r="D131" s="140">
        <f>'Bookings Detail'!H91</f>
        <v/>
      </c>
      <c r="E131" s="142">
        <f>'Bookings Detail'!K91</f>
        <v/>
      </c>
      <c r="F131" s="143">
        <f>AVERAGEIFS('Bookings Detail'!$K$5:$K$274,'Bookings Detail'!$B$5:$B$274,C131,'Bookings Detail'!$H$5:$H$274,D131)</f>
        <v/>
      </c>
      <c r="G131" s="194">
        <f>IFERROR(E131/F131,0)</f>
        <v/>
      </c>
      <c r="H131" s="141">
        <f>IF(G131&gt;=2.5,"Outlier — 2.5x+ rep's typical deal size for this type","")</f>
        <v/>
      </c>
    </row>
    <row r="132" ht="15" customHeight="1" s="107">
      <c r="B132" s="146">
        <f>'Bookings Detail'!A92</f>
        <v/>
      </c>
      <c r="C132" s="146">
        <f>'Bookings Detail'!B92</f>
        <v/>
      </c>
      <c r="D132" s="146">
        <f>'Bookings Detail'!H92</f>
        <v/>
      </c>
      <c r="E132" s="148">
        <f>'Bookings Detail'!K92</f>
        <v/>
      </c>
      <c r="F132" s="149">
        <f>AVERAGEIFS('Bookings Detail'!$K$5:$K$274,'Bookings Detail'!$B$5:$B$274,C132,'Bookings Detail'!$H$5:$H$274,D132)</f>
        <v/>
      </c>
      <c r="G132" s="195">
        <f>IFERROR(E132/F132,0)</f>
        <v/>
      </c>
      <c r="H132" s="147">
        <f>IF(G132&gt;=2.5,"Outlier — 2.5x+ rep's typical deal size for this type","")</f>
        <v/>
      </c>
    </row>
    <row r="133" ht="15" customHeight="1" s="107">
      <c r="B133" s="140">
        <f>'Bookings Detail'!A93</f>
        <v/>
      </c>
      <c r="C133" s="140">
        <f>'Bookings Detail'!B93</f>
        <v/>
      </c>
      <c r="D133" s="140">
        <f>'Bookings Detail'!H93</f>
        <v/>
      </c>
      <c r="E133" s="142">
        <f>'Bookings Detail'!K93</f>
        <v/>
      </c>
      <c r="F133" s="143">
        <f>AVERAGEIFS('Bookings Detail'!$K$5:$K$274,'Bookings Detail'!$B$5:$B$274,C133,'Bookings Detail'!$H$5:$H$274,D133)</f>
        <v/>
      </c>
      <c r="G133" s="194">
        <f>IFERROR(E133/F133,0)</f>
        <v/>
      </c>
      <c r="H133" s="141">
        <f>IF(G133&gt;=2.5,"Outlier — 2.5x+ rep's typical deal size for this type","")</f>
        <v/>
      </c>
    </row>
    <row r="134" ht="15" customHeight="1" s="107">
      <c r="B134" s="146">
        <f>'Bookings Detail'!A94</f>
        <v/>
      </c>
      <c r="C134" s="146">
        <f>'Bookings Detail'!B94</f>
        <v/>
      </c>
      <c r="D134" s="146">
        <f>'Bookings Detail'!H94</f>
        <v/>
      </c>
      <c r="E134" s="148">
        <f>'Bookings Detail'!K94</f>
        <v/>
      </c>
      <c r="F134" s="149">
        <f>AVERAGEIFS('Bookings Detail'!$K$5:$K$274,'Bookings Detail'!$B$5:$B$274,C134,'Bookings Detail'!$H$5:$H$274,D134)</f>
        <v/>
      </c>
      <c r="G134" s="195">
        <f>IFERROR(E134/F134,0)</f>
        <v/>
      </c>
      <c r="H134" s="147">
        <f>IF(G134&gt;=2.5,"Outlier — 2.5x+ rep's typical deal size for this type","")</f>
        <v/>
      </c>
    </row>
    <row r="135" ht="15" customHeight="1" s="107">
      <c r="B135" s="140">
        <f>'Bookings Detail'!A95</f>
        <v/>
      </c>
      <c r="C135" s="140">
        <f>'Bookings Detail'!B95</f>
        <v/>
      </c>
      <c r="D135" s="140">
        <f>'Bookings Detail'!H95</f>
        <v/>
      </c>
      <c r="E135" s="142">
        <f>'Bookings Detail'!K95</f>
        <v/>
      </c>
      <c r="F135" s="143">
        <f>AVERAGEIFS('Bookings Detail'!$K$5:$K$274,'Bookings Detail'!$B$5:$B$274,C135,'Bookings Detail'!$H$5:$H$274,D135)</f>
        <v/>
      </c>
      <c r="G135" s="194">
        <f>IFERROR(E135/F135,0)</f>
        <v/>
      </c>
      <c r="H135" s="141">
        <f>IF(G135&gt;=2.5,"Outlier — 2.5x+ rep's typical deal size for this type","")</f>
        <v/>
      </c>
    </row>
    <row r="136" ht="15" customHeight="1" s="107">
      <c r="B136" s="146">
        <f>'Bookings Detail'!A96</f>
        <v/>
      </c>
      <c r="C136" s="146">
        <f>'Bookings Detail'!B96</f>
        <v/>
      </c>
      <c r="D136" s="146">
        <f>'Bookings Detail'!H96</f>
        <v/>
      </c>
      <c r="E136" s="148">
        <f>'Bookings Detail'!K96</f>
        <v/>
      </c>
      <c r="F136" s="149">
        <f>AVERAGEIFS('Bookings Detail'!$K$5:$K$274,'Bookings Detail'!$B$5:$B$274,C136,'Bookings Detail'!$H$5:$H$274,D136)</f>
        <v/>
      </c>
      <c r="G136" s="195">
        <f>IFERROR(E136/F136,0)</f>
        <v/>
      </c>
      <c r="H136" s="147">
        <f>IF(G136&gt;=2.5,"Outlier — 2.5x+ rep's typical deal size for this type","")</f>
        <v/>
      </c>
    </row>
    <row r="137" ht="15" customHeight="1" s="107">
      <c r="B137" s="140">
        <f>'Bookings Detail'!A97</f>
        <v/>
      </c>
      <c r="C137" s="140">
        <f>'Bookings Detail'!B97</f>
        <v/>
      </c>
      <c r="D137" s="140">
        <f>'Bookings Detail'!H97</f>
        <v/>
      </c>
      <c r="E137" s="142">
        <f>'Bookings Detail'!K97</f>
        <v/>
      </c>
      <c r="F137" s="143">
        <f>AVERAGEIFS('Bookings Detail'!$K$5:$K$274,'Bookings Detail'!$B$5:$B$274,C137,'Bookings Detail'!$H$5:$H$274,D137)</f>
        <v/>
      </c>
      <c r="G137" s="194">
        <f>IFERROR(E137/F137,0)</f>
        <v/>
      </c>
      <c r="H137" s="141">
        <f>IF(G137&gt;=2.5,"Outlier — 2.5x+ rep's typical deal size for this type","")</f>
        <v/>
      </c>
    </row>
    <row r="138" ht="15" customHeight="1" s="107">
      <c r="B138" s="146">
        <f>'Bookings Detail'!A98</f>
        <v/>
      </c>
      <c r="C138" s="146">
        <f>'Bookings Detail'!B98</f>
        <v/>
      </c>
      <c r="D138" s="146">
        <f>'Bookings Detail'!H98</f>
        <v/>
      </c>
      <c r="E138" s="148">
        <f>'Bookings Detail'!K98</f>
        <v/>
      </c>
      <c r="F138" s="149">
        <f>AVERAGEIFS('Bookings Detail'!$K$5:$K$274,'Bookings Detail'!$B$5:$B$274,C138,'Bookings Detail'!$H$5:$H$274,D138)</f>
        <v/>
      </c>
      <c r="G138" s="195">
        <f>IFERROR(E138/F138,0)</f>
        <v/>
      </c>
      <c r="H138" s="147">
        <f>IF(G138&gt;=2.5,"Outlier — 2.5x+ rep's typical deal size for this type","")</f>
        <v/>
      </c>
    </row>
    <row r="139" ht="15" customHeight="1" s="107">
      <c r="B139" s="140">
        <f>'Bookings Detail'!A99</f>
        <v/>
      </c>
      <c r="C139" s="140">
        <f>'Bookings Detail'!B99</f>
        <v/>
      </c>
      <c r="D139" s="140">
        <f>'Bookings Detail'!H99</f>
        <v/>
      </c>
      <c r="E139" s="142">
        <f>'Bookings Detail'!K99</f>
        <v/>
      </c>
      <c r="F139" s="143">
        <f>AVERAGEIFS('Bookings Detail'!$K$5:$K$274,'Bookings Detail'!$B$5:$B$274,C139,'Bookings Detail'!$H$5:$H$274,D139)</f>
        <v/>
      </c>
      <c r="G139" s="194">
        <f>IFERROR(E139/F139,0)</f>
        <v/>
      </c>
      <c r="H139" s="141">
        <f>IF(G139&gt;=2.5,"Outlier — 2.5x+ rep's typical deal size for this type","")</f>
        <v/>
      </c>
    </row>
    <row r="140" ht="15" customHeight="1" s="107">
      <c r="B140" s="146">
        <f>'Bookings Detail'!A100</f>
        <v/>
      </c>
      <c r="C140" s="146">
        <f>'Bookings Detail'!B100</f>
        <v/>
      </c>
      <c r="D140" s="146">
        <f>'Bookings Detail'!H100</f>
        <v/>
      </c>
      <c r="E140" s="148">
        <f>'Bookings Detail'!K100</f>
        <v/>
      </c>
      <c r="F140" s="149">
        <f>AVERAGEIFS('Bookings Detail'!$K$5:$K$274,'Bookings Detail'!$B$5:$B$274,C140,'Bookings Detail'!$H$5:$H$274,D140)</f>
        <v/>
      </c>
      <c r="G140" s="195">
        <f>IFERROR(E140/F140,0)</f>
        <v/>
      </c>
      <c r="H140" s="147">
        <f>IF(G140&gt;=2.5,"Outlier — 2.5x+ rep's typical deal size for this type","")</f>
        <v/>
      </c>
    </row>
    <row r="141" ht="15" customHeight="1" s="107">
      <c r="B141" s="140">
        <f>'Bookings Detail'!A101</f>
        <v/>
      </c>
      <c r="C141" s="140">
        <f>'Bookings Detail'!B101</f>
        <v/>
      </c>
      <c r="D141" s="140">
        <f>'Bookings Detail'!H101</f>
        <v/>
      </c>
      <c r="E141" s="142">
        <f>'Bookings Detail'!K101</f>
        <v/>
      </c>
      <c r="F141" s="143">
        <f>AVERAGEIFS('Bookings Detail'!$K$5:$K$274,'Bookings Detail'!$B$5:$B$274,C141,'Bookings Detail'!$H$5:$H$274,D141)</f>
        <v/>
      </c>
      <c r="G141" s="194">
        <f>IFERROR(E141/F141,0)</f>
        <v/>
      </c>
      <c r="H141" s="141">
        <f>IF(G141&gt;=2.5,"Outlier — 2.5x+ rep's typical deal size for this type","")</f>
        <v/>
      </c>
    </row>
    <row r="142" ht="15" customHeight="1" s="107">
      <c r="B142" s="146">
        <f>'Bookings Detail'!A102</f>
        <v/>
      </c>
      <c r="C142" s="146">
        <f>'Bookings Detail'!B102</f>
        <v/>
      </c>
      <c r="D142" s="146">
        <f>'Bookings Detail'!H102</f>
        <v/>
      </c>
      <c r="E142" s="148">
        <f>'Bookings Detail'!K102</f>
        <v/>
      </c>
      <c r="F142" s="149">
        <f>AVERAGEIFS('Bookings Detail'!$K$5:$K$274,'Bookings Detail'!$B$5:$B$274,C142,'Bookings Detail'!$H$5:$H$274,D142)</f>
        <v/>
      </c>
      <c r="G142" s="195">
        <f>IFERROR(E142/F142,0)</f>
        <v/>
      </c>
      <c r="H142" s="147">
        <f>IF(G142&gt;=2.5,"Outlier — 2.5x+ rep's typical deal size for this type","")</f>
        <v/>
      </c>
    </row>
    <row r="143" ht="15" customHeight="1" s="107">
      <c r="B143" s="140">
        <f>'Bookings Detail'!A103</f>
        <v/>
      </c>
      <c r="C143" s="140">
        <f>'Bookings Detail'!B103</f>
        <v/>
      </c>
      <c r="D143" s="140">
        <f>'Bookings Detail'!H103</f>
        <v/>
      </c>
      <c r="E143" s="142">
        <f>'Bookings Detail'!K103</f>
        <v/>
      </c>
      <c r="F143" s="143">
        <f>AVERAGEIFS('Bookings Detail'!$K$5:$K$274,'Bookings Detail'!$B$5:$B$274,C143,'Bookings Detail'!$H$5:$H$274,D143)</f>
        <v/>
      </c>
      <c r="G143" s="194">
        <f>IFERROR(E143/F143,0)</f>
        <v/>
      </c>
      <c r="H143" s="141">
        <f>IF(G143&gt;=2.5,"Outlier — 2.5x+ rep's typical deal size for this type","")</f>
        <v/>
      </c>
    </row>
    <row r="144" ht="15" customHeight="1" s="107">
      <c r="B144" s="146">
        <f>'Bookings Detail'!A104</f>
        <v/>
      </c>
      <c r="C144" s="146">
        <f>'Bookings Detail'!B104</f>
        <v/>
      </c>
      <c r="D144" s="146">
        <f>'Bookings Detail'!H104</f>
        <v/>
      </c>
      <c r="E144" s="148">
        <f>'Bookings Detail'!K104</f>
        <v/>
      </c>
      <c r="F144" s="149">
        <f>AVERAGEIFS('Bookings Detail'!$K$5:$K$274,'Bookings Detail'!$B$5:$B$274,C144,'Bookings Detail'!$H$5:$H$274,D144)</f>
        <v/>
      </c>
      <c r="G144" s="195">
        <f>IFERROR(E144/F144,0)</f>
        <v/>
      </c>
      <c r="H144" s="147">
        <f>IF(G144&gt;=2.5,"Outlier — 2.5x+ rep's typical deal size for this type","")</f>
        <v/>
      </c>
    </row>
    <row r="145" ht="15" customHeight="1" s="107">
      <c r="B145" s="140">
        <f>'Bookings Detail'!A105</f>
        <v/>
      </c>
      <c r="C145" s="140">
        <f>'Bookings Detail'!B105</f>
        <v/>
      </c>
      <c r="D145" s="140">
        <f>'Bookings Detail'!H105</f>
        <v/>
      </c>
      <c r="E145" s="142">
        <f>'Bookings Detail'!K105</f>
        <v/>
      </c>
      <c r="F145" s="143">
        <f>AVERAGEIFS('Bookings Detail'!$K$5:$K$274,'Bookings Detail'!$B$5:$B$274,C145,'Bookings Detail'!$H$5:$H$274,D145)</f>
        <v/>
      </c>
      <c r="G145" s="194">
        <f>IFERROR(E145/F145,0)</f>
        <v/>
      </c>
      <c r="H145" s="141">
        <f>IF(G145&gt;=2.5,"Outlier — 2.5x+ rep's typical deal size for this type","")</f>
        <v/>
      </c>
    </row>
    <row r="146" ht="15" customHeight="1" s="107">
      <c r="B146" s="146">
        <f>'Bookings Detail'!A106</f>
        <v/>
      </c>
      <c r="C146" s="146">
        <f>'Bookings Detail'!B106</f>
        <v/>
      </c>
      <c r="D146" s="146">
        <f>'Bookings Detail'!H106</f>
        <v/>
      </c>
      <c r="E146" s="148">
        <f>'Bookings Detail'!K106</f>
        <v/>
      </c>
      <c r="F146" s="149">
        <f>AVERAGEIFS('Bookings Detail'!$K$5:$K$274,'Bookings Detail'!$B$5:$B$274,C146,'Bookings Detail'!$H$5:$H$274,D146)</f>
        <v/>
      </c>
      <c r="G146" s="195">
        <f>IFERROR(E146/F146,0)</f>
        <v/>
      </c>
      <c r="H146" s="147">
        <f>IF(G146&gt;=2.5,"Outlier — 2.5x+ rep's typical deal size for this type","")</f>
        <v/>
      </c>
    </row>
    <row r="147" ht="15" customHeight="1" s="107">
      <c r="B147" s="140">
        <f>'Bookings Detail'!A107</f>
        <v/>
      </c>
      <c r="C147" s="140">
        <f>'Bookings Detail'!B107</f>
        <v/>
      </c>
      <c r="D147" s="140">
        <f>'Bookings Detail'!H107</f>
        <v/>
      </c>
      <c r="E147" s="142">
        <f>'Bookings Detail'!K107</f>
        <v/>
      </c>
      <c r="F147" s="143">
        <f>AVERAGEIFS('Bookings Detail'!$K$5:$K$274,'Bookings Detail'!$B$5:$B$274,C147,'Bookings Detail'!$H$5:$H$274,D147)</f>
        <v/>
      </c>
      <c r="G147" s="194">
        <f>IFERROR(E147/F147,0)</f>
        <v/>
      </c>
      <c r="H147" s="141">
        <f>IF(G147&gt;=2.5,"Outlier — 2.5x+ rep's typical deal size for this type","")</f>
        <v/>
      </c>
    </row>
    <row r="148" ht="15" customHeight="1" s="107">
      <c r="B148" s="146">
        <f>'Bookings Detail'!A108</f>
        <v/>
      </c>
      <c r="C148" s="146">
        <f>'Bookings Detail'!B108</f>
        <v/>
      </c>
      <c r="D148" s="146">
        <f>'Bookings Detail'!H108</f>
        <v/>
      </c>
      <c r="E148" s="148">
        <f>'Bookings Detail'!K108</f>
        <v/>
      </c>
      <c r="F148" s="149">
        <f>AVERAGEIFS('Bookings Detail'!$K$5:$K$274,'Bookings Detail'!$B$5:$B$274,C148,'Bookings Detail'!$H$5:$H$274,D148)</f>
        <v/>
      </c>
      <c r="G148" s="195">
        <f>IFERROR(E148/F148,0)</f>
        <v/>
      </c>
      <c r="H148" s="147">
        <f>IF(G148&gt;=2.5,"Outlier — 2.5x+ rep's typical deal size for this type","")</f>
        <v/>
      </c>
    </row>
    <row r="149" ht="15" customHeight="1" s="107">
      <c r="B149" s="140">
        <f>'Bookings Detail'!A109</f>
        <v/>
      </c>
      <c r="C149" s="140">
        <f>'Bookings Detail'!B109</f>
        <v/>
      </c>
      <c r="D149" s="140">
        <f>'Bookings Detail'!H109</f>
        <v/>
      </c>
      <c r="E149" s="142">
        <f>'Bookings Detail'!K109</f>
        <v/>
      </c>
      <c r="F149" s="143">
        <f>AVERAGEIFS('Bookings Detail'!$K$5:$K$274,'Bookings Detail'!$B$5:$B$274,C149,'Bookings Detail'!$H$5:$H$274,D149)</f>
        <v/>
      </c>
      <c r="G149" s="194">
        <f>IFERROR(E149/F149,0)</f>
        <v/>
      </c>
      <c r="H149" s="141">
        <f>IF(G149&gt;=2.5,"Outlier — 2.5x+ rep's typical deal size for this type","")</f>
        <v/>
      </c>
    </row>
    <row r="150" ht="15" customHeight="1" s="107">
      <c r="B150" s="146">
        <f>'Bookings Detail'!A110</f>
        <v/>
      </c>
      <c r="C150" s="146">
        <f>'Bookings Detail'!B110</f>
        <v/>
      </c>
      <c r="D150" s="146">
        <f>'Bookings Detail'!H110</f>
        <v/>
      </c>
      <c r="E150" s="148">
        <f>'Bookings Detail'!K110</f>
        <v/>
      </c>
      <c r="F150" s="149">
        <f>AVERAGEIFS('Bookings Detail'!$K$5:$K$274,'Bookings Detail'!$B$5:$B$274,C150,'Bookings Detail'!$H$5:$H$274,D150)</f>
        <v/>
      </c>
      <c r="G150" s="195">
        <f>IFERROR(E150/F150,0)</f>
        <v/>
      </c>
      <c r="H150" s="147">
        <f>IF(G150&gt;=2.5,"Outlier — 2.5x+ rep's typical deal size for this type","")</f>
        <v/>
      </c>
    </row>
    <row r="151" ht="15" customHeight="1" s="107">
      <c r="B151" s="140">
        <f>'Bookings Detail'!A111</f>
        <v/>
      </c>
      <c r="C151" s="140">
        <f>'Bookings Detail'!B111</f>
        <v/>
      </c>
      <c r="D151" s="140">
        <f>'Bookings Detail'!H111</f>
        <v/>
      </c>
      <c r="E151" s="142">
        <f>'Bookings Detail'!K111</f>
        <v/>
      </c>
      <c r="F151" s="143">
        <f>AVERAGEIFS('Bookings Detail'!$K$5:$K$274,'Bookings Detail'!$B$5:$B$274,C151,'Bookings Detail'!$H$5:$H$274,D151)</f>
        <v/>
      </c>
      <c r="G151" s="194">
        <f>IFERROR(E151/F151,0)</f>
        <v/>
      </c>
      <c r="H151" s="141">
        <f>IF(G151&gt;=2.5,"Outlier — 2.5x+ rep's typical deal size for this type","")</f>
        <v/>
      </c>
    </row>
    <row r="152" ht="15" customHeight="1" s="107">
      <c r="B152" s="146">
        <f>'Bookings Detail'!A112</f>
        <v/>
      </c>
      <c r="C152" s="146">
        <f>'Bookings Detail'!B112</f>
        <v/>
      </c>
      <c r="D152" s="146">
        <f>'Bookings Detail'!H112</f>
        <v/>
      </c>
      <c r="E152" s="148">
        <f>'Bookings Detail'!K112</f>
        <v/>
      </c>
      <c r="F152" s="149">
        <f>AVERAGEIFS('Bookings Detail'!$K$5:$K$274,'Bookings Detail'!$B$5:$B$274,C152,'Bookings Detail'!$H$5:$H$274,D152)</f>
        <v/>
      </c>
      <c r="G152" s="195">
        <f>IFERROR(E152/F152,0)</f>
        <v/>
      </c>
      <c r="H152" s="147">
        <f>IF(G152&gt;=2.5,"Outlier — 2.5x+ rep's typical deal size for this type","")</f>
        <v/>
      </c>
    </row>
    <row r="153" ht="15" customHeight="1" s="107">
      <c r="B153" s="140">
        <f>'Bookings Detail'!A113</f>
        <v/>
      </c>
      <c r="C153" s="140">
        <f>'Bookings Detail'!B113</f>
        <v/>
      </c>
      <c r="D153" s="140">
        <f>'Bookings Detail'!H113</f>
        <v/>
      </c>
      <c r="E153" s="142">
        <f>'Bookings Detail'!K113</f>
        <v/>
      </c>
      <c r="F153" s="143">
        <f>AVERAGEIFS('Bookings Detail'!$K$5:$K$274,'Bookings Detail'!$B$5:$B$274,C153,'Bookings Detail'!$H$5:$H$274,D153)</f>
        <v/>
      </c>
      <c r="G153" s="194">
        <f>IFERROR(E153/F153,0)</f>
        <v/>
      </c>
      <c r="H153" s="141">
        <f>IF(G153&gt;=2.5,"Outlier — 2.5x+ rep's typical deal size for this type","")</f>
        <v/>
      </c>
    </row>
    <row r="154" ht="15" customHeight="1" s="107">
      <c r="B154" s="146">
        <f>'Bookings Detail'!A114</f>
        <v/>
      </c>
      <c r="C154" s="146">
        <f>'Bookings Detail'!B114</f>
        <v/>
      </c>
      <c r="D154" s="146">
        <f>'Bookings Detail'!H114</f>
        <v/>
      </c>
      <c r="E154" s="148">
        <f>'Bookings Detail'!K114</f>
        <v/>
      </c>
      <c r="F154" s="149">
        <f>AVERAGEIFS('Bookings Detail'!$K$5:$K$274,'Bookings Detail'!$B$5:$B$274,C154,'Bookings Detail'!$H$5:$H$274,D154)</f>
        <v/>
      </c>
      <c r="G154" s="195">
        <f>IFERROR(E154/F154,0)</f>
        <v/>
      </c>
      <c r="H154" s="147">
        <f>IF(G154&gt;=2.5,"Outlier — 2.5x+ rep's typical deal size for this type","")</f>
        <v/>
      </c>
    </row>
    <row r="155" ht="15" customHeight="1" s="107">
      <c r="B155" s="140">
        <f>'Bookings Detail'!A115</f>
        <v/>
      </c>
      <c r="C155" s="140">
        <f>'Bookings Detail'!B115</f>
        <v/>
      </c>
      <c r="D155" s="140">
        <f>'Bookings Detail'!H115</f>
        <v/>
      </c>
      <c r="E155" s="142">
        <f>'Bookings Detail'!K115</f>
        <v/>
      </c>
      <c r="F155" s="143">
        <f>AVERAGEIFS('Bookings Detail'!$K$5:$K$274,'Bookings Detail'!$B$5:$B$274,C155,'Bookings Detail'!$H$5:$H$274,D155)</f>
        <v/>
      </c>
      <c r="G155" s="194">
        <f>IFERROR(E155/F155,0)</f>
        <v/>
      </c>
      <c r="H155" s="141">
        <f>IF(G155&gt;=2.5,"Outlier — 2.5x+ rep's typical deal size for this type","")</f>
        <v/>
      </c>
    </row>
    <row r="156" ht="15" customHeight="1" s="107">
      <c r="B156" s="146">
        <f>'Bookings Detail'!A116</f>
        <v/>
      </c>
      <c r="C156" s="146">
        <f>'Bookings Detail'!B116</f>
        <v/>
      </c>
      <c r="D156" s="146">
        <f>'Bookings Detail'!H116</f>
        <v/>
      </c>
      <c r="E156" s="148">
        <f>'Bookings Detail'!K116</f>
        <v/>
      </c>
      <c r="F156" s="149">
        <f>AVERAGEIFS('Bookings Detail'!$K$5:$K$274,'Bookings Detail'!$B$5:$B$274,C156,'Bookings Detail'!$H$5:$H$274,D156)</f>
        <v/>
      </c>
      <c r="G156" s="195">
        <f>IFERROR(E156/F156,0)</f>
        <v/>
      </c>
      <c r="H156" s="147">
        <f>IF(G156&gt;=2.5,"Outlier — 2.5x+ rep's typical deal size for this type","")</f>
        <v/>
      </c>
    </row>
    <row r="157" ht="15" customHeight="1" s="107">
      <c r="B157" s="140">
        <f>'Bookings Detail'!A117</f>
        <v/>
      </c>
      <c r="C157" s="140">
        <f>'Bookings Detail'!B117</f>
        <v/>
      </c>
      <c r="D157" s="140">
        <f>'Bookings Detail'!H117</f>
        <v/>
      </c>
      <c r="E157" s="142">
        <f>'Bookings Detail'!K117</f>
        <v/>
      </c>
      <c r="F157" s="143">
        <f>AVERAGEIFS('Bookings Detail'!$K$5:$K$274,'Bookings Detail'!$B$5:$B$274,C157,'Bookings Detail'!$H$5:$H$274,D157)</f>
        <v/>
      </c>
      <c r="G157" s="194">
        <f>IFERROR(E157/F157,0)</f>
        <v/>
      </c>
      <c r="H157" s="141">
        <f>IF(G157&gt;=2.5,"Outlier — 2.5x+ rep's typical deal size for this type","")</f>
        <v/>
      </c>
    </row>
    <row r="158" ht="15" customHeight="1" s="107">
      <c r="B158" s="146">
        <f>'Bookings Detail'!A118</f>
        <v/>
      </c>
      <c r="C158" s="146">
        <f>'Bookings Detail'!B118</f>
        <v/>
      </c>
      <c r="D158" s="146">
        <f>'Bookings Detail'!H118</f>
        <v/>
      </c>
      <c r="E158" s="148">
        <f>'Bookings Detail'!K118</f>
        <v/>
      </c>
      <c r="F158" s="149">
        <f>AVERAGEIFS('Bookings Detail'!$K$5:$K$274,'Bookings Detail'!$B$5:$B$274,C158,'Bookings Detail'!$H$5:$H$274,D158)</f>
        <v/>
      </c>
      <c r="G158" s="195">
        <f>IFERROR(E158/F158,0)</f>
        <v/>
      </c>
      <c r="H158" s="147">
        <f>IF(G158&gt;=2.5,"Outlier — 2.5x+ rep's typical deal size for this type","")</f>
        <v/>
      </c>
    </row>
    <row r="159" ht="15" customHeight="1" s="107">
      <c r="B159" s="140">
        <f>'Bookings Detail'!A119</f>
        <v/>
      </c>
      <c r="C159" s="140">
        <f>'Bookings Detail'!B119</f>
        <v/>
      </c>
      <c r="D159" s="140">
        <f>'Bookings Detail'!H119</f>
        <v/>
      </c>
      <c r="E159" s="142">
        <f>'Bookings Detail'!K119</f>
        <v/>
      </c>
      <c r="F159" s="143">
        <f>AVERAGEIFS('Bookings Detail'!$K$5:$K$274,'Bookings Detail'!$B$5:$B$274,C159,'Bookings Detail'!$H$5:$H$274,D159)</f>
        <v/>
      </c>
      <c r="G159" s="194">
        <f>IFERROR(E159/F159,0)</f>
        <v/>
      </c>
      <c r="H159" s="141">
        <f>IF(G159&gt;=2.5,"Outlier — 2.5x+ rep's typical deal size for this type","")</f>
        <v/>
      </c>
    </row>
    <row r="160" ht="15" customHeight="1" s="107">
      <c r="B160" s="146">
        <f>'Bookings Detail'!A120</f>
        <v/>
      </c>
      <c r="C160" s="146">
        <f>'Bookings Detail'!B120</f>
        <v/>
      </c>
      <c r="D160" s="146">
        <f>'Bookings Detail'!H120</f>
        <v/>
      </c>
      <c r="E160" s="148">
        <f>'Bookings Detail'!K120</f>
        <v/>
      </c>
      <c r="F160" s="149">
        <f>AVERAGEIFS('Bookings Detail'!$K$5:$K$274,'Bookings Detail'!$B$5:$B$274,C160,'Bookings Detail'!$H$5:$H$274,D160)</f>
        <v/>
      </c>
      <c r="G160" s="195">
        <f>IFERROR(E160/F160,0)</f>
        <v/>
      </c>
      <c r="H160" s="147">
        <f>IF(G160&gt;=2.5,"Outlier — 2.5x+ rep's typical deal size for this type","")</f>
        <v/>
      </c>
    </row>
    <row r="161" ht="15" customHeight="1" s="107">
      <c r="B161" s="140">
        <f>'Bookings Detail'!A121</f>
        <v/>
      </c>
      <c r="C161" s="140">
        <f>'Bookings Detail'!B121</f>
        <v/>
      </c>
      <c r="D161" s="140">
        <f>'Bookings Detail'!H121</f>
        <v/>
      </c>
      <c r="E161" s="142">
        <f>'Bookings Detail'!K121</f>
        <v/>
      </c>
      <c r="F161" s="143">
        <f>AVERAGEIFS('Bookings Detail'!$K$5:$K$274,'Bookings Detail'!$B$5:$B$274,C161,'Bookings Detail'!$H$5:$H$274,D161)</f>
        <v/>
      </c>
      <c r="G161" s="194">
        <f>IFERROR(E161/F161,0)</f>
        <v/>
      </c>
      <c r="H161" s="141">
        <f>IF(G161&gt;=2.5,"Outlier — 2.5x+ rep's typical deal size for this type","")</f>
        <v/>
      </c>
    </row>
    <row r="162" ht="15" customHeight="1" s="107">
      <c r="B162" s="146">
        <f>'Bookings Detail'!A122</f>
        <v/>
      </c>
      <c r="C162" s="146">
        <f>'Bookings Detail'!B122</f>
        <v/>
      </c>
      <c r="D162" s="146">
        <f>'Bookings Detail'!H122</f>
        <v/>
      </c>
      <c r="E162" s="148">
        <f>'Bookings Detail'!K122</f>
        <v/>
      </c>
      <c r="F162" s="149">
        <f>AVERAGEIFS('Bookings Detail'!$K$5:$K$274,'Bookings Detail'!$B$5:$B$274,C162,'Bookings Detail'!$H$5:$H$274,D162)</f>
        <v/>
      </c>
      <c r="G162" s="195">
        <f>IFERROR(E162/F162,0)</f>
        <v/>
      </c>
      <c r="H162" s="147">
        <f>IF(G162&gt;=2.5,"Outlier — 2.5x+ rep's typical deal size for this type","")</f>
        <v/>
      </c>
    </row>
    <row r="163" ht="15" customHeight="1" s="107">
      <c r="B163" s="140">
        <f>'Bookings Detail'!A123</f>
        <v/>
      </c>
      <c r="C163" s="140">
        <f>'Bookings Detail'!B123</f>
        <v/>
      </c>
      <c r="D163" s="140">
        <f>'Bookings Detail'!H123</f>
        <v/>
      </c>
      <c r="E163" s="142">
        <f>'Bookings Detail'!K123</f>
        <v/>
      </c>
      <c r="F163" s="143">
        <f>AVERAGEIFS('Bookings Detail'!$K$5:$K$274,'Bookings Detail'!$B$5:$B$274,C163,'Bookings Detail'!$H$5:$H$274,D163)</f>
        <v/>
      </c>
      <c r="G163" s="194">
        <f>IFERROR(E163/F163,0)</f>
        <v/>
      </c>
      <c r="H163" s="141">
        <f>IF(G163&gt;=2.5,"Outlier — 2.5x+ rep's typical deal size for this type","")</f>
        <v/>
      </c>
    </row>
    <row r="164" ht="15" customHeight="1" s="107">
      <c r="B164" s="146">
        <f>'Bookings Detail'!A124</f>
        <v/>
      </c>
      <c r="C164" s="146">
        <f>'Bookings Detail'!B124</f>
        <v/>
      </c>
      <c r="D164" s="146">
        <f>'Bookings Detail'!H124</f>
        <v/>
      </c>
      <c r="E164" s="148">
        <f>'Bookings Detail'!K124</f>
        <v/>
      </c>
      <c r="F164" s="149">
        <f>AVERAGEIFS('Bookings Detail'!$K$5:$K$274,'Bookings Detail'!$B$5:$B$274,C164,'Bookings Detail'!$H$5:$H$274,D164)</f>
        <v/>
      </c>
      <c r="G164" s="195">
        <f>IFERROR(E164/F164,0)</f>
        <v/>
      </c>
      <c r="H164" s="147">
        <f>IF(G164&gt;=2.5,"Outlier — 2.5x+ rep's typical deal size for this type","")</f>
        <v/>
      </c>
    </row>
    <row r="165" ht="15" customHeight="1" s="107">
      <c r="B165" s="140">
        <f>'Bookings Detail'!A125</f>
        <v/>
      </c>
      <c r="C165" s="140">
        <f>'Bookings Detail'!B125</f>
        <v/>
      </c>
      <c r="D165" s="140">
        <f>'Bookings Detail'!H125</f>
        <v/>
      </c>
      <c r="E165" s="142">
        <f>'Bookings Detail'!K125</f>
        <v/>
      </c>
      <c r="F165" s="143">
        <f>AVERAGEIFS('Bookings Detail'!$K$5:$K$274,'Bookings Detail'!$B$5:$B$274,C165,'Bookings Detail'!$H$5:$H$274,D165)</f>
        <v/>
      </c>
      <c r="G165" s="194">
        <f>IFERROR(E165/F165,0)</f>
        <v/>
      </c>
      <c r="H165" s="141">
        <f>IF(G165&gt;=2.5,"Outlier — 2.5x+ rep's typical deal size for this type","")</f>
        <v/>
      </c>
    </row>
    <row r="166" ht="15" customHeight="1" s="107">
      <c r="B166" s="146">
        <f>'Bookings Detail'!A126</f>
        <v/>
      </c>
      <c r="C166" s="146">
        <f>'Bookings Detail'!B126</f>
        <v/>
      </c>
      <c r="D166" s="146">
        <f>'Bookings Detail'!H126</f>
        <v/>
      </c>
      <c r="E166" s="148">
        <f>'Bookings Detail'!K126</f>
        <v/>
      </c>
      <c r="F166" s="149">
        <f>AVERAGEIFS('Bookings Detail'!$K$5:$K$274,'Bookings Detail'!$B$5:$B$274,C166,'Bookings Detail'!$H$5:$H$274,D166)</f>
        <v/>
      </c>
      <c r="G166" s="195">
        <f>IFERROR(E166/F166,0)</f>
        <v/>
      </c>
      <c r="H166" s="147">
        <f>IF(G166&gt;=2.5,"Outlier — 2.5x+ rep's typical deal size for this type","")</f>
        <v/>
      </c>
    </row>
    <row r="167" ht="15" customHeight="1" s="107">
      <c r="B167" s="140">
        <f>'Bookings Detail'!A127</f>
        <v/>
      </c>
      <c r="C167" s="140">
        <f>'Bookings Detail'!B127</f>
        <v/>
      </c>
      <c r="D167" s="140">
        <f>'Bookings Detail'!H127</f>
        <v/>
      </c>
      <c r="E167" s="142">
        <f>'Bookings Detail'!K127</f>
        <v/>
      </c>
      <c r="F167" s="143">
        <f>AVERAGEIFS('Bookings Detail'!$K$5:$K$274,'Bookings Detail'!$B$5:$B$274,C167,'Bookings Detail'!$H$5:$H$274,D167)</f>
        <v/>
      </c>
      <c r="G167" s="194">
        <f>IFERROR(E167/F167,0)</f>
        <v/>
      </c>
      <c r="H167" s="141">
        <f>IF(G167&gt;=2.5,"Outlier — 2.5x+ rep's typical deal size for this type","")</f>
        <v/>
      </c>
    </row>
    <row r="168" ht="15" customHeight="1" s="107">
      <c r="B168" s="146">
        <f>'Bookings Detail'!A128</f>
        <v/>
      </c>
      <c r="C168" s="146">
        <f>'Bookings Detail'!B128</f>
        <v/>
      </c>
      <c r="D168" s="146">
        <f>'Bookings Detail'!H128</f>
        <v/>
      </c>
      <c r="E168" s="148">
        <f>'Bookings Detail'!K128</f>
        <v/>
      </c>
      <c r="F168" s="149">
        <f>AVERAGEIFS('Bookings Detail'!$K$5:$K$274,'Bookings Detail'!$B$5:$B$274,C168,'Bookings Detail'!$H$5:$H$274,D168)</f>
        <v/>
      </c>
      <c r="G168" s="195">
        <f>IFERROR(E168/F168,0)</f>
        <v/>
      </c>
      <c r="H168" s="147">
        <f>IF(G168&gt;=2.5,"Outlier — 2.5x+ rep's typical deal size for this type","")</f>
        <v/>
      </c>
    </row>
    <row r="169" ht="15" customHeight="1" s="107">
      <c r="B169" s="140">
        <f>'Bookings Detail'!A129</f>
        <v/>
      </c>
      <c r="C169" s="140">
        <f>'Bookings Detail'!B129</f>
        <v/>
      </c>
      <c r="D169" s="140">
        <f>'Bookings Detail'!H129</f>
        <v/>
      </c>
      <c r="E169" s="142">
        <f>'Bookings Detail'!K129</f>
        <v/>
      </c>
      <c r="F169" s="143">
        <f>AVERAGEIFS('Bookings Detail'!$K$5:$K$274,'Bookings Detail'!$B$5:$B$274,C169,'Bookings Detail'!$H$5:$H$274,D169)</f>
        <v/>
      </c>
      <c r="G169" s="194">
        <f>IFERROR(E169/F169,0)</f>
        <v/>
      </c>
      <c r="H169" s="141">
        <f>IF(G169&gt;=2.5,"Outlier — 2.5x+ rep's typical deal size for this type","")</f>
        <v/>
      </c>
    </row>
    <row r="170" ht="15" customHeight="1" s="107">
      <c r="B170" s="146">
        <f>'Bookings Detail'!A130</f>
        <v/>
      </c>
      <c r="C170" s="146">
        <f>'Bookings Detail'!B130</f>
        <v/>
      </c>
      <c r="D170" s="146">
        <f>'Bookings Detail'!H130</f>
        <v/>
      </c>
      <c r="E170" s="148">
        <f>'Bookings Detail'!K130</f>
        <v/>
      </c>
      <c r="F170" s="149">
        <f>AVERAGEIFS('Bookings Detail'!$K$5:$K$274,'Bookings Detail'!$B$5:$B$274,C170,'Bookings Detail'!$H$5:$H$274,D170)</f>
        <v/>
      </c>
      <c r="G170" s="195">
        <f>IFERROR(E170/F170,0)</f>
        <v/>
      </c>
      <c r="H170" s="147">
        <f>IF(G170&gt;=2.5,"Outlier — 2.5x+ rep's typical deal size for this type","")</f>
        <v/>
      </c>
    </row>
    <row r="171" ht="15" customHeight="1" s="107">
      <c r="B171" s="140">
        <f>'Bookings Detail'!A131</f>
        <v/>
      </c>
      <c r="C171" s="140">
        <f>'Bookings Detail'!B131</f>
        <v/>
      </c>
      <c r="D171" s="140">
        <f>'Bookings Detail'!H131</f>
        <v/>
      </c>
      <c r="E171" s="142">
        <f>'Bookings Detail'!K131</f>
        <v/>
      </c>
      <c r="F171" s="143">
        <f>AVERAGEIFS('Bookings Detail'!$K$5:$K$274,'Bookings Detail'!$B$5:$B$274,C171,'Bookings Detail'!$H$5:$H$274,D171)</f>
        <v/>
      </c>
      <c r="G171" s="194">
        <f>IFERROR(E171/F171,0)</f>
        <v/>
      </c>
      <c r="H171" s="141">
        <f>IF(G171&gt;=2.5,"Outlier — 2.5x+ rep's typical deal size for this type","")</f>
        <v/>
      </c>
    </row>
    <row r="172" ht="15" customHeight="1" s="107">
      <c r="B172" s="146">
        <f>'Bookings Detail'!A132</f>
        <v/>
      </c>
      <c r="C172" s="146">
        <f>'Bookings Detail'!B132</f>
        <v/>
      </c>
      <c r="D172" s="146">
        <f>'Bookings Detail'!H132</f>
        <v/>
      </c>
      <c r="E172" s="148">
        <f>'Bookings Detail'!K132</f>
        <v/>
      </c>
      <c r="F172" s="149">
        <f>AVERAGEIFS('Bookings Detail'!$K$5:$K$274,'Bookings Detail'!$B$5:$B$274,C172,'Bookings Detail'!$H$5:$H$274,D172)</f>
        <v/>
      </c>
      <c r="G172" s="195">
        <f>IFERROR(E172/F172,0)</f>
        <v/>
      </c>
      <c r="H172" s="147">
        <f>IF(G172&gt;=2.5,"Outlier — 2.5x+ rep's typical deal size for this type","")</f>
        <v/>
      </c>
    </row>
    <row r="173" ht="15" customHeight="1" s="107">
      <c r="B173" s="140">
        <f>'Bookings Detail'!A133</f>
        <v/>
      </c>
      <c r="C173" s="140">
        <f>'Bookings Detail'!B133</f>
        <v/>
      </c>
      <c r="D173" s="140">
        <f>'Bookings Detail'!H133</f>
        <v/>
      </c>
      <c r="E173" s="142">
        <f>'Bookings Detail'!K133</f>
        <v/>
      </c>
      <c r="F173" s="143">
        <f>AVERAGEIFS('Bookings Detail'!$K$5:$K$274,'Bookings Detail'!$B$5:$B$274,C173,'Bookings Detail'!$H$5:$H$274,D173)</f>
        <v/>
      </c>
      <c r="G173" s="194">
        <f>IFERROR(E173/F173,0)</f>
        <v/>
      </c>
      <c r="H173" s="141">
        <f>IF(G173&gt;=2.5,"Outlier — 2.5x+ rep's typical deal size for this type","")</f>
        <v/>
      </c>
    </row>
    <row r="174" ht="15" customHeight="1" s="107">
      <c r="B174" s="146">
        <f>'Bookings Detail'!A134</f>
        <v/>
      </c>
      <c r="C174" s="146">
        <f>'Bookings Detail'!B134</f>
        <v/>
      </c>
      <c r="D174" s="146">
        <f>'Bookings Detail'!H134</f>
        <v/>
      </c>
      <c r="E174" s="148">
        <f>'Bookings Detail'!K134</f>
        <v/>
      </c>
      <c r="F174" s="149">
        <f>AVERAGEIFS('Bookings Detail'!$K$5:$K$274,'Bookings Detail'!$B$5:$B$274,C174,'Bookings Detail'!$H$5:$H$274,D174)</f>
        <v/>
      </c>
      <c r="G174" s="195">
        <f>IFERROR(E174/F174,0)</f>
        <v/>
      </c>
      <c r="H174" s="147">
        <f>IF(G174&gt;=2.5,"Outlier — 2.5x+ rep's typical deal size for this type","")</f>
        <v/>
      </c>
    </row>
    <row r="175" ht="15" customHeight="1" s="107">
      <c r="B175" s="140">
        <f>'Bookings Detail'!A135</f>
        <v/>
      </c>
      <c r="C175" s="140">
        <f>'Bookings Detail'!B135</f>
        <v/>
      </c>
      <c r="D175" s="140">
        <f>'Bookings Detail'!H135</f>
        <v/>
      </c>
      <c r="E175" s="142">
        <f>'Bookings Detail'!K135</f>
        <v/>
      </c>
      <c r="F175" s="143">
        <f>AVERAGEIFS('Bookings Detail'!$K$5:$K$274,'Bookings Detail'!$B$5:$B$274,C175,'Bookings Detail'!$H$5:$H$274,D175)</f>
        <v/>
      </c>
      <c r="G175" s="194">
        <f>IFERROR(E175/F175,0)</f>
        <v/>
      </c>
      <c r="H175" s="141">
        <f>IF(G175&gt;=2.5,"Outlier — 2.5x+ rep's typical deal size for this type","")</f>
        <v/>
      </c>
    </row>
    <row r="176" ht="15" customHeight="1" s="107">
      <c r="B176" s="146">
        <f>'Bookings Detail'!A136</f>
        <v/>
      </c>
      <c r="C176" s="146">
        <f>'Bookings Detail'!B136</f>
        <v/>
      </c>
      <c r="D176" s="146">
        <f>'Bookings Detail'!H136</f>
        <v/>
      </c>
      <c r="E176" s="148">
        <f>'Bookings Detail'!K136</f>
        <v/>
      </c>
      <c r="F176" s="149">
        <f>AVERAGEIFS('Bookings Detail'!$K$5:$K$274,'Bookings Detail'!$B$5:$B$274,C176,'Bookings Detail'!$H$5:$H$274,D176)</f>
        <v/>
      </c>
      <c r="G176" s="195">
        <f>IFERROR(E176/F176,0)</f>
        <v/>
      </c>
      <c r="H176" s="147">
        <f>IF(G176&gt;=2.5,"Outlier — 2.5x+ rep's typical deal size for this type","")</f>
        <v/>
      </c>
    </row>
    <row r="177" ht="15" customHeight="1" s="107">
      <c r="B177" s="140">
        <f>'Bookings Detail'!A137</f>
        <v/>
      </c>
      <c r="C177" s="140">
        <f>'Bookings Detail'!B137</f>
        <v/>
      </c>
      <c r="D177" s="140">
        <f>'Bookings Detail'!H137</f>
        <v/>
      </c>
      <c r="E177" s="142">
        <f>'Bookings Detail'!K137</f>
        <v/>
      </c>
      <c r="F177" s="143">
        <f>AVERAGEIFS('Bookings Detail'!$K$5:$K$274,'Bookings Detail'!$B$5:$B$274,C177,'Bookings Detail'!$H$5:$H$274,D177)</f>
        <v/>
      </c>
      <c r="G177" s="194">
        <f>IFERROR(E177/F177,0)</f>
        <v/>
      </c>
      <c r="H177" s="141">
        <f>IF(G177&gt;=2.5,"Outlier — 2.5x+ rep's typical deal size for this type","")</f>
        <v/>
      </c>
    </row>
    <row r="178" ht="15" customHeight="1" s="107">
      <c r="B178" s="146">
        <f>'Bookings Detail'!A138</f>
        <v/>
      </c>
      <c r="C178" s="146">
        <f>'Bookings Detail'!B138</f>
        <v/>
      </c>
      <c r="D178" s="146">
        <f>'Bookings Detail'!H138</f>
        <v/>
      </c>
      <c r="E178" s="148">
        <f>'Bookings Detail'!K138</f>
        <v/>
      </c>
      <c r="F178" s="149">
        <f>AVERAGEIFS('Bookings Detail'!$K$5:$K$274,'Bookings Detail'!$B$5:$B$274,C178,'Bookings Detail'!$H$5:$H$274,D178)</f>
        <v/>
      </c>
      <c r="G178" s="195">
        <f>IFERROR(E178/F178,0)</f>
        <v/>
      </c>
      <c r="H178" s="147">
        <f>IF(G178&gt;=2.5,"Outlier — 2.5x+ rep's typical deal size for this type","")</f>
        <v/>
      </c>
    </row>
    <row r="179" ht="15" customHeight="1" s="107">
      <c r="B179" s="140">
        <f>'Bookings Detail'!A139</f>
        <v/>
      </c>
      <c r="C179" s="140">
        <f>'Bookings Detail'!B139</f>
        <v/>
      </c>
      <c r="D179" s="140">
        <f>'Bookings Detail'!H139</f>
        <v/>
      </c>
      <c r="E179" s="142">
        <f>'Bookings Detail'!K139</f>
        <v/>
      </c>
      <c r="F179" s="143">
        <f>AVERAGEIFS('Bookings Detail'!$K$5:$K$274,'Bookings Detail'!$B$5:$B$274,C179,'Bookings Detail'!$H$5:$H$274,D179)</f>
        <v/>
      </c>
      <c r="G179" s="194">
        <f>IFERROR(E179/F179,0)</f>
        <v/>
      </c>
      <c r="H179" s="141">
        <f>IF(G179&gt;=2.5,"Outlier — 2.5x+ rep's typical deal size for this type","")</f>
        <v/>
      </c>
    </row>
    <row r="180" ht="15" customHeight="1" s="107">
      <c r="B180" s="146">
        <f>'Bookings Detail'!A140</f>
        <v/>
      </c>
      <c r="C180" s="146">
        <f>'Bookings Detail'!B140</f>
        <v/>
      </c>
      <c r="D180" s="146">
        <f>'Bookings Detail'!H140</f>
        <v/>
      </c>
      <c r="E180" s="148">
        <f>'Bookings Detail'!K140</f>
        <v/>
      </c>
      <c r="F180" s="149">
        <f>AVERAGEIFS('Bookings Detail'!$K$5:$K$274,'Bookings Detail'!$B$5:$B$274,C180,'Bookings Detail'!$H$5:$H$274,D180)</f>
        <v/>
      </c>
      <c r="G180" s="195">
        <f>IFERROR(E180/F180,0)</f>
        <v/>
      </c>
      <c r="H180" s="147">
        <f>IF(G180&gt;=2.5,"Outlier — 2.5x+ rep's typical deal size for this type","")</f>
        <v/>
      </c>
    </row>
    <row r="181" ht="15" customHeight="1" s="107">
      <c r="B181" s="140">
        <f>'Bookings Detail'!A141</f>
        <v/>
      </c>
      <c r="C181" s="140">
        <f>'Bookings Detail'!B141</f>
        <v/>
      </c>
      <c r="D181" s="140">
        <f>'Bookings Detail'!H141</f>
        <v/>
      </c>
      <c r="E181" s="142">
        <f>'Bookings Detail'!K141</f>
        <v/>
      </c>
      <c r="F181" s="143">
        <f>AVERAGEIFS('Bookings Detail'!$K$5:$K$274,'Bookings Detail'!$B$5:$B$274,C181,'Bookings Detail'!$H$5:$H$274,D181)</f>
        <v/>
      </c>
      <c r="G181" s="194">
        <f>IFERROR(E181/F181,0)</f>
        <v/>
      </c>
      <c r="H181" s="141">
        <f>IF(G181&gt;=2.5,"Outlier — 2.5x+ rep's typical deal size for this type","")</f>
        <v/>
      </c>
    </row>
    <row r="182" ht="15" customHeight="1" s="107">
      <c r="B182" s="146">
        <f>'Bookings Detail'!A142</f>
        <v/>
      </c>
      <c r="C182" s="146">
        <f>'Bookings Detail'!B142</f>
        <v/>
      </c>
      <c r="D182" s="146">
        <f>'Bookings Detail'!H142</f>
        <v/>
      </c>
      <c r="E182" s="148">
        <f>'Bookings Detail'!K142</f>
        <v/>
      </c>
      <c r="F182" s="149">
        <f>AVERAGEIFS('Bookings Detail'!$K$5:$K$274,'Bookings Detail'!$B$5:$B$274,C182,'Bookings Detail'!$H$5:$H$274,D182)</f>
        <v/>
      </c>
      <c r="G182" s="195">
        <f>IFERROR(E182/F182,0)</f>
        <v/>
      </c>
      <c r="H182" s="147">
        <f>IF(G182&gt;=2.5,"Outlier — 2.5x+ rep's typical deal size for this type","")</f>
        <v/>
      </c>
    </row>
    <row r="183" ht="15" customHeight="1" s="107">
      <c r="B183" s="140">
        <f>'Bookings Detail'!A143</f>
        <v/>
      </c>
      <c r="C183" s="140">
        <f>'Bookings Detail'!B143</f>
        <v/>
      </c>
      <c r="D183" s="140">
        <f>'Bookings Detail'!H143</f>
        <v/>
      </c>
      <c r="E183" s="142">
        <f>'Bookings Detail'!K143</f>
        <v/>
      </c>
      <c r="F183" s="143">
        <f>AVERAGEIFS('Bookings Detail'!$K$5:$K$274,'Bookings Detail'!$B$5:$B$274,C183,'Bookings Detail'!$H$5:$H$274,D183)</f>
        <v/>
      </c>
      <c r="G183" s="194">
        <f>IFERROR(E183/F183,0)</f>
        <v/>
      </c>
      <c r="H183" s="141">
        <f>IF(G183&gt;=2.5,"Outlier — 2.5x+ rep's typical deal size for this type","")</f>
        <v/>
      </c>
    </row>
    <row r="184" ht="15" customHeight="1" s="107">
      <c r="B184" s="146">
        <f>'Bookings Detail'!A144</f>
        <v/>
      </c>
      <c r="C184" s="146">
        <f>'Bookings Detail'!B144</f>
        <v/>
      </c>
      <c r="D184" s="146">
        <f>'Bookings Detail'!H144</f>
        <v/>
      </c>
      <c r="E184" s="148">
        <f>'Bookings Detail'!K144</f>
        <v/>
      </c>
      <c r="F184" s="149">
        <f>AVERAGEIFS('Bookings Detail'!$K$5:$K$274,'Bookings Detail'!$B$5:$B$274,C184,'Bookings Detail'!$H$5:$H$274,D184)</f>
        <v/>
      </c>
      <c r="G184" s="195">
        <f>IFERROR(E184/F184,0)</f>
        <v/>
      </c>
      <c r="H184" s="147">
        <f>IF(G184&gt;=2.5,"Outlier — 2.5x+ rep's typical deal size for this type","")</f>
        <v/>
      </c>
    </row>
    <row r="185" ht="15" customHeight="1" s="107">
      <c r="B185" s="140">
        <f>'Bookings Detail'!A145</f>
        <v/>
      </c>
      <c r="C185" s="140">
        <f>'Bookings Detail'!B145</f>
        <v/>
      </c>
      <c r="D185" s="140">
        <f>'Bookings Detail'!H145</f>
        <v/>
      </c>
      <c r="E185" s="142">
        <f>'Bookings Detail'!K145</f>
        <v/>
      </c>
      <c r="F185" s="143">
        <f>AVERAGEIFS('Bookings Detail'!$K$5:$K$274,'Bookings Detail'!$B$5:$B$274,C185,'Bookings Detail'!$H$5:$H$274,D185)</f>
        <v/>
      </c>
      <c r="G185" s="194">
        <f>IFERROR(E185/F185,0)</f>
        <v/>
      </c>
      <c r="H185" s="141">
        <f>IF(G185&gt;=2.5,"Outlier — 2.5x+ rep's typical deal size for this type","")</f>
        <v/>
      </c>
    </row>
    <row r="186" ht="15" customHeight="1" s="107">
      <c r="B186" s="146">
        <f>'Bookings Detail'!A146</f>
        <v/>
      </c>
      <c r="C186" s="146">
        <f>'Bookings Detail'!B146</f>
        <v/>
      </c>
      <c r="D186" s="146">
        <f>'Bookings Detail'!H146</f>
        <v/>
      </c>
      <c r="E186" s="148">
        <f>'Bookings Detail'!K146</f>
        <v/>
      </c>
      <c r="F186" s="149">
        <f>AVERAGEIFS('Bookings Detail'!$K$5:$K$274,'Bookings Detail'!$B$5:$B$274,C186,'Bookings Detail'!$H$5:$H$274,D186)</f>
        <v/>
      </c>
      <c r="G186" s="195">
        <f>IFERROR(E186/F186,0)</f>
        <v/>
      </c>
      <c r="H186" s="147">
        <f>IF(G186&gt;=2.5,"Outlier — 2.5x+ rep's typical deal size for this type","")</f>
        <v/>
      </c>
    </row>
    <row r="187" ht="15" customHeight="1" s="107">
      <c r="B187" s="140">
        <f>'Bookings Detail'!A147</f>
        <v/>
      </c>
      <c r="C187" s="140">
        <f>'Bookings Detail'!B147</f>
        <v/>
      </c>
      <c r="D187" s="140">
        <f>'Bookings Detail'!H147</f>
        <v/>
      </c>
      <c r="E187" s="142">
        <f>'Bookings Detail'!K147</f>
        <v/>
      </c>
      <c r="F187" s="143">
        <f>AVERAGEIFS('Bookings Detail'!$K$5:$K$274,'Bookings Detail'!$B$5:$B$274,C187,'Bookings Detail'!$H$5:$H$274,D187)</f>
        <v/>
      </c>
      <c r="G187" s="194">
        <f>IFERROR(E187/F187,0)</f>
        <v/>
      </c>
      <c r="H187" s="141">
        <f>IF(G187&gt;=2.5,"Outlier — 2.5x+ rep's typical deal size for this type","")</f>
        <v/>
      </c>
    </row>
    <row r="188" ht="15" customHeight="1" s="107">
      <c r="B188" s="146">
        <f>'Bookings Detail'!A148</f>
        <v/>
      </c>
      <c r="C188" s="146">
        <f>'Bookings Detail'!B148</f>
        <v/>
      </c>
      <c r="D188" s="146">
        <f>'Bookings Detail'!H148</f>
        <v/>
      </c>
      <c r="E188" s="148">
        <f>'Bookings Detail'!K148</f>
        <v/>
      </c>
      <c r="F188" s="149">
        <f>AVERAGEIFS('Bookings Detail'!$K$5:$K$274,'Bookings Detail'!$B$5:$B$274,C188,'Bookings Detail'!$H$5:$H$274,D188)</f>
        <v/>
      </c>
      <c r="G188" s="195">
        <f>IFERROR(E188/F188,0)</f>
        <v/>
      </c>
      <c r="H188" s="147">
        <f>IF(G188&gt;=2.5,"Outlier — 2.5x+ rep's typical deal size for this type","")</f>
        <v/>
      </c>
    </row>
    <row r="189" ht="15" customHeight="1" s="107">
      <c r="B189" s="140">
        <f>'Bookings Detail'!A149</f>
        <v/>
      </c>
      <c r="C189" s="140">
        <f>'Bookings Detail'!B149</f>
        <v/>
      </c>
      <c r="D189" s="140">
        <f>'Bookings Detail'!H149</f>
        <v/>
      </c>
      <c r="E189" s="142">
        <f>'Bookings Detail'!K149</f>
        <v/>
      </c>
      <c r="F189" s="143">
        <f>AVERAGEIFS('Bookings Detail'!$K$5:$K$274,'Bookings Detail'!$B$5:$B$274,C189,'Bookings Detail'!$H$5:$H$274,D189)</f>
        <v/>
      </c>
      <c r="G189" s="194">
        <f>IFERROR(E189/F189,0)</f>
        <v/>
      </c>
      <c r="H189" s="141">
        <f>IF(G189&gt;=2.5,"Outlier — 2.5x+ rep's typical deal size for this type","")</f>
        <v/>
      </c>
    </row>
    <row r="190" ht="15" customHeight="1" s="107">
      <c r="B190" s="146">
        <f>'Bookings Detail'!A150</f>
        <v/>
      </c>
      <c r="C190" s="146">
        <f>'Bookings Detail'!B150</f>
        <v/>
      </c>
      <c r="D190" s="146">
        <f>'Bookings Detail'!H150</f>
        <v/>
      </c>
      <c r="E190" s="148">
        <f>'Bookings Detail'!K150</f>
        <v/>
      </c>
      <c r="F190" s="149">
        <f>AVERAGEIFS('Bookings Detail'!$K$5:$K$274,'Bookings Detail'!$B$5:$B$274,C190,'Bookings Detail'!$H$5:$H$274,D190)</f>
        <v/>
      </c>
      <c r="G190" s="195">
        <f>IFERROR(E190/F190,0)</f>
        <v/>
      </c>
      <c r="H190" s="147">
        <f>IF(G190&gt;=2.5,"Outlier — 2.5x+ rep's typical deal size for this type","")</f>
        <v/>
      </c>
    </row>
    <row r="191" ht="15" customHeight="1" s="107">
      <c r="B191" s="140">
        <f>'Bookings Detail'!A151</f>
        <v/>
      </c>
      <c r="C191" s="140">
        <f>'Bookings Detail'!B151</f>
        <v/>
      </c>
      <c r="D191" s="140">
        <f>'Bookings Detail'!H151</f>
        <v/>
      </c>
      <c r="E191" s="142">
        <f>'Bookings Detail'!K151</f>
        <v/>
      </c>
      <c r="F191" s="143">
        <f>AVERAGEIFS('Bookings Detail'!$K$5:$K$274,'Bookings Detail'!$B$5:$B$274,C191,'Bookings Detail'!$H$5:$H$274,D191)</f>
        <v/>
      </c>
      <c r="G191" s="194">
        <f>IFERROR(E191/F191,0)</f>
        <v/>
      </c>
      <c r="H191" s="141">
        <f>IF(G191&gt;=2.5,"Outlier — 2.5x+ rep's typical deal size for this type","")</f>
        <v/>
      </c>
    </row>
    <row r="192" ht="15" customHeight="1" s="107">
      <c r="B192" s="146">
        <f>'Bookings Detail'!A152</f>
        <v/>
      </c>
      <c r="C192" s="146">
        <f>'Bookings Detail'!B152</f>
        <v/>
      </c>
      <c r="D192" s="146">
        <f>'Bookings Detail'!H152</f>
        <v/>
      </c>
      <c r="E192" s="148">
        <f>'Bookings Detail'!K152</f>
        <v/>
      </c>
      <c r="F192" s="149">
        <f>AVERAGEIFS('Bookings Detail'!$K$5:$K$274,'Bookings Detail'!$B$5:$B$274,C192,'Bookings Detail'!$H$5:$H$274,D192)</f>
        <v/>
      </c>
      <c r="G192" s="195">
        <f>IFERROR(E192/F192,0)</f>
        <v/>
      </c>
      <c r="H192" s="147">
        <f>IF(G192&gt;=2.5,"Outlier — 2.5x+ rep's typical deal size for this type","")</f>
        <v/>
      </c>
    </row>
    <row r="193" ht="15" customHeight="1" s="107">
      <c r="B193" s="140">
        <f>'Bookings Detail'!A153</f>
        <v/>
      </c>
      <c r="C193" s="140">
        <f>'Bookings Detail'!B153</f>
        <v/>
      </c>
      <c r="D193" s="140">
        <f>'Bookings Detail'!H153</f>
        <v/>
      </c>
      <c r="E193" s="142">
        <f>'Bookings Detail'!K153</f>
        <v/>
      </c>
      <c r="F193" s="143">
        <f>AVERAGEIFS('Bookings Detail'!$K$5:$K$274,'Bookings Detail'!$B$5:$B$274,C193,'Bookings Detail'!$H$5:$H$274,D193)</f>
        <v/>
      </c>
      <c r="G193" s="194">
        <f>IFERROR(E193/F193,0)</f>
        <v/>
      </c>
      <c r="H193" s="141">
        <f>IF(G193&gt;=2.5,"Outlier — 2.5x+ rep's typical deal size for this type","")</f>
        <v/>
      </c>
    </row>
    <row r="194" ht="15" customHeight="1" s="107">
      <c r="B194" s="146">
        <f>'Bookings Detail'!A154</f>
        <v/>
      </c>
      <c r="C194" s="146">
        <f>'Bookings Detail'!B154</f>
        <v/>
      </c>
      <c r="D194" s="146">
        <f>'Bookings Detail'!H154</f>
        <v/>
      </c>
      <c r="E194" s="148">
        <f>'Bookings Detail'!K154</f>
        <v/>
      </c>
      <c r="F194" s="149">
        <f>AVERAGEIFS('Bookings Detail'!$K$5:$K$274,'Bookings Detail'!$B$5:$B$274,C194,'Bookings Detail'!$H$5:$H$274,D194)</f>
        <v/>
      </c>
      <c r="G194" s="195">
        <f>IFERROR(E194/F194,0)</f>
        <v/>
      </c>
      <c r="H194" s="147">
        <f>IF(G194&gt;=2.5,"Outlier — 2.5x+ rep's typical deal size for this type","")</f>
        <v/>
      </c>
    </row>
    <row r="195" ht="15" customHeight="1" s="107">
      <c r="B195" s="140">
        <f>'Bookings Detail'!A155</f>
        <v/>
      </c>
      <c r="C195" s="140">
        <f>'Bookings Detail'!B155</f>
        <v/>
      </c>
      <c r="D195" s="140">
        <f>'Bookings Detail'!H155</f>
        <v/>
      </c>
      <c r="E195" s="142">
        <f>'Bookings Detail'!K155</f>
        <v/>
      </c>
      <c r="F195" s="143">
        <f>AVERAGEIFS('Bookings Detail'!$K$5:$K$274,'Bookings Detail'!$B$5:$B$274,C195,'Bookings Detail'!$H$5:$H$274,D195)</f>
        <v/>
      </c>
      <c r="G195" s="194">
        <f>IFERROR(E195/F195,0)</f>
        <v/>
      </c>
      <c r="H195" s="141">
        <f>IF(G195&gt;=2.5,"Outlier — 2.5x+ rep's typical deal size for this type","")</f>
        <v/>
      </c>
    </row>
    <row r="196" ht="15" customHeight="1" s="107">
      <c r="B196" s="146">
        <f>'Bookings Detail'!A156</f>
        <v/>
      </c>
      <c r="C196" s="146">
        <f>'Bookings Detail'!B156</f>
        <v/>
      </c>
      <c r="D196" s="146">
        <f>'Bookings Detail'!H156</f>
        <v/>
      </c>
      <c r="E196" s="148">
        <f>'Bookings Detail'!K156</f>
        <v/>
      </c>
      <c r="F196" s="149">
        <f>AVERAGEIFS('Bookings Detail'!$K$5:$K$274,'Bookings Detail'!$B$5:$B$274,C196,'Bookings Detail'!$H$5:$H$274,D196)</f>
        <v/>
      </c>
      <c r="G196" s="195">
        <f>IFERROR(E196/F196,0)</f>
        <v/>
      </c>
      <c r="H196" s="147">
        <f>IF(G196&gt;=2.5,"Outlier — 2.5x+ rep's typical deal size for this type","")</f>
        <v/>
      </c>
    </row>
    <row r="197" ht="15" customHeight="1" s="107">
      <c r="B197" s="140">
        <f>'Bookings Detail'!A157</f>
        <v/>
      </c>
      <c r="C197" s="140">
        <f>'Bookings Detail'!B157</f>
        <v/>
      </c>
      <c r="D197" s="140">
        <f>'Bookings Detail'!H157</f>
        <v/>
      </c>
      <c r="E197" s="142">
        <f>'Bookings Detail'!K157</f>
        <v/>
      </c>
      <c r="F197" s="143">
        <f>AVERAGEIFS('Bookings Detail'!$K$5:$K$274,'Bookings Detail'!$B$5:$B$274,C197,'Bookings Detail'!$H$5:$H$274,D197)</f>
        <v/>
      </c>
      <c r="G197" s="194">
        <f>IFERROR(E197/F197,0)</f>
        <v/>
      </c>
      <c r="H197" s="141">
        <f>IF(G197&gt;=2.5,"Outlier — 2.5x+ rep's typical deal size for this type","")</f>
        <v/>
      </c>
    </row>
    <row r="198" ht="15" customHeight="1" s="107">
      <c r="B198" s="146">
        <f>'Bookings Detail'!A158</f>
        <v/>
      </c>
      <c r="C198" s="146">
        <f>'Bookings Detail'!B158</f>
        <v/>
      </c>
      <c r="D198" s="146">
        <f>'Bookings Detail'!H158</f>
        <v/>
      </c>
      <c r="E198" s="148">
        <f>'Bookings Detail'!K158</f>
        <v/>
      </c>
      <c r="F198" s="149">
        <f>AVERAGEIFS('Bookings Detail'!$K$5:$K$274,'Bookings Detail'!$B$5:$B$274,C198,'Bookings Detail'!$H$5:$H$274,D198)</f>
        <v/>
      </c>
      <c r="G198" s="195">
        <f>IFERROR(E198/F198,0)</f>
        <v/>
      </c>
      <c r="H198" s="147">
        <f>IF(G198&gt;=2.5,"Outlier — 2.5x+ rep's typical deal size for this type","")</f>
        <v/>
      </c>
    </row>
    <row r="199" ht="15" customHeight="1" s="107">
      <c r="B199" s="140">
        <f>'Bookings Detail'!A159</f>
        <v/>
      </c>
      <c r="C199" s="140">
        <f>'Bookings Detail'!B159</f>
        <v/>
      </c>
      <c r="D199" s="140">
        <f>'Bookings Detail'!H159</f>
        <v/>
      </c>
      <c r="E199" s="142">
        <f>'Bookings Detail'!K159</f>
        <v/>
      </c>
      <c r="F199" s="143">
        <f>AVERAGEIFS('Bookings Detail'!$K$5:$K$274,'Bookings Detail'!$B$5:$B$274,C199,'Bookings Detail'!$H$5:$H$274,D199)</f>
        <v/>
      </c>
      <c r="G199" s="194">
        <f>IFERROR(E199/F199,0)</f>
        <v/>
      </c>
      <c r="H199" s="141">
        <f>IF(G199&gt;=2.5,"Outlier — 2.5x+ rep's typical deal size for this type","")</f>
        <v/>
      </c>
    </row>
    <row r="200" ht="15" customHeight="1" s="107">
      <c r="B200" s="146">
        <f>'Bookings Detail'!A160</f>
        <v/>
      </c>
      <c r="C200" s="146">
        <f>'Bookings Detail'!B160</f>
        <v/>
      </c>
      <c r="D200" s="146">
        <f>'Bookings Detail'!H160</f>
        <v/>
      </c>
      <c r="E200" s="148">
        <f>'Bookings Detail'!K160</f>
        <v/>
      </c>
      <c r="F200" s="149">
        <f>AVERAGEIFS('Bookings Detail'!$K$5:$K$274,'Bookings Detail'!$B$5:$B$274,C200,'Bookings Detail'!$H$5:$H$274,D200)</f>
        <v/>
      </c>
      <c r="G200" s="195">
        <f>IFERROR(E200/F200,0)</f>
        <v/>
      </c>
      <c r="H200" s="147">
        <f>IF(G200&gt;=2.5,"Outlier — 2.5x+ rep's typical deal size for this type","")</f>
        <v/>
      </c>
    </row>
    <row r="201" ht="15" customHeight="1" s="107">
      <c r="B201" s="140">
        <f>'Bookings Detail'!A161</f>
        <v/>
      </c>
      <c r="C201" s="140">
        <f>'Bookings Detail'!B161</f>
        <v/>
      </c>
      <c r="D201" s="140">
        <f>'Bookings Detail'!H161</f>
        <v/>
      </c>
      <c r="E201" s="142">
        <f>'Bookings Detail'!K161</f>
        <v/>
      </c>
      <c r="F201" s="143">
        <f>AVERAGEIFS('Bookings Detail'!$K$5:$K$274,'Bookings Detail'!$B$5:$B$274,C201,'Bookings Detail'!$H$5:$H$274,D201)</f>
        <v/>
      </c>
      <c r="G201" s="194">
        <f>IFERROR(E201/F201,0)</f>
        <v/>
      </c>
      <c r="H201" s="141">
        <f>IF(G201&gt;=2.5,"Outlier — 2.5x+ rep's typical deal size for this type","")</f>
        <v/>
      </c>
    </row>
    <row r="202" ht="15" customHeight="1" s="107">
      <c r="B202" s="146">
        <f>'Bookings Detail'!A162</f>
        <v/>
      </c>
      <c r="C202" s="146">
        <f>'Bookings Detail'!B162</f>
        <v/>
      </c>
      <c r="D202" s="146">
        <f>'Bookings Detail'!H162</f>
        <v/>
      </c>
      <c r="E202" s="148">
        <f>'Bookings Detail'!K162</f>
        <v/>
      </c>
      <c r="F202" s="149">
        <f>AVERAGEIFS('Bookings Detail'!$K$5:$K$274,'Bookings Detail'!$B$5:$B$274,C202,'Bookings Detail'!$H$5:$H$274,D202)</f>
        <v/>
      </c>
      <c r="G202" s="195">
        <f>IFERROR(E202/F202,0)</f>
        <v/>
      </c>
      <c r="H202" s="147">
        <f>IF(G202&gt;=2.5,"Outlier — 2.5x+ rep's typical deal size for this type","")</f>
        <v/>
      </c>
    </row>
    <row r="203" ht="15" customHeight="1" s="107">
      <c r="B203" s="140">
        <f>'Bookings Detail'!A163</f>
        <v/>
      </c>
      <c r="C203" s="140">
        <f>'Bookings Detail'!B163</f>
        <v/>
      </c>
      <c r="D203" s="140">
        <f>'Bookings Detail'!H163</f>
        <v/>
      </c>
      <c r="E203" s="142">
        <f>'Bookings Detail'!K163</f>
        <v/>
      </c>
      <c r="F203" s="143">
        <f>AVERAGEIFS('Bookings Detail'!$K$5:$K$274,'Bookings Detail'!$B$5:$B$274,C203,'Bookings Detail'!$H$5:$H$274,D203)</f>
        <v/>
      </c>
      <c r="G203" s="194">
        <f>IFERROR(E203/F203,0)</f>
        <v/>
      </c>
      <c r="H203" s="141">
        <f>IF(G203&gt;=2.5,"Outlier — 2.5x+ rep's typical deal size for this type","")</f>
        <v/>
      </c>
    </row>
    <row r="204" ht="15" customHeight="1" s="107">
      <c r="B204" s="146">
        <f>'Bookings Detail'!A164</f>
        <v/>
      </c>
      <c r="C204" s="146">
        <f>'Bookings Detail'!B164</f>
        <v/>
      </c>
      <c r="D204" s="146">
        <f>'Bookings Detail'!H164</f>
        <v/>
      </c>
      <c r="E204" s="148">
        <f>'Bookings Detail'!K164</f>
        <v/>
      </c>
      <c r="F204" s="149">
        <f>AVERAGEIFS('Bookings Detail'!$K$5:$K$274,'Bookings Detail'!$B$5:$B$274,C204,'Bookings Detail'!$H$5:$H$274,D204)</f>
        <v/>
      </c>
      <c r="G204" s="195">
        <f>IFERROR(E204/F204,0)</f>
        <v/>
      </c>
      <c r="H204" s="147">
        <f>IF(G204&gt;=2.5,"Outlier — 2.5x+ rep's typical deal size for this type","")</f>
        <v/>
      </c>
    </row>
    <row r="205" ht="15" customHeight="1" s="107">
      <c r="B205" s="140">
        <f>'Bookings Detail'!A165</f>
        <v/>
      </c>
      <c r="C205" s="140">
        <f>'Bookings Detail'!B165</f>
        <v/>
      </c>
      <c r="D205" s="140">
        <f>'Bookings Detail'!H165</f>
        <v/>
      </c>
      <c r="E205" s="142">
        <f>'Bookings Detail'!K165</f>
        <v/>
      </c>
      <c r="F205" s="143">
        <f>AVERAGEIFS('Bookings Detail'!$K$5:$K$274,'Bookings Detail'!$B$5:$B$274,C205,'Bookings Detail'!$H$5:$H$274,D205)</f>
        <v/>
      </c>
      <c r="G205" s="194">
        <f>IFERROR(E205/F205,0)</f>
        <v/>
      </c>
      <c r="H205" s="141">
        <f>IF(G205&gt;=2.5,"Outlier — 2.5x+ rep's typical deal size for this type","")</f>
        <v/>
      </c>
    </row>
    <row r="206" ht="15" customHeight="1" s="107">
      <c r="B206" s="146">
        <f>'Bookings Detail'!A166</f>
        <v/>
      </c>
      <c r="C206" s="146">
        <f>'Bookings Detail'!B166</f>
        <v/>
      </c>
      <c r="D206" s="146">
        <f>'Bookings Detail'!H166</f>
        <v/>
      </c>
      <c r="E206" s="148">
        <f>'Bookings Detail'!K166</f>
        <v/>
      </c>
      <c r="F206" s="149">
        <f>AVERAGEIFS('Bookings Detail'!$K$5:$K$274,'Bookings Detail'!$B$5:$B$274,C206,'Bookings Detail'!$H$5:$H$274,D206)</f>
        <v/>
      </c>
      <c r="G206" s="195">
        <f>IFERROR(E206/F206,0)</f>
        <v/>
      </c>
      <c r="H206" s="147">
        <f>IF(G206&gt;=2.5,"Outlier — 2.5x+ rep's typical deal size for this type","")</f>
        <v/>
      </c>
    </row>
    <row r="207" ht="15" customHeight="1" s="107">
      <c r="B207" s="140">
        <f>'Bookings Detail'!A167</f>
        <v/>
      </c>
      <c r="C207" s="140">
        <f>'Bookings Detail'!B167</f>
        <v/>
      </c>
      <c r="D207" s="140">
        <f>'Bookings Detail'!H167</f>
        <v/>
      </c>
      <c r="E207" s="142">
        <f>'Bookings Detail'!K167</f>
        <v/>
      </c>
      <c r="F207" s="143">
        <f>AVERAGEIFS('Bookings Detail'!$K$5:$K$274,'Bookings Detail'!$B$5:$B$274,C207,'Bookings Detail'!$H$5:$H$274,D207)</f>
        <v/>
      </c>
      <c r="G207" s="194">
        <f>IFERROR(E207/F207,0)</f>
        <v/>
      </c>
      <c r="H207" s="141">
        <f>IF(G207&gt;=2.5,"Outlier — 2.5x+ rep's typical deal size for this type","")</f>
        <v/>
      </c>
    </row>
    <row r="208" ht="15" customHeight="1" s="107">
      <c r="B208" s="146">
        <f>'Bookings Detail'!A168</f>
        <v/>
      </c>
      <c r="C208" s="146">
        <f>'Bookings Detail'!B168</f>
        <v/>
      </c>
      <c r="D208" s="146">
        <f>'Bookings Detail'!H168</f>
        <v/>
      </c>
      <c r="E208" s="148">
        <f>'Bookings Detail'!K168</f>
        <v/>
      </c>
      <c r="F208" s="149">
        <f>AVERAGEIFS('Bookings Detail'!$K$5:$K$274,'Bookings Detail'!$B$5:$B$274,C208,'Bookings Detail'!$H$5:$H$274,D208)</f>
        <v/>
      </c>
      <c r="G208" s="195">
        <f>IFERROR(E208/F208,0)</f>
        <v/>
      </c>
      <c r="H208" s="147">
        <f>IF(G208&gt;=2.5,"Outlier — 2.5x+ rep's typical deal size for this type","")</f>
        <v/>
      </c>
    </row>
    <row r="209" ht="15" customHeight="1" s="107">
      <c r="B209" s="140">
        <f>'Bookings Detail'!A169</f>
        <v/>
      </c>
      <c r="C209" s="140">
        <f>'Bookings Detail'!B169</f>
        <v/>
      </c>
      <c r="D209" s="140">
        <f>'Bookings Detail'!H169</f>
        <v/>
      </c>
      <c r="E209" s="142">
        <f>'Bookings Detail'!K169</f>
        <v/>
      </c>
      <c r="F209" s="143">
        <f>AVERAGEIFS('Bookings Detail'!$K$5:$K$274,'Bookings Detail'!$B$5:$B$274,C209,'Bookings Detail'!$H$5:$H$274,D209)</f>
        <v/>
      </c>
      <c r="G209" s="194">
        <f>IFERROR(E209/F209,0)</f>
        <v/>
      </c>
      <c r="H209" s="141">
        <f>IF(G209&gt;=2.5,"Outlier — 2.5x+ rep's typical deal size for this type","")</f>
        <v/>
      </c>
    </row>
    <row r="210" ht="15" customHeight="1" s="107">
      <c r="B210" s="146">
        <f>'Bookings Detail'!A170</f>
        <v/>
      </c>
      <c r="C210" s="146">
        <f>'Bookings Detail'!B170</f>
        <v/>
      </c>
      <c r="D210" s="146">
        <f>'Bookings Detail'!H170</f>
        <v/>
      </c>
      <c r="E210" s="148">
        <f>'Bookings Detail'!K170</f>
        <v/>
      </c>
      <c r="F210" s="149">
        <f>AVERAGEIFS('Bookings Detail'!$K$5:$K$274,'Bookings Detail'!$B$5:$B$274,C210,'Bookings Detail'!$H$5:$H$274,D210)</f>
        <v/>
      </c>
      <c r="G210" s="195">
        <f>IFERROR(E210/F210,0)</f>
        <v/>
      </c>
      <c r="H210" s="147">
        <f>IF(G210&gt;=2.5,"Outlier — 2.5x+ rep's typical deal size for this type","")</f>
        <v/>
      </c>
    </row>
    <row r="211" ht="15" customHeight="1" s="107">
      <c r="B211" s="140">
        <f>'Bookings Detail'!A171</f>
        <v/>
      </c>
      <c r="C211" s="140">
        <f>'Bookings Detail'!B171</f>
        <v/>
      </c>
      <c r="D211" s="140">
        <f>'Bookings Detail'!H171</f>
        <v/>
      </c>
      <c r="E211" s="142">
        <f>'Bookings Detail'!K171</f>
        <v/>
      </c>
      <c r="F211" s="143">
        <f>AVERAGEIFS('Bookings Detail'!$K$5:$K$274,'Bookings Detail'!$B$5:$B$274,C211,'Bookings Detail'!$H$5:$H$274,D211)</f>
        <v/>
      </c>
      <c r="G211" s="194">
        <f>IFERROR(E211/F211,0)</f>
        <v/>
      </c>
      <c r="H211" s="141">
        <f>IF(G211&gt;=2.5,"Outlier — 2.5x+ rep's typical deal size for this type","")</f>
        <v/>
      </c>
    </row>
    <row r="212" ht="15" customHeight="1" s="107">
      <c r="B212" s="146">
        <f>'Bookings Detail'!A172</f>
        <v/>
      </c>
      <c r="C212" s="146">
        <f>'Bookings Detail'!B172</f>
        <v/>
      </c>
      <c r="D212" s="146">
        <f>'Bookings Detail'!H172</f>
        <v/>
      </c>
      <c r="E212" s="148">
        <f>'Bookings Detail'!K172</f>
        <v/>
      </c>
      <c r="F212" s="149">
        <f>AVERAGEIFS('Bookings Detail'!$K$5:$K$274,'Bookings Detail'!$B$5:$B$274,C212,'Bookings Detail'!$H$5:$H$274,D212)</f>
        <v/>
      </c>
      <c r="G212" s="195">
        <f>IFERROR(E212/F212,0)</f>
        <v/>
      </c>
      <c r="H212" s="147">
        <f>IF(G212&gt;=2.5,"Outlier — 2.5x+ rep's typical deal size for this type","")</f>
        <v/>
      </c>
    </row>
    <row r="213" ht="15" customHeight="1" s="107">
      <c r="B213" s="140">
        <f>'Bookings Detail'!A173</f>
        <v/>
      </c>
      <c r="C213" s="140">
        <f>'Bookings Detail'!B173</f>
        <v/>
      </c>
      <c r="D213" s="140">
        <f>'Bookings Detail'!H173</f>
        <v/>
      </c>
      <c r="E213" s="142">
        <f>'Bookings Detail'!K173</f>
        <v/>
      </c>
      <c r="F213" s="143">
        <f>AVERAGEIFS('Bookings Detail'!$K$5:$K$274,'Bookings Detail'!$B$5:$B$274,C213,'Bookings Detail'!$H$5:$H$274,D213)</f>
        <v/>
      </c>
      <c r="G213" s="194">
        <f>IFERROR(E213/F213,0)</f>
        <v/>
      </c>
      <c r="H213" s="141">
        <f>IF(G213&gt;=2.5,"Outlier — 2.5x+ rep's typical deal size for this type","")</f>
        <v/>
      </c>
    </row>
    <row r="214" ht="15" customHeight="1" s="107">
      <c r="B214" s="146">
        <f>'Bookings Detail'!A174</f>
        <v/>
      </c>
      <c r="C214" s="146">
        <f>'Bookings Detail'!B174</f>
        <v/>
      </c>
      <c r="D214" s="146">
        <f>'Bookings Detail'!H174</f>
        <v/>
      </c>
      <c r="E214" s="148">
        <f>'Bookings Detail'!K174</f>
        <v/>
      </c>
      <c r="F214" s="149">
        <f>AVERAGEIFS('Bookings Detail'!$K$5:$K$274,'Bookings Detail'!$B$5:$B$274,C214,'Bookings Detail'!$H$5:$H$274,D214)</f>
        <v/>
      </c>
      <c r="G214" s="195">
        <f>IFERROR(E214/F214,0)</f>
        <v/>
      </c>
      <c r="H214" s="147">
        <f>IF(G214&gt;=2.5,"Outlier — 2.5x+ rep's typical deal size for this type","")</f>
        <v/>
      </c>
    </row>
    <row r="215" ht="15" customHeight="1" s="107">
      <c r="B215" s="140">
        <f>'Bookings Detail'!A175</f>
        <v/>
      </c>
      <c r="C215" s="140">
        <f>'Bookings Detail'!B175</f>
        <v/>
      </c>
      <c r="D215" s="140">
        <f>'Bookings Detail'!H175</f>
        <v/>
      </c>
      <c r="E215" s="142">
        <f>'Bookings Detail'!K175</f>
        <v/>
      </c>
      <c r="F215" s="143">
        <f>AVERAGEIFS('Bookings Detail'!$K$5:$K$274,'Bookings Detail'!$B$5:$B$274,C215,'Bookings Detail'!$H$5:$H$274,D215)</f>
        <v/>
      </c>
      <c r="G215" s="194">
        <f>IFERROR(E215/F215,0)</f>
        <v/>
      </c>
      <c r="H215" s="141">
        <f>IF(G215&gt;=2.5,"Outlier — 2.5x+ rep's typical deal size for this type","")</f>
        <v/>
      </c>
    </row>
    <row r="216" ht="15" customHeight="1" s="107">
      <c r="B216" s="146">
        <f>'Bookings Detail'!A176</f>
        <v/>
      </c>
      <c r="C216" s="146">
        <f>'Bookings Detail'!B176</f>
        <v/>
      </c>
      <c r="D216" s="146">
        <f>'Bookings Detail'!H176</f>
        <v/>
      </c>
      <c r="E216" s="148">
        <f>'Bookings Detail'!K176</f>
        <v/>
      </c>
      <c r="F216" s="149">
        <f>AVERAGEIFS('Bookings Detail'!$K$5:$K$274,'Bookings Detail'!$B$5:$B$274,C216,'Bookings Detail'!$H$5:$H$274,D216)</f>
        <v/>
      </c>
      <c r="G216" s="195">
        <f>IFERROR(E216/F216,0)</f>
        <v/>
      </c>
      <c r="H216" s="147">
        <f>IF(G216&gt;=2.5,"Outlier — 2.5x+ rep's typical deal size for this type","")</f>
        <v/>
      </c>
    </row>
    <row r="217" ht="15" customHeight="1" s="107">
      <c r="B217" s="140">
        <f>'Bookings Detail'!A177</f>
        <v/>
      </c>
      <c r="C217" s="140">
        <f>'Bookings Detail'!B177</f>
        <v/>
      </c>
      <c r="D217" s="140">
        <f>'Bookings Detail'!H177</f>
        <v/>
      </c>
      <c r="E217" s="142">
        <f>'Bookings Detail'!K177</f>
        <v/>
      </c>
      <c r="F217" s="143">
        <f>AVERAGEIFS('Bookings Detail'!$K$5:$K$274,'Bookings Detail'!$B$5:$B$274,C217,'Bookings Detail'!$H$5:$H$274,D217)</f>
        <v/>
      </c>
      <c r="G217" s="194">
        <f>IFERROR(E217/F217,0)</f>
        <v/>
      </c>
      <c r="H217" s="141">
        <f>IF(G217&gt;=2.5,"Outlier — 2.5x+ rep's typical deal size for this type","")</f>
        <v/>
      </c>
    </row>
    <row r="218" ht="15" customHeight="1" s="107">
      <c r="B218" s="146">
        <f>'Bookings Detail'!A178</f>
        <v/>
      </c>
      <c r="C218" s="146">
        <f>'Bookings Detail'!B178</f>
        <v/>
      </c>
      <c r="D218" s="146">
        <f>'Bookings Detail'!H178</f>
        <v/>
      </c>
      <c r="E218" s="148">
        <f>'Bookings Detail'!K178</f>
        <v/>
      </c>
      <c r="F218" s="149">
        <f>AVERAGEIFS('Bookings Detail'!$K$5:$K$274,'Bookings Detail'!$B$5:$B$274,C218,'Bookings Detail'!$H$5:$H$274,D218)</f>
        <v/>
      </c>
      <c r="G218" s="195">
        <f>IFERROR(E218/F218,0)</f>
        <v/>
      </c>
      <c r="H218" s="147">
        <f>IF(G218&gt;=2.5,"Outlier — 2.5x+ rep's typical deal size for this type","")</f>
        <v/>
      </c>
    </row>
    <row r="219" ht="15" customHeight="1" s="107">
      <c r="B219" s="140">
        <f>'Bookings Detail'!A179</f>
        <v/>
      </c>
      <c r="C219" s="140">
        <f>'Bookings Detail'!B179</f>
        <v/>
      </c>
      <c r="D219" s="140">
        <f>'Bookings Detail'!H179</f>
        <v/>
      </c>
      <c r="E219" s="142">
        <f>'Bookings Detail'!K179</f>
        <v/>
      </c>
      <c r="F219" s="143">
        <f>AVERAGEIFS('Bookings Detail'!$K$5:$K$274,'Bookings Detail'!$B$5:$B$274,C219,'Bookings Detail'!$H$5:$H$274,D219)</f>
        <v/>
      </c>
      <c r="G219" s="194">
        <f>IFERROR(E219/F219,0)</f>
        <v/>
      </c>
      <c r="H219" s="141">
        <f>IF(G219&gt;=2.5,"Outlier — 2.5x+ rep's typical deal size for this type","")</f>
        <v/>
      </c>
    </row>
    <row r="220" ht="15" customHeight="1" s="107">
      <c r="B220" s="146">
        <f>'Bookings Detail'!A180</f>
        <v/>
      </c>
      <c r="C220" s="146">
        <f>'Bookings Detail'!B180</f>
        <v/>
      </c>
      <c r="D220" s="146">
        <f>'Bookings Detail'!H180</f>
        <v/>
      </c>
      <c r="E220" s="148">
        <f>'Bookings Detail'!K180</f>
        <v/>
      </c>
      <c r="F220" s="149">
        <f>AVERAGEIFS('Bookings Detail'!$K$5:$K$274,'Bookings Detail'!$B$5:$B$274,C220,'Bookings Detail'!$H$5:$H$274,D220)</f>
        <v/>
      </c>
      <c r="G220" s="195">
        <f>IFERROR(E220/F220,0)</f>
        <v/>
      </c>
      <c r="H220" s="147">
        <f>IF(G220&gt;=2.5,"Outlier — 2.5x+ rep's typical deal size for this type","")</f>
        <v/>
      </c>
    </row>
    <row r="221" ht="15" customHeight="1" s="107">
      <c r="B221" s="140">
        <f>'Bookings Detail'!A181</f>
        <v/>
      </c>
      <c r="C221" s="140">
        <f>'Bookings Detail'!B181</f>
        <v/>
      </c>
      <c r="D221" s="140">
        <f>'Bookings Detail'!H181</f>
        <v/>
      </c>
      <c r="E221" s="142">
        <f>'Bookings Detail'!K181</f>
        <v/>
      </c>
      <c r="F221" s="143">
        <f>AVERAGEIFS('Bookings Detail'!$K$5:$K$274,'Bookings Detail'!$B$5:$B$274,C221,'Bookings Detail'!$H$5:$H$274,D221)</f>
        <v/>
      </c>
      <c r="G221" s="194">
        <f>IFERROR(E221/F221,0)</f>
        <v/>
      </c>
      <c r="H221" s="141">
        <f>IF(G221&gt;=2.5,"Outlier — 2.5x+ rep's typical deal size for this type","")</f>
        <v/>
      </c>
    </row>
    <row r="222" ht="15" customHeight="1" s="107">
      <c r="B222" s="146">
        <f>'Bookings Detail'!A182</f>
        <v/>
      </c>
      <c r="C222" s="146">
        <f>'Bookings Detail'!B182</f>
        <v/>
      </c>
      <c r="D222" s="146">
        <f>'Bookings Detail'!H182</f>
        <v/>
      </c>
      <c r="E222" s="148">
        <f>'Bookings Detail'!K182</f>
        <v/>
      </c>
      <c r="F222" s="149">
        <f>AVERAGEIFS('Bookings Detail'!$K$5:$K$274,'Bookings Detail'!$B$5:$B$274,C222,'Bookings Detail'!$H$5:$H$274,D222)</f>
        <v/>
      </c>
      <c r="G222" s="195">
        <f>IFERROR(E222/F222,0)</f>
        <v/>
      </c>
      <c r="H222" s="147">
        <f>IF(G222&gt;=2.5,"Outlier — 2.5x+ rep's typical deal size for this type","")</f>
        <v/>
      </c>
    </row>
    <row r="223" ht="15" customHeight="1" s="107">
      <c r="B223" s="140">
        <f>'Bookings Detail'!A183</f>
        <v/>
      </c>
      <c r="C223" s="140">
        <f>'Bookings Detail'!B183</f>
        <v/>
      </c>
      <c r="D223" s="140">
        <f>'Bookings Detail'!H183</f>
        <v/>
      </c>
      <c r="E223" s="142">
        <f>'Bookings Detail'!K183</f>
        <v/>
      </c>
      <c r="F223" s="143">
        <f>AVERAGEIFS('Bookings Detail'!$K$5:$K$274,'Bookings Detail'!$B$5:$B$274,C223,'Bookings Detail'!$H$5:$H$274,D223)</f>
        <v/>
      </c>
      <c r="G223" s="194">
        <f>IFERROR(E223/F223,0)</f>
        <v/>
      </c>
      <c r="H223" s="141">
        <f>IF(G223&gt;=2.5,"Outlier — 2.5x+ rep's typical deal size for this type","")</f>
        <v/>
      </c>
    </row>
    <row r="224" ht="15" customHeight="1" s="107">
      <c r="B224" s="146">
        <f>'Bookings Detail'!A184</f>
        <v/>
      </c>
      <c r="C224" s="146">
        <f>'Bookings Detail'!B184</f>
        <v/>
      </c>
      <c r="D224" s="146">
        <f>'Bookings Detail'!H184</f>
        <v/>
      </c>
      <c r="E224" s="148">
        <f>'Bookings Detail'!K184</f>
        <v/>
      </c>
      <c r="F224" s="149">
        <f>AVERAGEIFS('Bookings Detail'!$K$5:$K$274,'Bookings Detail'!$B$5:$B$274,C224,'Bookings Detail'!$H$5:$H$274,D224)</f>
        <v/>
      </c>
      <c r="G224" s="195">
        <f>IFERROR(E224/F224,0)</f>
        <v/>
      </c>
      <c r="H224" s="147">
        <f>IF(G224&gt;=2.5,"Outlier — 2.5x+ rep's typical deal size for this type","")</f>
        <v/>
      </c>
    </row>
    <row r="225" ht="15" customHeight="1" s="107">
      <c r="B225" s="140">
        <f>'Bookings Detail'!A185</f>
        <v/>
      </c>
      <c r="C225" s="140">
        <f>'Bookings Detail'!B185</f>
        <v/>
      </c>
      <c r="D225" s="140">
        <f>'Bookings Detail'!H185</f>
        <v/>
      </c>
      <c r="E225" s="142">
        <f>'Bookings Detail'!K185</f>
        <v/>
      </c>
      <c r="F225" s="143">
        <f>AVERAGEIFS('Bookings Detail'!$K$5:$K$274,'Bookings Detail'!$B$5:$B$274,C225,'Bookings Detail'!$H$5:$H$274,D225)</f>
        <v/>
      </c>
      <c r="G225" s="194">
        <f>IFERROR(E225/F225,0)</f>
        <v/>
      </c>
      <c r="H225" s="141">
        <f>IF(G225&gt;=2.5,"Outlier — 2.5x+ rep's typical deal size for this type","")</f>
        <v/>
      </c>
    </row>
    <row r="226" ht="15" customHeight="1" s="107">
      <c r="B226" s="146">
        <f>'Bookings Detail'!A186</f>
        <v/>
      </c>
      <c r="C226" s="146">
        <f>'Bookings Detail'!B186</f>
        <v/>
      </c>
      <c r="D226" s="146">
        <f>'Bookings Detail'!H186</f>
        <v/>
      </c>
      <c r="E226" s="148">
        <f>'Bookings Detail'!K186</f>
        <v/>
      </c>
      <c r="F226" s="149">
        <f>AVERAGEIFS('Bookings Detail'!$K$5:$K$274,'Bookings Detail'!$B$5:$B$274,C226,'Bookings Detail'!$H$5:$H$274,D226)</f>
        <v/>
      </c>
      <c r="G226" s="195">
        <f>IFERROR(E226/F226,0)</f>
        <v/>
      </c>
      <c r="H226" s="147">
        <f>IF(G226&gt;=2.5,"Outlier — 2.5x+ rep's typical deal size for this type","")</f>
        <v/>
      </c>
    </row>
    <row r="227" ht="15" customHeight="1" s="107">
      <c r="B227" s="140">
        <f>'Bookings Detail'!A187</f>
        <v/>
      </c>
      <c r="C227" s="140">
        <f>'Bookings Detail'!B187</f>
        <v/>
      </c>
      <c r="D227" s="140">
        <f>'Bookings Detail'!H187</f>
        <v/>
      </c>
      <c r="E227" s="142">
        <f>'Bookings Detail'!K187</f>
        <v/>
      </c>
      <c r="F227" s="143">
        <f>AVERAGEIFS('Bookings Detail'!$K$5:$K$274,'Bookings Detail'!$B$5:$B$274,C227,'Bookings Detail'!$H$5:$H$274,D227)</f>
        <v/>
      </c>
      <c r="G227" s="194">
        <f>IFERROR(E227/F227,0)</f>
        <v/>
      </c>
      <c r="H227" s="141">
        <f>IF(G227&gt;=2.5,"Outlier — 2.5x+ rep's typical deal size for this type","")</f>
        <v/>
      </c>
    </row>
    <row r="228" ht="15" customHeight="1" s="107">
      <c r="B228" s="146">
        <f>'Bookings Detail'!A188</f>
        <v/>
      </c>
      <c r="C228" s="146">
        <f>'Bookings Detail'!B188</f>
        <v/>
      </c>
      <c r="D228" s="146">
        <f>'Bookings Detail'!H188</f>
        <v/>
      </c>
      <c r="E228" s="148">
        <f>'Bookings Detail'!K188</f>
        <v/>
      </c>
      <c r="F228" s="149">
        <f>AVERAGEIFS('Bookings Detail'!$K$5:$K$274,'Bookings Detail'!$B$5:$B$274,C228,'Bookings Detail'!$H$5:$H$274,D228)</f>
        <v/>
      </c>
      <c r="G228" s="195">
        <f>IFERROR(E228/F228,0)</f>
        <v/>
      </c>
      <c r="H228" s="147">
        <f>IF(G228&gt;=2.5,"Outlier — 2.5x+ rep's typical deal size for this type","")</f>
        <v/>
      </c>
    </row>
    <row r="229" ht="15" customHeight="1" s="107">
      <c r="B229" s="140">
        <f>'Bookings Detail'!A189</f>
        <v/>
      </c>
      <c r="C229" s="140">
        <f>'Bookings Detail'!B189</f>
        <v/>
      </c>
      <c r="D229" s="140">
        <f>'Bookings Detail'!H189</f>
        <v/>
      </c>
      <c r="E229" s="142">
        <f>'Bookings Detail'!K189</f>
        <v/>
      </c>
      <c r="F229" s="143">
        <f>AVERAGEIFS('Bookings Detail'!$K$5:$K$274,'Bookings Detail'!$B$5:$B$274,C229,'Bookings Detail'!$H$5:$H$274,D229)</f>
        <v/>
      </c>
      <c r="G229" s="194">
        <f>IFERROR(E229/F229,0)</f>
        <v/>
      </c>
      <c r="H229" s="141">
        <f>IF(G229&gt;=2.5,"Outlier — 2.5x+ rep's typical deal size for this type","")</f>
        <v/>
      </c>
    </row>
    <row r="230" ht="15" customHeight="1" s="107">
      <c r="B230" s="146">
        <f>'Bookings Detail'!A190</f>
        <v/>
      </c>
      <c r="C230" s="146">
        <f>'Bookings Detail'!B190</f>
        <v/>
      </c>
      <c r="D230" s="146">
        <f>'Bookings Detail'!H190</f>
        <v/>
      </c>
      <c r="E230" s="148">
        <f>'Bookings Detail'!K190</f>
        <v/>
      </c>
      <c r="F230" s="149">
        <f>AVERAGEIFS('Bookings Detail'!$K$5:$K$274,'Bookings Detail'!$B$5:$B$274,C230,'Bookings Detail'!$H$5:$H$274,D230)</f>
        <v/>
      </c>
      <c r="G230" s="195">
        <f>IFERROR(E230/F230,0)</f>
        <v/>
      </c>
      <c r="H230" s="147">
        <f>IF(G230&gt;=2.5,"Outlier — 2.5x+ rep's typical deal size for this type","")</f>
        <v/>
      </c>
    </row>
    <row r="231" ht="15" customHeight="1" s="107">
      <c r="B231" s="140">
        <f>'Bookings Detail'!A191</f>
        <v/>
      </c>
      <c r="C231" s="140">
        <f>'Bookings Detail'!B191</f>
        <v/>
      </c>
      <c r="D231" s="140">
        <f>'Bookings Detail'!H191</f>
        <v/>
      </c>
      <c r="E231" s="142">
        <f>'Bookings Detail'!K191</f>
        <v/>
      </c>
      <c r="F231" s="143">
        <f>AVERAGEIFS('Bookings Detail'!$K$5:$K$274,'Bookings Detail'!$B$5:$B$274,C231,'Bookings Detail'!$H$5:$H$274,D231)</f>
        <v/>
      </c>
      <c r="G231" s="194">
        <f>IFERROR(E231/F231,0)</f>
        <v/>
      </c>
      <c r="H231" s="141">
        <f>IF(G231&gt;=2.5,"Outlier — 2.5x+ rep's typical deal size for this type","")</f>
        <v/>
      </c>
    </row>
    <row r="232" ht="15" customHeight="1" s="107">
      <c r="B232" s="146">
        <f>'Bookings Detail'!A192</f>
        <v/>
      </c>
      <c r="C232" s="146">
        <f>'Bookings Detail'!B192</f>
        <v/>
      </c>
      <c r="D232" s="146">
        <f>'Bookings Detail'!H192</f>
        <v/>
      </c>
      <c r="E232" s="148">
        <f>'Bookings Detail'!K192</f>
        <v/>
      </c>
      <c r="F232" s="149">
        <f>AVERAGEIFS('Bookings Detail'!$K$5:$K$274,'Bookings Detail'!$B$5:$B$274,C232,'Bookings Detail'!$H$5:$H$274,D232)</f>
        <v/>
      </c>
      <c r="G232" s="195">
        <f>IFERROR(E232/F232,0)</f>
        <v/>
      </c>
      <c r="H232" s="147">
        <f>IF(G232&gt;=2.5,"Outlier — 2.5x+ rep's typical deal size for this type","")</f>
        <v/>
      </c>
    </row>
    <row r="233" ht="15" customHeight="1" s="107">
      <c r="B233" s="140">
        <f>'Bookings Detail'!A193</f>
        <v/>
      </c>
      <c r="C233" s="140">
        <f>'Bookings Detail'!B193</f>
        <v/>
      </c>
      <c r="D233" s="140">
        <f>'Bookings Detail'!H193</f>
        <v/>
      </c>
      <c r="E233" s="142">
        <f>'Bookings Detail'!K193</f>
        <v/>
      </c>
      <c r="F233" s="143">
        <f>AVERAGEIFS('Bookings Detail'!$K$5:$K$274,'Bookings Detail'!$B$5:$B$274,C233,'Bookings Detail'!$H$5:$H$274,D233)</f>
        <v/>
      </c>
      <c r="G233" s="194">
        <f>IFERROR(E233/F233,0)</f>
        <v/>
      </c>
      <c r="H233" s="141">
        <f>IF(G233&gt;=2.5,"Outlier — 2.5x+ rep's typical deal size for this type","")</f>
        <v/>
      </c>
    </row>
    <row r="234" ht="15" customHeight="1" s="107">
      <c r="B234" s="146">
        <f>'Bookings Detail'!A194</f>
        <v/>
      </c>
      <c r="C234" s="146">
        <f>'Bookings Detail'!B194</f>
        <v/>
      </c>
      <c r="D234" s="146">
        <f>'Bookings Detail'!H194</f>
        <v/>
      </c>
      <c r="E234" s="148">
        <f>'Bookings Detail'!K194</f>
        <v/>
      </c>
      <c r="F234" s="149">
        <f>AVERAGEIFS('Bookings Detail'!$K$5:$K$274,'Bookings Detail'!$B$5:$B$274,C234,'Bookings Detail'!$H$5:$H$274,D234)</f>
        <v/>
      </c>
      <c r="G234" s="195">
        <f>IFERROR(E234/F234,0)</f>
        <v/>
      </c>
      <c r="H234" s="147">
        <f>IF(G234&gt;=2.5,"Outlier — 2.5x+ rep's typical deal size for this type","")</f>
        <v/>
      </c>
    </row>
    <row r="235" ht="15" customHeight="1" s="107">
      <c r="B235" s="140">
        <f>'Bookings Detail'!A195</f>
        <v/>
      </c>
      <c r="C235" s="140">
        <f>'Bookings Detail'!B195</f>
        <v/>
      </c>
      <c r="D235" s="140">
        <f>'Bookings Detail'!H195</f>
        <v/>
      </c>
      <c r="E235" s="142">
        <f>'Bookings Detail'!K195</f>
        <v/>
      </c>
      <c r="F235" s="143">
        <f>AVERAGEIFS('Bookings Detail'!$K$5:$K$274,'Bookings Detail'!$B$5:$B$274,C235,'Bookings Detail'!$H$5:$H$274,D235)</f>
        <v/>
      </c>
      <c r="G235" s="194">
        <f>IFERROR(E235/F235,0)</f>
        <v/>
      </c>
      <c r="H235" s="141">
        <f>IF(G235&gt;=2.5,"Outlier — 2.5x+ rep's typical deal size for this type","")</f>
        <v/>
      </c>
    </row>
    <row r="236" ht="15" customHeight="1" s="107">
      <c r="B236" s="146">
        <f>'Bookings Detail'!A196</f>
        <v/>
      </c>
      <c r="C236" s="146">
        <f>'Bookings Detail'!B196</f>
        <v/>
      </c>
      <c r="D236" s="146">
        <f>'Bookings Detail'!H196</f>
        <v/>
      </c>
      <c r="E236" s="148">
        <f>'Bookings Detail'!K196</f>
        <v/>
      </c>
      <c r="F236" s="149">
        <f>AVERAGEIFS('Bookings Detail'!$K$5:$K$274,'Bookings Detail'!$B$5:$B$274,C236,'Bookings Detail'!$H$5:$H$274,D236)</f>
        <v/>
      </c>
      <c r="G236" s="195">
        <f>IFERROR(E236/F236,0)</f>
        <v/>
      </c>
      <c r="H236" s="147">
        <f>IF(G236&gt;=2.5,"Outlier — 2.5x+ rep's typical deal size for this type","")</f>
        <v/>
      </c>
    </row>
    <row r="237" ht="15" customHeight="1" s="107">
      <c r="B237" s="140">
        <f>'Bookings Detail'!A197</f>
        <v/>
      </c>
      <c r="C237" s="140">
        <f>'Bookings Detail'!B197</f>
        <v/>
      </c>
      <c r="D237" s="140">
        <f>'Bookings Detail'!H197</f>
        <v/>
      </c>
      <c r="E237" s="142">
        <f>'Bookings Detail'!K197</f>
        <v/>
      </c>
      <c r="F237" s="143">
        <f>AVERAGEIFS('Bookings Detail'!$K$5:$K$274,'Bookings Detail'!$B$5:$B$274,C237,'Bookings Detail'!$H$5:$H$274,D237)</f>
        <v/>
      </c>
      <c r="G237" s="194">
        <f>IFERROR(E237/F237,0)</f>
        <v/>
      </c>
      <c r="H237" s="141">
        <f>IF(G237&gt;=2.5,"Outlier — 2.5x+ rep's typical deal size for this type","")</f>
        <v/>
      </c>
    </row>
    <row r="238" ht="15" customHeight="1" s="107">
      <c r="B238" s="146">
        <f>'Bookings Detail'!A198</f>
        <v/>
      </c>
      <c r="C238" s="146">
        <f>'Bookings Detail'!B198</f>
        <v/>
      </c>
      <c r="D238" s="146">
        <f>'Bookings Detail'!H198</f>
        <v/>
      </c>
      <c r="E238" s="148">
        <f>'Bookings Detail'!K198</f>
        <v/>
      </c>
      <c r="F238" s="149">
        <f>AVERAGEIFS('Bookings Detail'!$K$5:$K$274,'Bookings Detail'!$B$5:$B$274,C238,'Bookings Detail'!$H$5:$H$274,D238)</f>
        <v/>
      </c>
      <c r="G238" s="195">
        <f>IFERROR(E238/F238,0)</f>
        <v/>
      </c>
      <c r="H238" s="147">
        <f>IF(G238&gt;=2.5,"Outlier — 2.5x+ rep's typical deal size for this type","")</f>
        <v/>
      </c>
    </row>
    <row r="239" ht="15" customHeight="1" s="107">
      <c r="B239" s="140">
        <f>'Bookings Detail'!A199</f>
        <v/>
      </c>
      <c r="C239" s="140">
        <f>'Bookings Detail'!B199</f>
        <v/>
      </c>
      <c r="D239" s="140">
        <f>'Bookings Detail'!H199</f>
        <v/>
      </c>
      <c r="E239" s="142">
        <f>'Bookings Detail'!K199</f>
        <v/>
      </c>
      <c r="F239" s="143">
        <f>AVERAGEIFS('Bookings Detail'!$K$5:$K$274,'Bookings Detail'!$B$5:$B$274,C239,'Bookings Detail'!$H$5:$H$274,D239)</f>
        <v/>
      </c>
      <c r="G239" s="194">
        <f>IFERROR(E239/F239,0)</f>
        <v/>
      </c>
      <c r="H239" s="141">
        <f>IF(G239&gt;=2.5,"Outlier — 2.5x+ rep's typical deal size for this type","")</f>
        <v/>
      </c>
    </row>
    <row r="240" ht="15" customHeight="1" s="107">
      <c r="B240" s="146">
        <f>'Bookings Detail'!A200</f>
        <v/>
      </c>
      <c r="C240" s="146">
        <f>'Bookings Detail'!B200</f>
        <v/>
      </c>
      <c r="D240" s="146">
        <f>'Bookings Detail'!H200</f>
        <v/>
      </c>
      <c r="E240" s="148">
        <f>'Bookings Detail'!K200</f>
        <v/>
      </c>
      <c r="F240" s="149">
        <f>AVERAGEIFS('Bookings Detail'!$K$5:$K$274,'Bookings Detail'!$B$5:$B$274,C240,'Bookings Detail'!$H$5:$H$274,D240)</f>
        <v/>
      </c>
      <c r="G240" s="195">
        <f>IFERROR(E240/F240,0)</f>
        <v/>
      </c>
      <c r="H240" s="147">
        <f>IF(G240&gt;=2.5,"Outlier — 2.5x+ rep's typical deal size for this type","")</f>
        <v/>
      </c>
    </row>
    <row r="241" ht="15" customHeight="1" s="107">
      <c r="B241" s="140">
        <f>'Bookings Detail'!A201</f>
        <v/>
      </c>
      <c r="C241" s="140">
        <f>'Bookings Detail'!B201</f>
        <v/>
      </c>
      <c r="D241" s="140">
        <f>'Bookings Detail'!H201</f>
        <v/>
      </c>
      <c r="E241" s="142">
        <f>'Bookings Detail'!K201</f>
        <v/>
      </c>
      <c r="F241" s="143">
        <f>AVERAGEIFS('Bookings Detail'!$K$5:$K$274,'Bookings Detail'!$B$5:$B$274,C241,'Bookings Detail'!$H$5:$H$274,D241)</f>
        <v/>
      </c>
      <c r="G241" s="194">
        <f>IFERROR(E241/F241,0)</f>
        <v/>
      </c>
      <c r="H241" s="141">
        <f>IF(G241&gt;=2.5,"Outlier — 2.5x+ rep's typical deal size for this type","")</f>
        <v/>
      </c>
    </row>
    <row r="242" ht="15" customHeight="1" s="107">
      <c r="B242" s="146">
        <f>'Bookings Detail'!A202</f>
        <v/>
      </c>
      <c r="C242" s="146">
        <f>'Bookings Detail'!B202</f>
        <v/>
      </c>
      <c r="D242" s="146">
        <f>'Bookings Detail'!H202</f>
        <v/>
      </c>
      <c r="E242" s="148">
        <f>'Bookings Detail'!K202</f>
        <v/>
      </c>
      <c r="F242" s="149">
        <f>AVERAGEIFS('Bookings Detail'!$K$5:$K$274,'Bookings Detail'!$B$5:$B$274,C242,'Bookings Detail'!$H$5:$H$274,D242)</f>
        <v/>
      </c>
      <c r="G242" s="195">
        <f>IFERROR(E242/F242,0)</f>
        <v/>
      </c>
      <c r="H242" s="147">
        <f>IF(G242&gt;=2.5,"Outlier — 2.5x+ rep's typical deal size for this type","")</f>
        <v/>
      </c>
    </row>
    <row r="243" ht="15" customHeight="1" s="107">
      <c r="B243" s="140">
        <f>'Bookings Detail'!A203</f>
        <v/>
      </c>
      <c r="C243" s="140">
        <f>'Bookings Detail'!B203</f>
        <v/>
      </c>
      <c r="D243" s="140">
        <f>'Bookings Detail'!H203</f>
        <v/>
      </c>
      <c r="E243" s="142">
        <f>'Bookings Detail'!K203</f>
        <v/>
      </c>
      <c r="F243" s="143">
        <f>AVERAGEIFS('Bookings Detail'!$K$5:$K$274,'Bookings Detail'!$B$5:$B$274,C243,'Bookings Detail'!$H$5:$H$274,D243)</f>
        <v/>
      </c>
      <c r="G243" s="194">
        <f>IFERROR(E243/F243,0)</f>
        <v/>
      </c>
      <c r="H243" s="141">
        <f>IF(G243&gt;=2.5,"Outlier — 2.5x+ rep's typical deal size for this type","")</f>
        <v/>
      </c>
    </row>
    <row r="244" ht="15" customHeight="1" s="107">
      <c r="B244" s="146">
        <f>'Bookings Detail'!A204</f>
        <v/>
      </c>
      <c r="C244" s="146">
        <f>'Bookings Detail'!B204</f>
        <v/>
      </c>
      <c r="D244" s="146">
        <f>'Bookings Detail'!H204</f>
        <v/>
      </c>
      <c r="E244" s="148">
        <f>'Bookings Detail'!K204</f>
        <v/>
      </c>
      <c r="F244" s="149">
        <f>AVERAGEIFS('Bookings Detail'!$K$5:$K$274,'Bookings Detail'!$B$5:$B$274,C244,'Bookings Detail'!$H$5:$H$274,D244)</f>
        <v/>
      </c>
      <c r="G244" s="195">
        <f>IFERROR(E244/F244,0)</f>
        <v/>
      </c>
      <c r="H244" s="147">
        <f>IF(G244&gt;=2.5,"Outlier — 2.5x+ rep's typical deal size for this type","")</f>
        <v/>
      </c>
    </row>
    <row r="245" ht="15" customHeight="1" s="107">
      <c r="B245" s="140">
        <f>'Bookings Detail'!A205</f>
        <v/>
      </c>
      <c r="C245" s="140">
        <f>'Bookings Detail'!B205</f>
        <v/>
      </c>
      <c r="D245" s="140">
        <f>'Bookings Detail'!H205</f>
        <v/>
      </c>
      <c r="E245" s="142">
        <f>'Bookings Detail'!K205</f>
        <v/>
      </c>
      <c r="F245" s="143">
        <f>AVERAGEIFS('Bookings Detail'!$K$5:$K$274,'Bookings Detail'!$B$5:$B$274,C245,'Bookings Detail'!$H$5:$H$274,D245)</f>
        <v/>
      </c>
      <c r="G245" s="194">
        <f>IFERROR(E245/F245,0)</f>
        <v/>
      </c>
      <c r="H245" s="141">
        <f>IF(G245&gt;=2.5,"Outlier — 2.5x+ rep's typical deal size for this type","")</f>
        <v/>
      </c>
    </row>
    <row r="246" ht="15" customHeight="1" s="107">
      <c r="B246" s="146">
        <f>'Bookings Detail'!A206</f>
        <v/>
      </c>
      <c r="C246" s="146">
        <f>'Bookings Detail'!B206</f>
        <v/>
      </c>
      <c r="D246" s="146">
        <f>'Bookings Detail'!H206</f>
        <v/>
      </c>
      <c r="E246" s="148">
        <f>'Bookings Detail'!K206</f>
        <v/>
      </c>
      <c r="F246" s="149">
        <f>AVERAGEIFS('Bookings Detail'!$K$5:$K$274,'Bookings Detail'!$B$5:$B$274,C246,'Bookings Detail'!$H$5:$H$274,D246)</f>
        <v/>
      </c>
      <c r="G246" s="195">
        <f>IFERROR(E246/F246,0)</f>
        <v/>
      </c>
      <c r="H246" s="147">
        <f>IF(G246&gt;=2.5,"Outlier — 2.5x+ rep's typical deal size for this type","")</f>
        <v/>
      </c>
    </row>
    <row r="247" ht="15" customHeight="1" s="107">
      <c r="B247" s="140">
        <f>'Bookings Detail'!A207</f>
        <v/>
      </c>
      <c r="C247" s="140">
        <f>'Bookings Detail'!B207</f>
        <v/>
      </c>
      <c r="D247" s="140">
        <f>'Bookings Detail'!H207</f>
        <v/>
      </c>
      <c r="E247" s="142">
        <f>'Bookings Detail'!K207</f>
        <v/>
      </c>
      <c r="F247" s="143">
        <f>AVERAGEIFS('Bookings Detail'!$K$5:$K$274,'Bookings Detail'!$B$5:$B$274,C247,'Bookings Detail'!$H$5:$H$274,D247)</f>
        <v/>
      </c>
      <c r="G247" s="194">
        <f>IFERROR(E247/F247,0)</f>
        <v/>
      </c>
      <c r="H247" s="141">
        <f>IF(G247&gt;=2.5,"Outlier — 2.5x+ rep's typical deal size for this type","")</f>
        <v/>
      </c>
    </row>
    <row r="248" ht="15" customHeight="1" s="107">
      <c r="B248" s="146">
        <f>'Bookings Detail'!A208</f>
        <v/>
      </c>
      <c r="C248" s="146">
        <f>'Bookings Detail'!B208</f>
        <v/>
      </c>
      <c r="D248" s="146">
        <f>'Bookings Detail'!H208</f>
        <v/>
      </c>
      <c r="E248" s="148">
        <f>'Bookings Detail'!K208</f>
        <v/>
      </c>
      <c r="F248" s="149">
        <f>AVERAGEIFS('Bookings Detail'!$K$5:$K$274,'Bookings Detail'!$B$5:$B$274,C248,'Bookings Detail'!$H$5:$H$274,D248)</f>
        <v/>
      </c>
      <c r="G248" s="195">
        <f>IFERROR(E248/F248,0)</f>
        <v/>
      </c>
      <c r="H248" s="147">
        <f>IF(G248&gt;=2.5,"Outlier — 2.5x+ rep's typical deal size for this type","")</f>
        <v/>
      </c>
    </row>
    <row r="249" ht="15" customHeight="1" s="107">
      <c r="B249" s="140">
        <f>'Bookings Detail'!A209</f>
        <v/>
      </c>
      <c r="C249" s="140">
        <f>'Bookings Detail'!B209</f>
        <v/>
      </c>
      <c r="D249" s="140">
        <f>'Bookings Detail'!H209</f>
        <v/>
      </c>
      <c r="E249" s="142">
        <f>'Bookings Detail'!K209</f>
        <v/>
      </c>
      <c r="F249" s="143">
        <f>AVERAGEIFS('Bookings Detail'!$K$5:$K$274,'Bookings Detail'!$B$5:$B$274,C249,'Bookings Detail'!$H$5:$H$274,D249)</f>
        <v/>
      </c>
      <c r="G249" s="194">
        <f>IFERROR(E249/F249,0)</f>
        <v/>
      </c>
      <c r="H249" s="141">
        <f>IF(G249&gt;=2.5,"Outlier — 2.5x+ rep's typical deal size for this type","")</f>
        <v/>
      </c>
    </row>
    <row r="250" ht="15" customHeight="1" s="107">
      <c r="B250" s="146">
        <f>'Bookings Detail'!A210</f>
        <v/>
      </c>
      <c r="C250" s="146">
        <f>'Bookings Detail'!B210</f>
        <v/>
      </c>
      <c r="D250" s="146">
        <f>'Bookings Detail'!H210</f>
        <v/>
      </c>
      <c r="E250" s="148">
        <f>'Bookings Detail'!K210</f>
        <v/>
      </c>
      <c r="F250" s="149">
        <f>AVERAGEIFS('Bookings Detail'!$K$5:$K$274,'Bookings Detail'!$B$5:$B$274,C250,'Bookings Detail'!$H$5:$H$274,D250)</f>
        <v/>
      </c>
      <c r="G250" s="195">
        <f>IFERROR(E250/F250,0)</f>
        <v/>
      </c>
      <c r="H250" s="147">
        <f>IF(G250&gt;=2.5,"Outlier — 2.5x+ rep's typical deal size for this type","")</f>
        <v/>
      </c>
    </row>
    <row r="251" ht="15" customHeight="1" s="107">
      <c r="B251" s="140">
        <f>'Bookings Detail'!A211</f>
        <v/>
      </c>
      <c r="C251" s="140">
        <f>'Bookings Detail'!B211</f>
        <v/>
      </c>
      <c r="D251" s="140">
        <f>'Bookings Detail'!H211</f>
        <v/>
      </c>
      <c r="E251" s="142">
        <f>'Bookings Detail'!K211</f>
        <v/>
      </c>
      <c r="F251" s="143">
        <f>AVERAGEIFS('Bookings Detail'!$K$5:$K$274,'Bookings Detail'!$B$5:$B$274,C251,'Bookings Detail'!$H$5:$H$274,D251)</f>
        <v/>
      </c>
      <c r="G251" s="194">
        <f>IFERROR(E251/F251,0)</f>
        <v/>
      </c>
      <c r="H251" s="141">
        <f>IF(G251&gt;=2.5,"Outlier — 2.5x+ rep's typical deal size for this type","")</f>
        <v/>
      </c>
    </row>
    <row r="252" ht="15" customHeight="1" s="107">
      <c r="B252" s="146">
        <f>'Bookings Detail'!A212</f>
        <v/>
      </c>
      <c r="C252" s="146">
        <f>'Bookings Detail'!B212</f>
        <v/>
      </c>
      <c r="D252" s="146">
        <f>'Bookings Detail'!H212</f>
        <v/>
      </c>
      <c r="E252" s="148">
        <f>'Bookings Detail'!K212</f>
        <v/>
      </c>
      <c r="F252" s="149">
        <f>AVERAGEIFS('Bookings Detail'!$K$5:$K$274,'Bookings Detail'!$B$5:$B$274,C252,'Bookings Detail'!$H$5:$H$274,D252)</f>
        <v/>
      </c>
      <c r="G252" s="195">
        <f>IFERROR(E252/F252,0)</f>
        <v/>
      </c>
      <c r="H252" s="147">
        <f>IF(G252&gt;=2.5,"Outlier — 2.5x+ rep's typical deal size for this type","")</f>
        <v/>
      </c>
    </row>
    <row r="253" ht="15" customHeight="1" s="107">
      <c r="B253" s="140">
        <f>'Bookings Detail'!A213</f>
        <v/>
      </c>
      <c r="C253" s="140">
        <f>'Bookings Detail'!B213</f>
        <v/>
      </c>
      <c r="D253" s="140">
        <f>'Bookings Detail'!H213</f>
        <v/>
      </c>
      <c r="E253" s="142">
        <f>'Bookings Detail'!K213</f>
        <v/>
      </c>
      <c r="F253" s="143">
        <f>AVERAGEIFS('Bookings Detail'!$K$5:$K$274,'Bookings Detail'!$B$5:$B$274,C253,'Bookings Detail'!$H$5:$H$274,D253)</f>
        <v/>
      </c>
      <c r="G253" s="194">
        <f>IFERROR(E253/F253,0)</f>
        <v/>
      </c>
      <c r="H253" s="141">
        <f>IF(G253&gt;=2.5,"Outlier — 2.5x+ rep's typical deal size for this type","")</f>
        <v/>
      </c>
    </row>
    <row r="254" ht="15" customHeight="1" s="107">
      <c r="B254" s="146">
        <f>'Bookings Detail'!A214</f>
        <v/>
      </c>
      <c r="C254" s="146">
        <f>'Bookings Detail'!B214</f>
        <v/>
      </c>
      <c r="D254" s="146">
        <f>'Bookings Detail'!H214</f>
        <v/>
      </c>
      <c r="E254" s="148">
        <f>'Bookings Detail'!K214</f>
        <v/>
      </c>
      <c r="F254" s="149">
        <f>AVERAGEIFS('Bookings Detail'!$K$5:$K$274,'Bookings Detail'!$B$5:$B$274,C254,'Bookings Detail'!$H$5:$H$274,D254)</f>
        <v/>
      </c>
      <c r="G254" s="195">
        <f>IFERROR(E254/F254,0)</f>
        <v/>
      </c>
      <c r="H254" s="147">
        <f>IF(G254&gt;=2.5,"Outlier — 2.5x+ rep's typical deal size for this type","")</f>
        <v/>
      </c>
    </row>
    <row r="255" ht="15" customHeight="1" s="107">
      <c r="B255" s="140">
        <f>'Bookings Detail'!A215</f>
        <v/>
      </c>
      <c r="C255" s="140">
        <f>'Bookings Detail'!B215</f>
        <v/>
      </c>
      <c r="D255" s="140">
        <f>'Bookings Detail'!H215</f>
        <v/>
      </c>
      <c r="E255" s="142">
        <f>'Bookings Detail'!K215</f>
        <v/>
      </c>
      <c r="F255" s="143">
        <f>AVERAGEIFS('Bookings Detail'!$K$5:$K$274,'Bookings Detail'!$B$5:$B$274,C255,'Bookings Detail'!$H$5:$H$274,D255)</f>
        <v/>
      </c>
      <c r="G255" s="194">
        <f>IFERROR(E255/F255,0)</f>
        <v/>
      </c>
      <c r="H255" s="141">
        <f>IF(G255&gt;=2.5,"Outlier — 2.5x+ rep's typical deal size for this type","")</f>
        <v/>
      </c>
    </row>
    <row r="256" ht="15" customHeight="1" s="107">
      <c r="B256" s="146">
        <f>'Bookings Detail'!A216</f>
        <v/>
      </c>
      <c r="C256" s="146">
        <f>'Bookings Detail'!B216</f>
        <v/>
      </c>
      <c r="D256" s="146">
        <f>'Bookings Detail'!H216</f>
        <v/>
      </c>
      <c r="E256" s="148">
        <f>'Bookings Detail'!K216</f>
        <v/>
      </c>
      <c r="F256" s="149">
        <f>AVERAGEIFS('Bookings Detail'!$K$5:$K$274,'Bookings Detail'!$B$5:$B$274,C256,'Bookings Detail'!$H$5:$H$274,D256)</f>
        <v/>
      </c>
      <c r="G256" s="195">
        <f>IFERROR(E256/F256,0)</f>
        <v/>
      </c>
      <c r="H256" s="147">
        <f>IF(G256&gt;=2.5,"Outlier — 2.5x+ rep's typical deal size for this type","")</f>
        <v/>
      </c>
    </row>
    <row r="257" ht="15" customHeight="1" s="107">
      <c r="B257" s="140">
        <f>'Bookings Detail'!A217</f>
        <v/>
      </c>
      <c r="C257" s="140">
        <f>'Bookings Detail'!B217</f>
        <v/>
      </c>
      <c r="D257" s="140">
        <f>'Bookings Detail'!H217</f>
        <v/>
      </c>
      <c r="E257" s="142">
        <f>'Bookings Detail'!K217</f>
        <v/>
      </c>
      <c r="F257" s="143">
        <f>AVERAGEIFS('Bookings Detail'!$K$5:$K$274,'Bookings Detail'!$B$5:$B$274,C257,'Bookings Detail'!$H$5:$H$274,D257)</f>
        <v/>
      </c>
      <c r="G257" s="194">
        <f>IFERROR(E257/F257,0)</f>
        <v/>
      </c>
      <c r="H257" s="141">
        <f>IF(G257&gt;=2.5,"Outlier — 2.5x+ rep's typical deal size for this type","")</f>
        <v/>
      </c>
    </row>
    <row r="258" ht="15" customHeight="1" s="107">
      <c r="B258" s="146">
        <f>'Bookings Detail'!A218</f>
        <v/>
      </c>
      <c r="C258" s="146">
        <f>'Bookings Detail'!B218</f>
        <v/>
      </c>
      <c r="D258" s="146">
        <f>'Bookings Detail'!H218</f>
        <v/>
      </c>
      <c r="E258" s="148">
        <f>'Bookings Detail'!K218</f>
        <v/>
      </c>
      <c r="F258" s="149">
        <f>AVERAGEIFS('Bookings Detail'!$K$5:$K$274,'Bookings Detail'!$B$5:$B$274,C258,'Bookings Detail'!$H$5:$H$274,D258)</f>
        <v/>
      </c>
      <c r="G258" s="195">
        <f>IFERROR(E258/F258,0)</f>
        <v/>
      </c>
      <c r="H258" s="147">
        <f>IF(G258&gt;=2.5,"Outlier — 2.5x+ rep's typical deal size for this type","")</f>
        <v/>
      </c>
    </row>
    <row r="259" ht="15" customHeight="1" s="107">
      <c r="B259" s="140">
        <f>'Bookings Detail'!A219</f>
        <v/>
      </c>
      <c r="C259" s="140">
        <f>'Bookings Detail'!B219</f>
        <v/>
      </c>
      <c r="D259" s="140">
        <f>'Bookings Detail'!H219</f>
        <v/>
      </c>
      <c r="E259" s="142">
        <f>'Bookings Detail'!K219</f>
        <v/>
      </c>
      <c r="F259" s="143">
        <f>AVERAGEIFS('Bookings Detail'!$K$5:$K$274,'Bookings Detail'!$B$5:$B$274,C259,'Bookings Detail'!$H$5:$H$274,D259)</f>
        <v/>
      </c>
      <c r="G259" s="194">
        <f>IFERROR(E259/F259,0)</f>
        <v/>
      </c>
      <c r="H259" s="141">
        <f>IF(G259&gt;=2.5,"Outlier — 2.5x+ rep's typical deal size for this type","")</f>
        <v/>
      </c>
    </row>
    <row r="260" ht="15" customHeight="1" s="107">
      <c r="B260" s="146">
        <f>'Bookings Detail'!A220</f>
        <v/>
      </c>
      <c r="C260" s="146">
        <f>'Bookings Detail'!B220</f>
        <v/>
      </c>
      <c r="D260" s="146">
        <f>'Bookings Detail'!H220</f>
        <v/>
      </c>
      <c r="E260" s="148">
        <f>'Bookings Detail'!K220</f>
        <v/>
      </c>
      <c r="F260" s="149">
        <f>AVERAGEIFS('Bookings Detail'!$K$5:$K$274,'Bookings Detail'!$B$5:$B$274,C260,'Bookings Detail'!$H$5:$H$274,D260)</f>
        <v/>
      </c>
      <c r="G260" s="195">
        <f>IFERROR(E260/F260,0)</f>
        <v/>
      </c>
      <c r="H260" s="147">
        <f>IF(G260&gt;=2.5,"Outlier — 2.5x+ rep's typical deal size for this type","")</f>
        <v/>
      </c>
    </row>
    <row r="261" ht="15" customHeight="1" s="107">
      <c r="B261" s="140">
        <f>'Bookings Detail'!A221</f>
        <v/>
      </c>
      <c r="C261" s="140">
        <f>'Bookings Detail'!B221</f>
        <v/>
      </c>
      <c r="D261" s="140">
        <f>'Bookings Detail'!H221</f>
        <v/>
      </c>
      <c r="E261" s="142">
        <f>'Bookings Detail'!K221</f>
        <v/>
      </c>
      <c r="F261" s="143">
        <f>AVERAGEIFS('Bookings Detail'!$K$5:$K$274,'Bookings Detail'!$B$5:$B$274,C261,'Bookings Detail'!$H$5:$H$274,D261)</f>
        <v/>
      </c>
      <c r="G261" s="194">
        <f>IFERROR(E261/F261,0)</f>
        <v/>
      </c>
      <c r="H261" s="141">
        <f>IF(G261&gt;=2.5,"Outlier — 2.5x+ rep's typical deal size for this type","")</f>
        <v/>
      </c>
    </row>
    <row r="262" ht="15" customHeight="1" s="107">
      <c r="B262" s="146">
        <f>'Bookings Detail'!A222</f>
        <v/>
      </c>
      <c r="C262" s="146">
        <f>'Bookings Detail'!B222</f>
        <v/>
      </c>
      <c r="D262" s="146">
        <f>'Bookings Detail'!H222</f>
        <v/>
      </c>
      <c r="E262" s="148">
        <f>'Bookings Detail'!K222</f>
        <v/>
      </c>
      <c r="F262" s="149">
        <f>AVERAGEIFS('Bookings Detail'!$K$5:$K$274,'Bookings Detail'!$B$5:$B$274,C262,'Bookings Detail'!$H$5:$H$274,D262)</f>
        <v/>
      </c>
      <c r="G262" s="195">
        <f>IFERROR(E262/F262,0)</f>
        <v/>
      </c>
      <c r="H262" s="147">
        <f>IF(G262&gt;=2.5,"Outlier — 2.5x+ rep's typical deal size for this type","")</f>
        <v/>
      </c>
    </row>
    <row r="263" ht="15" customHeight="1" s="107">
      <c r="B263" s="140">
        <f>'Bookings Detail'!A223</f>
        <v/>
      </c>
      <c r="C263" s="140">
        <f>'Bookings Detail'!B223</f>
        <v/>
      </c>
      <c r="D263" s="140">
        <f>'Bookings Detail'!H223</f>
        <v/>
      </c>
      <c r="E263" s="142">
        <f>'Bookings Detail'!K223</f>
        <v/>
      </c>
      <c r="F263" s="143">
        <f>AVERAGEIFS('Bookings Detail'!$K$5:$K$274,'Bookings Detail'!$B$5:$B$274,C263,'Bookings Detail'!$H$5:$H$274,D263)</f>
        <v/>
      </c>
      <c r="G263" s="194">
        <f>IFERROR(E263/F263,0)</f>
        <v/>
      </c>
      <c r="H263" s="141">
        <f>IF(G263&gt;=2.5,"Outlier — 2.5x+ rep's typical deal size for this type","")</f>
        <v/>
      </c>
    </row>
    <row r="264" ht="15" customHeight="1" s="107">
      <c r="B264" s="146">
        <f>'Bookings Detail'!A224</f>
        <v/>
      </c>
      <c r="C264" s="146">
        <f>'Bookings Detail'!B224</f>
        <v/>
      </c>
      <c r="D264" s="146">
        <f>'Bookings Detail'!H224</f>
        <v/>
      </c>
      <c r="E264" s="148">
        <f>'Bookings Detail'!K224</f>
        <v/>
      </c>
      <c r="F264" s="149">
        <f>AVERAGEIFS('Bookings Detail'!$K$5:$K$274,'Bookings Detail'!$B$5:$B$274,C264,'Bookings Detail'!$H$5:$H$274,D264)</f>
        <v/>
      </c>
      <c r="G264" s="195">
        <f>IFERROR(E264/F264,0)</f>
        <v/>
      </c>
      <c r="H264" s="147">
        <f>IF(G264&gt;=2.5,"Outlier — 2.5x+ rep's typical deal size for this type","")</f>
        <v/>
      </c>
    </row>
    <row r="265" ht="15" customHeight="1" s="107">
      <c r="B265" s="140">
        <f>'Bookings Detail'!A225</f>
        <v/>
      </c>
      <c r="C265" s="140">
        <f>'Bookings Detail'!B225</f>
        <v/>
      </c>
      <c r="D265" s="140">
        <f>'Bookings Detail'!H225</f>
        <v/>
      </c>
      <c r="E265" s="142">
        <f>'Bookings Detail'!K225</f>
        <v/>
      </c>
      <c r="F265" s="143">
        <f>AVERAGEIFS('Bookings Detail'!$K$5:$K$274,'Bookings Detail'!$B$5:$B$274,C265,'Bookings Detail'!$H$5:$H$274,D265)</f>
        <v/>
      </c>
      <c r="G265" s="194">
        <f>IFERROR(E265/F265,0)</f>
        <v/>
      </c>
      <c r="H265" s="141">
        <f>IF(G265&gt;=2.5,"Outlier — 2.5x+ rep's typical deal size for this type","")</f>
        <v/>
      </c>
    </row>
    <row r="266" ht="15" customHeight="1" s="107">
      <c r="B266" s="146">
        <f>'Bookings Detail'!A226</f>
        <v/>
      </c>
      <c r="C266" s="146">
        <f>'Bookings Detail'!B226</f>
        <v/>
      </c>
      <c r="D266" s="146">
        <f>'Bookings Detail'!H226</f>
        <v/>
      </c>
      <c r="E266" s="148">
        <f>'Bookings Detail'!K226</f>
        <v/>
      </c>
      <c r="F266" s="149">
        <f>AVERAGEIFS('Bookings Detail'!$K$5:$K$274,'Bookings Detail'!$B$5:$B$274,C266,'Bookings Detail'!$H$5:$H$274,D266)</f>
        <v/>
      </c>
      <c r="G266" s="195">
        <f>IFERROR(E266/F266,0)</f>
        <v/>
      </c>
      <c r="H266" s="147">
        <f>IF(G266&gt;=2.5,"Outlier — 2.5x+ rep's typical deal size for this type","")</f>
        <v/>
      </c>
    </row>
    <row r="267" ht="15" customHeight="1" s="107">
      <c r="B267" s="140">
        <f>'Bookings Detail'!A227</f>
        <v/>
      </c>
      <c r="C267" s="140">
        <f>'Bookings Detail'!B227</f>
        <v/>
      </c>
      <c r="D267" s="140">
        <f>'Bookings Detail'!H227</f>
        <v/>
      </c>
      <c r="E267" s="142">
        <f>'Bookings Detail'!K227</f>
        <v/>
      </c>
      <c r="F267" s="143">
        <f>AVERAGEIFS('Bookings Detail'!$K$5:$K$274,'Bookings Detail'!$B$5:$B$274,C267,'Bookings Detail'!$H$5:$H$274,D267)</f>
        <v/>
      </c>
      <c r="G267" s="194">
        <f>IFERROR(E267/F267,0)</f>
        <v/>
      </c>
      <c r="H267" s="141">
        <f>IF(G267&gt;=2.5,"Outlier — 2.5x+ rep's typical deal size for this type","")</f>
        <v/>
      </c>
    </row>
    <row r="268" ht="15" customHeight="1" s="107">
      <c r="B268" s="146">
        <f>'Bookings Detail'!A228</f>
        <v/>
      </c>
      <c r="C268" s="146">
        <f>'Bookings Detail'!B228</f>
        <v/>
      </c>
      <c r="D268" s="146">
        <f>'Bookings Detail'!H228</f>
        <v/>
      </c>
      <c r="E268" s="148">
        <f>'Bookings Detail'!K228</f>
        <v/>
      </c>
      <c r="F268" s="149">
        <f>AVERAGEIFS('Bookings Detail'!$K$5:$K$274,'Bookings Detail'!$B$5:$B$274,C268,'Bookings Detail'!$H$5:$H$274,D268)</f>
        <v/>
      </c>
      <c r="G268" s="195">
        <f>IFERROR(E268/F268,0)</f>
        <v/>
      </c>
      <c r="H268" s="147">
        <f>IF(G268&gt;=2.5,"Outlier — 2.5x+ rep's typical deal size for this type","")</f>
        <v/>
      </c>
    </row>
    <row r="269" ht="15" customHeight="1" s="107">
      <c r="B269" s="140">
        <f>'Bookings Detail'!A229</f>
        <v/>
      </c>
      <c r="C269" s="140">
        <f>'Bookings Detail'!B229</f>
        <v/>
      </c>
      <c r="D269" s="140">
        <f>'Bookings Detail'!H229</f>
        <v/>
      </c>
      <c r="E269" s="142">
        <f>'Bookings Detail'!K229</f>
        <v/>
      </c>
      <c r="F269" s="143">
        <f>AVERAGEIFS('Bookings Detail'!$K$5:$K$274,'Bookings Detail'!$B$5:$B$274,C269,'Bookings Detail'!$H$5:$H$274,D269)</f>
        <v/>
      </c>
      <c r="G269" s="194">
        <f>IFERROR(E269/F269,0)</f>
        <v/>
      </c>
      <c r="H269" s="141">
        <f>IF(G269&gt;=2.5,"Outlier — 2.5x+ rep's typical deal size for this type","")</f>
        <v/>
      </c>
    </row>
    <row r="270" ht="15" customHeight="1" s="107">
      <c r="B270" s="146">
        <f>'Bookings Detail'!A230</f>
        <v/>
      </c>
      <c r="C270" s="146">
        <f>'Bookings Detail'!B230</f>
        <v/>
      </c>
      <c r="D270" s="146">
        <f>'Bookings Detail'!H230</f>
        <v/>
      </c>
      <c r="E270" s="148">
        <f>'Bookings Detail'!K230</f>
        <v/>
      </c>
      <c r="F270" s="149">
        <f>AVERAGEIFS('Bookings Detail'!$K$5:$K$274,'Bookings Detail'!$B$5:$B$274,C270,'Bookings Detail'!$H$5:$H$274,D270)</f>
        <v/>
      </c>
      <c r="G270" s="195">
        <f>IFERROR(E270/F270,0)</f>
        <v/>
      </c>
      <c r="H270" s="147">
        <f>IF(G270&gt;=2.5,"Outlier — 2.5x+ rep's typical deal size for this type","")</f>
        <v/>
      </c>
    </row>
    <row r="271" ht="15" customHeight="1" s="107">
      <c r="B271" s="140">
        <f>'Bookings Detail'!A231</f>
        <v/>
      </c>
      <c r="C271" s="140">
        <f>'Bookings Detail'!B231</f>
        <v/>
      </c>
      <c r="D271" s="140">
        <f>'Bookings Detail'!H231</f>
        <v/>
      </c>
      <c r="E271" s="142">
        <f>'Bookings Detail'!K231</f>
        <v/>
      </c>
      <c r="F271" s="143">
        <f>AVERAGEIFS('Bookings Detail'!$K$5:$K$274,'Bookings Detail'!$B$5:$B$274,C271,'Bookings Detail'!$H$5:$H$274,D271)</f>
        <v/>
      </c>
      <c r="G271" s="194">
        <f>IFERROR(E271/F271,0)</f>
        <v/>
      </c>
      <c r="H271" s="141">
        <f>IF(G271&gt;=2.5,"Outlier — 2.5x+ rep's typical deal size for this type","")</f>
        <v/>
      </c>
    </row>
    <row r="272" ht="15" customHeight="1" s="107">
      <c r="B272" s="146">
        <f>'Bookings Detail'!A232</f>
        <v/>
      </c>
      <c r="C272" s="146">
        <f>'Bookings Detail'!B232</f>
        <v/>
      </c>
      <c r="D272" s="146">
        <f>'Bookings Detail'!H232</f>
        <v/>
      </c>
      <c r="E272" s="148">
        <f>'Bookings Detail'!K232</f>
        <v/>
      </c>
      <c r="F272" s="149">
        <f>AVERAGEIFS('Bookings Detail'!$K$5:$K$274,'Bookings Detail'!$B$5:$B$274,C272,'Bookings Detail'!$H$5:$H$274,D272)</f>
        <v/>
      </c>
      <c r="G272" s="195">
        <f>IFERROR(E272/F272,0)</f>
        <v/>
      </c>
      <c r="H272" s="147">
        <f>IF(G272&gt;=2.5,"Outlier — 2.5x+ rep's typical deal size for this type","")</f>
        <v/>
      </c>
    </row>
    <row r="273" ht="15" customHeight="1" s="107">
      <c r="B273" s="140">
        <f>'Bookings Detail'!A233</f>
        <v/>
      </c>
      <c r="C273" s="140">
        <f>'Bookings Detail'!B233</f>
        <v/>
      </c>
      <c r="D273" s="140">
        <f>'Bookings Detail'!H233</f>
        <v/>
      </c>
      <c r="E273" s="142">
        <f>'Bookings Detail'!K233</f>
        <v/>
      </c>
      <c r="F273" s="143">
        <f>AVERAGEIFS('Bookings Detail'!$K$5:$K$274,'Bookings Detail'!$B$5:$B$274,C273,'Bookings Detail'!$H$5:$H$274,D273)</f>
        <v/>
      </c>
      <c r="G273" s="194">
        <f>IFERROR(E273/F273,0)</f>
        <v/>
      </c>
      <c r="H273" s="141">
        <f>IF(G273&gt;=2.5,"Outlier — 2.5x+ rep's typical deal size for this type","")</f>
        <v/>
      </c>
    </row>
    <row r="274" ht="15" customHeight="1" s="107">
      <c r="B274" s="146">
        <f>'Bookings Detail'!A234</f>
        <v/>
      </c>
      <c r="C274" s="146">
        <f>'Bookings Detail'!B234</f>
        <v/>
      </c>
      <c r="D274" s="146">
        <f>'Bookings Detail'!H234</f>
        <v/>
      </c>
      <c r="E274" s="148">
        <f>'Bookings Detail'!K234</f>
        <v/>
      </c>
      <c r="F274" s="149">
        <f>AVERAGEIFS('Bookings Detail'!$K$5:$K$274,'Bookings Detail'!$B$5:$B$274,C274,'Bookings Detail'!$H$5:$H$274,D274)</f>
        <v/>
      </c>
      <c r="G274" s="195">
        <f>IFERROR(E274/F274,0)</f>
        <v/>
      </c>
      <c r="H274" s="147">
        <f>IF(G274&gt;=2.5,"Outlier — 2.5x+ rep's typical deal size for this type","")</f>
        <v/>
      </c>
    </row>
    <row r="275" ht="15" customHeight="1" s="107">
      <c r="B275" s="140">
        <f>'Bookings Detail'!A235</f>
        <v/>
      </c>
      <c r="C275" s="140">
        <f>'Bookings Detail'!B235</f>
        <v/>
      </c>
      <c r="D275" s="140">
        <f>'Bookings Detail'!H235</f>
        <v/>
      </c>
      <c r="E275" s="142">
        <f>'Bookings Detail'!K235</f>
        <v/>
      </c>
      <c r="F275" s="143">
        <f>AVERAGEIFS('Bookings Detail'!$K$5:$K$274,'Bookings Detail'!$B$5:$B$274,C275,'Bookings Detail'!$H$5:$H$274,D275)</f>
        <v/>
      </c>
      <c r="G275" s="194">
        <f>IFERROR(E275/F275,0)</f>
        <v/>
      </c>
      <c r="H275" s="141">
        <f>IF(G275&gt;=2.5,"Outlier — 2.5x+ rep's typical deal size for this type","")</f>
        <v/>
      </c>
    </row>
    <row r="276" ht="15" customHeight="1" s="107">
      <c r="B276" s="146">
        <f>'Bookings Detail'!A236</f>
        <v/>
      </c>
      <c r="C276" s="146">
        <f>'Bookings Detail'!B236</f>
        <v/>
      </c>
      <c r="D276" s="146">
        <f>'Bookings Detail'!H236</f>
        <v/>
      </c>
      <c r="E276" s="148">
        <f>'Bookings Detail'!K236</f>
        <v/>
      </c>
      <c r="F276" s="149">
        <f>AVERAGEIFS('Bookings Detail'!$K$5:$K$274,'Bookings Detail'!$B$5:$B$274,C276,'Bookings Detail'!$H$5:$H$274,D276)</f>
        <v/>
      </c>
      <c r="G276" s="195">
        <f>IFERROR(E276/F276,0)</f>
        <v/>
      </c>
      <c r="H276" s="147">
        <f>IF(G276&gt;=2.5,"Outlier — 2.5x+ rep's typical deal size for this type","")</f>
        <v/>
      </c>
    </row>
    <row r="277" ht="15" customHeight="1" s="107">
      <c r="B277" s="140">
        <f>'Bookings Detail'!A237</f>
        <v/>
      </c>
      <c r="C277" s="140">
        <f>'Bookings Detail'!B237</f>
        <v/>
      </c>
      <c r="D277" s="140">
        <f>'Bookings Detail'!H237</f>
        <v/>
      </c>
      <c r="E277" s="142">
        <f>'Bookings Detail'!K237</f>
        <v/>
      </c>
      <c r="F277" s="143">
        <f>AVERAGEIFS('Bookings Detail'!$K$5:$K$274,'Bookings Detail'!$B$5:$B$274,C277,'Bookings Detail'!$H$5:$H$274,D277)</f>
        <v/>
      </c>
      <c r="G277" s="194">
        <f>IFERROR(E277/F277,0)</f>
        <v/>
      </c>
      <c r="H277" s="141">
        <f>IF(G277&gt;=2.5,"Outlier — 2.5x+ rep's typical deal size for this type","")</f>
        <v/>
      </c>
    </row>
    <row r="278" ht="15" customHeight="1" s="107">
      <c r="B278" s="146">
        <f>'Bookings Detail'!A238</f>
        <v/>
      </c>
      <c r="C278" s="146">
        <f>'Bookings Detail'!B238</f>
        <v/>
      </c>
      <c r="D278" s="146">
        <f>'Bookings Detail'!H238</f>
        <v/>
      </c>
      <c r="E278" s="148">
        <f>'Bookings Detail'!K238</f>
        <v/>
      </c>
      <c r="F278" s="149">
        <f>AVERAGEIFS('Bookings Detail'!$K$5:$K$274,'Bookings Detail'!$B$5:$B$274,C278,'Bookings Detail'!$H$5:$H$274,D278)</f>
        <v/>
      </c>
      <c r="G278" s="195">
        <f>IFERROR(E278/F278,0)</f>
        <v/>
      </c>
      <c r="H278" s="147">
        <f>IF(G278&gt;=2.5,"Outlier — 2.5x+ rep's typical deal size for this type","")</f>
        <v/>
      </c>
    </row>
    <row r="279" ht="15" customHeight="1" s="107">
      <c r="B279" s="140">
        <f>'Bookings Detail'!A239</f>
        <v/>
      </c>
      <c r="C279" s="140">
        <f>'Bookings Detail'!B239</f>
        <v/>
      </c>
      <c r="D279" s="140">
        <f>'Bookings Detail'!H239</f>
        <v/>
      </c>
      <c r="E279" s="142">
        <f>'Bookings Detail'!K239</f>
        <v/>
      </c>
      <c r="F279" s="143">
        <f>AVERAGEIFS('Bookings Detail'!$K$5:$K$274,'Bookings Detail'!$B$5:$B$274,C279,'Bookings Detail'!$H$5:$H$274,D279)</f>
        <v/>
      </c>
      <c r="G279" s="194">
        <f>IFERROR(E279/F279,0)</f>
        <v/>
      </c>
      <c r="H279" s="141">
        <f>IF(G279&gt;=2.5,"Outlier — 2.5x+ rep's typical deal size for this type","")</f>
        <v/>
      </c>
    </row>
    <row r="280" ht="15" customHeight="1" s="107">
      <c r="B280" s="146">
        <f>'Bookings Detail'!A240</f>
        <v/>
      </c>
      <c r="C280" s="146">
        <f>'Bookings Detail'!B240</f>
        <v/>
      </c>
      <c r="D280" s="146">
        <f>'Bookings Detail'!H240</f>
        <v/>
      </c>
      <c r="E280" s="148">
        <f>'Bookings Detail'!K240</f>
        <v/>
      </c>
      <c r="F280" s="149">
        <f>AVERAGEIFS('Bookings Detail'!$K$5:$K$274,'Bookings Detail'!$B$5:$B$274,C280,'Bookings Detail'!$H$5:$H$274,D280)</f>
        <v/>
      </c>
      <c r="G280" s="195">
        <f>IFERROR(E280/F280,0)</f>
        <v/>
      </c>
      <c r="H280" s="147">
        <f>IF(G280&gt;=2.5,"Outlier — 2.5x+ rep's typical deal size for this type","")</f>
        <v/>
      </c>
    </row>
    <row r="281" ht="15" customHeight="1" s="107">
      <c r="B281" s="140">
        <f>'Bookings Detail'!A241</f>
        <v/>
      </c>
      <c r="C281" s="140">
        <f>'Bookings Detail'!B241</f>
        <v/>
      </c>
      <c r="D281" s="140">
        <f>'Bookings Detail'!H241</f>
        <v/>
      </c>
      <c r="E281" s="142">
        <f>'Bookings Detail'!K241</f>
        <v/>
      </c>
      <c r="F281" s="143">
        <f>AVERAGEIFS('Bookings Detail'!$K$5:$K$274,'Bookings Detail'!$B$5:$B$274,C281,'Bookings Detail'!$H$5:$H$274,D281)</f>
        <v/>
      </c>
      <c r="G281" s="194">
        <f>IFERROR(E281/F281,0)</f>
        <v/>
      </c>
      <c r="H281" s="141">
        <f>IF(G281&gt;=2.5,"Outlier — 2.5x+ rep's typical deal size for this type","")</f>
        <v/>
      </c>
    </row>
    <row r="282" ht="15" customHeight="1" s="107">
      <c r="B282" s="146">
        <f>'Bookings Detail'!A242</f>
        <v/>
      </c>
      <c r="C282" s="146">
        <f>'Bookings Detail'!B242</f>
        <v/>
      </c>
      <c r="D282" s="146">
        <f>'Bookings Detail'!H242</f>
        <v/>
      </c>
      <c r="E282" s="148">
        <f>'Bookings Detail'!K242</f>
        <v/>
      </c>
      <c r="F282" s="149">
        <f>AVERAGEIFS('Bookings Detail'!$K$5:$K$274,'Bookings Detail'!$B$5:$B$274,C282,'Bookings Detail'!$H$5:$H$274,D282)</f>
        <v/>
      </c>
      <c r="G282" s="195">
        <f>IFERROR(E282/F282,0)</f>
        <v/>
      </c>
      <c r="H282" s="147">
        <f>IF(G282&gt;=2.5,"Outlier — 2.5x+ rep's typical deal size for this type","")</f>
        <v/>
      </c>
    </row>
    <row r="283" ht="15" customHeight="1" s="107">
      <c r="B283" s="140">
        <f>'Bookings Detail'!A243</f>
        <v/>
      </c>
      <c r="C283" s="140">
        <f>'Bookings Detail'!B243</f>
        <v/>
      </c>
      <c r="D283" s="140">
        <f>'Bookings Detail'!H243</f>
        <v/>
      </c>
      <c r="E283" s="142">
        <f>'Bookings Detail'!K243</f>
        <v/>
      </c>
      <c r="F283" s="143">
        <f>AVERAGEIFS('Bookings Detail'!$K$5:$K$274,'Bookings Detail'!$B$5:$B$274,C283,'Bookings Detail'!$H$5:$H$274,D283)</f>
        <v/>
      </c>
      <c r="G283" s="194">
        <f>IFERROR(E283/F283,0)</f>
        <v/>
      </c>
      <c r="H283" s="141">
        <f>IF(G283&gt;=2.5,"Outlier — 2.5x+ rep's typical deal size for this type","")</f>
        <v/>
      </c>
    </row>
    <row r="284" ht="15" customHeight="1" s="107">
      <c r="B284" s="146">
        <f>'Bookings Detail'!A244</f>
        <v/>
      </c>
      <c r="C284" s="146">
        <f>'Bookings Detail'!B244</f>
        <v/>
      </c>
      <c r="D284" s="146">
        <f>'Bookings Detail'!H244</f>
        <v/>
      </c>
      <c r="E284" s="148">
        <f>'Bookings Detail'!K244</f>
        <v/>
      </c>
      <c r="F284" s="149">
        <f>AVERAGEIFS('Bookings Detail'!$K$5:$K$274,'Bookings Detail'!$B$5:$B$274,C284,'Bookings Detail'!$H$5:$H$274,D284)</f>
        <v/>
      </c>
      <c r="G284" s="195">
        <f>IFERROR(E284/F284,0)</f>
        <v/>
      </c>
      <c r="H284" s="147">
        <f>IF(G284&gt;=2.5,"Outlier — 2.5x+ rep's typical deal size for this type","")</f>
        <v/>
      </c>
    </row>
    <row r="285" ht="15" customHeight="1" s="107">
      <c r="B285" s="140">
        <f>'Bookings Detail'!A245</f>
        <v/>
      </c>
      <c r="C285" s="140">
        <f>'Bookings Detail'!B245</f>
        <v/>
      </c>
      <c r="D285" s="140">
        <f>'Bookings Detail'!H245</f>
        <v/>
      </c>
      <c r="E285" s="142">
        <f>'Bookings Detail'!K245</f>
        <v/>
      </c>
      <c r="F285" s="143">
        <f>AVERAGEIFS('Bookings Detail'!$K$5:$K$274,'Bookings Detail'!$B$5:$B$274,C285,'Bookings Detail'!$H$5:$H$274,D285)</f>
        <v/>
      </c>
      <c r="G285" s="194">
        <f>IFERROR(E285/F285,0)</f>
        <v/>
      </c>
      <c r="H285" s="141">
        <f>IF(G285&gt;=2.5,"Outlier — 2.5x+ rep's typical deal size for this type","")</f>
        <v/>
      </c>
    </row>
    <row r="286" ht="15" customHeight="1" s="107">
      <c r="B286" s="146">
        <f>'Bookings Detail'!A246</f>
        <v/>
      </c>
      <c r="C286" s="146">
        <f>'Bookings Detail'!B246</f>
        <v/>
      </c>
      <c r="D286" s="146">
        <f>'Bookings Detail'!H246</f>
        <v/>
      </c>
      <c r="E286" s="148">
        <f>'Bookings Detail'!K246</f>
        <v/>
      </c>
      <c r="F286" s="149">
        <f>AVERAGEIFS('Bookings Detail'!$K$5:$K$274,'Bookings Detail'!$B$5:$B$274,C286,'Bookings Detail'!$H$5:$H$274,D286)</f>
        <v/>
      </c>
      <c r="G286" s="195">
        <f>IFERROR(E286/F286,0)</f>
        <v/>
      </c>
      <c r="H286" s="147">
        <f>IF(G286&gt;=2.5,"Outlier — 2.5x+ rep's typical deal size for this type","")</f>
        <v/>
      </c>
    </row>
    <row r="287" ht="15" customHeight="1" s="107">
      <c r="B287" s="140">
        <f>'Bookings Detail'!A247</f>
        <v/>
      </c>
      <c r="C287" s="140">
        <f>'Bookings Detail'!B247</f>
        <v/>
      </c>
      <c r="D287" s="140">
        <f>'Bookings Detail'!H247</f>
        <v/>
      </c>
      <c r="E287" s="142">
        <f>'Bookings Detail'!K247</f>
        <v/>
      </c>
      <c r="F287" s="143">
        <f>AVERAGEIFS('Bookings Detail'!$K$5:$K$274,'Bookings Detail'!$B$5:$B$274,C287,'Bookings Detail'!$H$5:$H$274,D287)</f>
        <v/>
      </c>
      <c r="G287" s="194">
        <f>IFERROR(E287/F287,0)</f>
        <v/>
      </c>
      <c r="H287" s="141">
        <f>IF(G287&gt;=2.5,"Outlier — 2.5x+ rep's typical deal size for this type","")</f>
        <v/>
      </c>
    </row>
    <row r="288" ht="15" customHeight="1" s="107">
      <c r="B288" s="146">
        <f>'Bookings Detail'!A248</f>
        <v/>
      </c>
      <c r="C288" s="146">
        <f>'Bookings Detail'!B248</f>
        <v/>
      </c>
      <c r="D288" s="146">
        <f>'Bookings Detail'!H248</f>
        <v/>
      </c>
      <c r="E288" s="148">
        <f>'Bookings Detail'!K248</f>
        <v/>
      </c>
      <c r="F288" s="149">
        <f>AVERAGEIFS('Bookings Detail'!$K$5:$K$274,'Bookings Detail'!$B$5:$B$274,C288,'Bookings Detail'!$H$5:$H$274,D288)</f>
        <v/>
      </c>
      <c r="G288" s="195">
        <f>IFERROR(E288/F288,0)</f>
        <v/>
      </c>
      <c r="H288" s="147">
        <f>IF(G288&gt;=2.5,"Outlier — 2.5x+ rep's typical deal size for this type","")</f>
        <v/>
      </c>
    </row>
    <row r="289" ht="15" customHeight="1" s="107">
      <c r="B289" s="140">
        <f>'Bookings Detail'!A249</f>
        <v/>
      </c>
      <c r="C289" s="140">
        <f>'Bookings Detail'!B249</f>
        <v/>
      </c>
      <c r="D289" s="140">
        <f>'Bookings Detail'!H249</f>
        <v/>
      </c>
      <c r="E289" s="142">
        <f>'Bookings Detail'!K249</f>
        <v/>
      </c>
      <c r="F289" s="143">
        <f>AVERAGEIFS('Bookings Detail'!$K$5:$K$274,'Bookings Detail'!$B$5:$B$274,C289,'Bookings Detail'!$H$5:$H$274,D289)</f>
        <v/>
      </c>
      <c r="G289" s="194">
        <f>IFERROR(E289/F289,0)</f>
        <v/>
      </c>
      <c r="H289" s="141">
        <f>IF(G289&gt;=2.5,"Outlier — 2.5x+ rep's typical deal size for this type","")</f>
        <v/>
      </c>
    </row>
    <row r="290" ht="15" customHeight="1" s="107">
      <c r="B290" s="146">
        <f>'Bookings Detail'!A250</f>
        <v/>
      </c>
      <c r="C290" s="146">
        <f>'Bookings Detail'!B250</f>
        <v/>
      </c>
      <c r="D290" s="146">
        <f>'Bookings Detail'!H250</f>
        <v/>
      </c>
      <c r="E290" s="148">
        <f>'Bookings Detail'!K250</f>
        <v/>
      </c>
      <c r="F290" s="149">
        <f>AVERAGEIFS('Bookings Detail'!$K$5:$K$274,'Bookings Detail'!$B$5:$B$274,C290,'Bookings Detail'!$H$5:$H$274,D290)</f>
        <v/>
      </c>
      <c r="G290" s="195">
        <f>IFERROR(E290/F290,0)</f>
        <v/>
      </c>
      <c r="H290" s="147">
        <f>IF(G290&gt;=2.5,"Outlier — 2.5x+ rep's typical deal size for this type","")</f>
        <v/>
      </c>
    </row>
    <row r="291" ht="15" customHeight="1" s="107">
      <c r="B291" s="140">
        <f>'Bookings Detail'!A251</f>
        <v/>
      </c>
      <c r="C291" s="140">
        <f>'Bookings Detail'!B251</f>
        <v/>
      </c>
      <c r="D291" s="140">
        <f>'Bookings Detail'!H251</f>
        <v/>
      </c>
      <c r="E291" s="142">
        <f>'Bookings Detail'!K251</f>
        <v/>
      </c>
      <c r="F291" s="143">
        <f>AVERAGEIFS('Bookings Detail'!$K$5:$K$274,'Bookings Detail'!$B$5:$B$274,C291,'Bookings Detail'!$H$5:$H$274,D291)</f>
        <v/>
      </c>
      <c r="G291" s="194">
        <f>IFERROR(E291/F291,0)</f>
        <v/>
      </c>
      <c r="H291" s="141">
        <f>IF(G291&gt;=2.5,"Outlier — 2.5x+ rep's typical deal size for this type","")</f>
        <v/>
      </c>
    </row>
    <row r="292" ht="15" customHeight="1" s="107">
      <c r="B292" s="146">
        <f>'Bookings Detail'!A252</f>
        <v/>
      </c>
      <c r="C292" s="146">
        <f>'Bookings Detail'!B252</f>
        <v/>
      </c>
      <c r="D292" s="146">
        <f>'Bookings Detail'!H252</f>
        <v/>
      </c>
      <c r="E292" s="148">
        <f>'Bookings Detail'!K252</f>
        <v/>
      </c>
      <c r="F292" s="149">
        <f>AVERAGEIFS('Bookings Detail'!$K$5:$K$274,'Bookings Detail'!$B$5:$B$274,C292,'Bookings Detail'!$H$5:$H$274,D292)</f>
        <v/>
      </c>
      <c r="G292" s="195">
        <f>IFERROR(E292/F292,0)</f>
        <v/>
      </c>
      <c r="H292" s="147">
        <f>IF(G292&gt;=2.5,"Outlier — 2.5x+ rep's typical deal size for this type","")</f>
        <v/>
      </c>
    </row>
    <row r="293" ht="15" customHeight="1" s="107">
      <c r="B293" s="140">
        <f>'Bookings Detail'!A253</f>
        <v/>
      </c>
      <c r="C293" s="140">
        <f>'Bookings Detail'!B253</f>
        <v/>
      </c>
      <c r="D293" s="140">
        <f>'Bookings Detail'!H253</f>
        <v/>
      </c>
      <c r="E293" s="142">
        <f>'Bookings Detail'!K253</f>
        <v/>
      </c>
      <c r="F293" s="143">
        <f>AVERAGEIFS('Bookings Detail'!$K$5:$K$274,'Bookings Detail'!$B$5:$B$274,C293,'Bookings Detail'!$H$5:$H$274,D293)</f>
        <v/>
      </c>
      <c r="G293" s="194">
        <f>IFERROR(E293/F293,0)</f>
        <v/>
      </c>
      <c r="H293" s="141">
        <f>IF(G293&gt;=2.5,"Outlier — 2.5x+ rep's typical deal size for this type","")</f>
        <v/>
      </c>
    </row>
    <row r="294" ht="15" customHeight="1" s="107">
      <c r="B294" s="146">
        <f>'Bookings Detail'!A254</f>
        <v/>
      </c>
      <c r="C294" s="146">
        <f>'Bookings Detail'!B254</f>
        <v/>
      </c>
      <c r="D294" s="146">
        <f>'Bookings Detail'!H254</f>
        <v/>
      </c>
      <c r="E294" s="148">
        <f>'Bookings Detail'!K254</f>
        <v/>
      </c>
      <c r="F294" s="149">
        <f>AVERAGEIFS('Bookings Detail'!$K$5:$K$274,'Bookings Detail'!$B$5:$B$274,C294,'Bookings Detail'!$H$5:$H$274,D294)</f>
        <v/>
      </c>
      <c r="G294" s="195">
        <f>IFERROR(E294/F294,0)</f>
        <v/>
      </c>
      <c r="H294" s="147">
        <f>IF(G294&gt;=2.5,"Outlier — 2.5x+ rep's typical deal size for this type","")</f>
        <v/>
      </c>
    </row>
    <row r="295" ht="15" customHeight="1" s="107">
      <c r="B295" s="140">
        <f>'Bookings Detail'!A255</f>
        <v/>
      </c>
      <c r="C295" s="140">
        <f>'Bookings Detail'!B255</f>
        <v/>
      </c>
      <c r="D295" s="140">
        <f>'Bookings Detail'!H255</f>
        <v/>
      </c>
      <c r="E295" s="142">
        <f>'Bookings Detail'!K255</f>
        <v/>
      </c>
      <c r="F295" s="143">
        <f>AVERAGEIFS('Bookings Detail'!$K$5:$K$274,'Bookings Detail'!$B$5:$B$274,C295,'Bookings Detail'!$H$5:$H$274,D295)</f>
        <v/>
      </c>
      <c r="G295" s="194">
        <f>IFERROR(E295/F295,0)</f>
        <v/>
      </c>
      <c r="H295" s="141">
        <f>IF(G295&gt;=2.5,"Outlier — 2.5x+ rep's typical deal size for this type","")</f>
        <v/>
      </c>
    </row>
    <row r="296" ht="15" customHeight="1" s="107">
      <c r="B296" s="146">
        <f>'Bookings Detail'!A256</f>
        <v/>
      </c>
      <c r="C296" s="146">
        <f>'Bookings Detail'!B256</f>
        <v/>
      </c>
      <c r="D296" s="146">
        <f>'Bookings Detail'!H256</f>
        <v/>
      </c>
      <c r="E296" s="148">
        <f>'Bookings Detail'!K256</f>
        <v/>
      </c>
      <c r="F296" s="149">
        <f>AVERAGEIFS('Bookings Detail'!$K$5:$K$274,'Bookings Detail'!$B$5:$B$274,C296,'Bookings Detail'!$H$5:$H$274,D296)</f>
        <v/>
      </c>
      <c r="G296" s="195">
        <f>IFERROR(E296/F296,0)</f>
        <v/>
      </c>
      <c r="H296" s="147">
        <f>IF(G296&gt;=2.5,"Outlier — 2.5x+ rep's typical deal size for this type","")</f>
        <v/>
      </c>
    </row>
    <row r="297" ht="15" customHeight="1" s="107">
      <c r="B297" s="140">
        <f>'Bookings Detail'!A257</f>
        <v/>
      </c>
      <c r="C297" s="140">
        <f>'Bookings Detail'!B257</f>
        <v/>
      </c>
      <c r="D297" s="140">
        <f>'Bookings Detail'!H257</f>
        <v/>
      </c>
      <c r="E297" s="142">
        <f>'Bookings Detail'!K257</f>
        <v/>
      </c>
      <c r="F297" s="143">
        <f>AVERAGEIFS('Bookings Detail'!$K$5:$K$274,'Bookings Detail'!$B$5:$B$274,C297,'Bookings Detail'!$H$5:$H$274,D297)</f>
        <v/>
      </c>
      <c r="G297" s="194">
        <f>IFERROR(E297/F297,0)</f>
        <v/>
      </c>
      <c r="H297" s="141">
        <f>IF(G297&gt;=2.5,"Outlier — 2.5x+ rep's typical deal size for this type","")</f>
        <v/>
      </c>
    </row>
    <row r="298" ht="15" customHeight="1" s="107">
      <c r="B298" s="146">
        <f>'Bookings Detail'!A258</f>
        <v/>
      </c>
      <c r="C298" s="146">
        <f>'Bookings Detail'!B258</f>
        <v/>
      </c>
      <c r="D298" s="146">
        <f>'Bookings Detail'!H258</f>
        <v/>
      </c>
      <c r="E298" s="148">
        <f>'Bookings Detail'!K258</f>
        <v/>
      </c>
      <c r="F298" s="149">
        <f>AVERAGEIFS('Bookings Detail'!$K$5:$K$274,'Bookings Detail'!$B$5:$B$274,C298,'Bookings Detail'!$H$5:$H$274,D298)</f>
        <v/>
      </c>
      <c r="G298" s="195">
        <f>IFERROR(E298/F298,0)</f>
        <v/>
      </c>
      <c r="H298" s="147">
        <f>IF(G298&gt;=2.5,"Outlier — 2.5x+ rep's typical deal size for this type","")</f>
        <v/>
      </c>
    </row>
    <row r="299" ht="15" customHeight="1" s="107">
      <c r="B299" s="140">
        <f>'Bookings Detail'!A259</f>
        <v/>
      </c>
      <c r="C299" s="140">
        <f>'Bookings Detail'!B259</f>
        <v/>
      </c>
      <c r="D299" s="140">
        <f>'Bookings Detail'!H259</f>
        <v/>
      </c>
      <c r="E299" s="142">
        <f>'Bookings Detail'!K259</f>
        <v/>
      </c>
      <c r="F299" s="143">
        <f>AVERAGEIFS('Bookings Detail'!$K$5:$K$274,'Bookings Detail'!$B$5:$B$274,C299,'Bookings Detail'!$H$5:$H$274,D299)</f>
        <v/>
      </c>
      <c r="G299" s="194">
        <f>IFERROR(E299/F299,0)</f>
        <v/>
      </c>
      <c r="H299" s="141">
        <f>IF(G299&gt;=2.5,"Outlier — 2.5x+ rep's typical deal size for this type","")</f>
        <v/>
      </c>
    </row>
    <row r="300" ht="15" customHeight="1" s="107">
      <c r="B300" s="146">
        <f>'Bookings Detail'!A260</f>
        <v/>
      </c>
      <c r="C300" s="146">
        <f>'Bookings Detail'!B260</f>
        <v/>
      </c>
      <c r="D300" s="146">
        <f>'Bookings Detail'!H260</f>
        <v/>
      </c>
      <c r="E300" s="148">
        <f>'Bookings Detail'!K260</f>
        <v/>
      </c>
      <c r="F300" s="149">
        <f>AVERAGEIFS('Bookings Detail'!$K$5:$K$274,'Bookings Detail'!$B$5:$B$274,C300,'Bookings Detail'!$H$5:$H$274,D300)</f>
        <v/>
      </c>
      <c r="G300" s="195">
        <f>IFERROR(E300/F300,0)</f>
        <v/>
      </c>
      <c r="H300" s="147">
        <f>IF(G300&gt;=2.5,"Outlier — 2.5x+ rep's typical deal size for this type","")</f>
        <v/>
      </c>
    </row>
    <row r="301" ht="15" customHeight="1" s="107">
      <c r="B301" s="140">
        <f>'Bookings Detail'!A261</f>
        <v/>
      </c>
      <c r="C301" s="140">
        <f>'Bookings Detail'!B261</f>
        <v/>
      </c>
      <c r="D301" s="140">
        <f>'Bookings Detail'!H261</f>
        <v/>
      </c>
      <c r="E301" s="142">
        <f>'Bookings Detail'!K261</f>
        <v/>
      </c>
      <c r="F301" s="143">
        <f>AVERAGEIFS('Bookings Detail'!$K$5:$K$274,'Bookings Detail'!$B$5:$B$274,C301,'Bookings Detail'!$H$5:$H$274,D301)</f>
        <v/>
      </c>
      <c r="G301" s="194">
        <f>IFERROR(E301/F301,0)</f>
        <v/>
      </c>
      <c r="H301" s="141">
        <f>IF(G301&gt;=2.5,"Outlier — 2.5x+ rep's typical deal size for this type","")</f>
        <v/>
      </c>
    </row>
    <row r="302" ht="15" customHeight="1" s="107">
      <c r="B302" s="146">
        <f>'Bookings Detail'!A262</f>
        <v/>
      </c>
      <c r="C302" s="146">
        <f>'Bookings Detail'!B262</f>
        <v/>
      </c>
      <c r="D302" s="146">
        <f>'Bookings Detail'!H262</f>
        <v/>
      </c>
      <c r="E302" s="148">
        <f>'Bookings Detail'!K262</f>
        <v/>
      </c>
      <c r="F302" s="149">
        <f>AVERAGEIFS('Bookings Detail'!$K$5:$K$274,'Bookings Detail'!$B$5:$B$274,C302,'Bookings Detail'!$H$5:$H$274,D302)</f>
        <v/>
      </c>
      <c r="G302" s="195">
        <f>IFERROR(E302/F302,0)</f>
        <v/>
      </c>
      <c r="H302" s="147">
        <f>IF(G302&gt;=2.5,"Outlier — 2.5x+ rep's typical deal size for this type","")</f>
        <v/>
      </c>
    </row>
    <row r="303" ht="15" customHeight="1" s="107">
      <c r="B303" s="140">
        <f>'Bookings Detail'!A263</f>
        <v/>
      </c>
      <c r="C303" s="140">
        <f>'Bookings Detail'!B263</f>
        <v/>
      </c>
      <c r="D303" s="140">
        <f>'Bookings Detail'!H263</f>
        <v/>
      </c>
      <c r="E303" s="142">
        <f>'Bookings Detail'!K263</f>
        <v/>
      </c>
      <c r="F303" s="143">
        <f>AVERAGEIFS('Bookings Detail'!$K$5:$K$274,'Bookings Detail'!$B$5:$B$274,C303,'Bookings Detail'!$H$5:$H$274,D303)</f>
        <v/>
      </c>
      <c r="G303" s="194">
        <f>IFERROR(E303/F303,0)</f>
        <v/>
      </c>
      <c r="H303" s="141">
        <f>IF(G303&gt;=2.5,"Outlier — 2.5x+ rep's typical deal size for this type","")</f>
        <v/>
      </c>
    </row>
    <row r="304" ht="15" customHeight="1" s="107">
      <c r="B304" s="146">
        <f>'Bookings Detail'!A264</f>
        <v/>
      </c>
      <c r="C304" s="146">
        <f>'Bookings Detail'!B264</f>
        <v/>
      </c>
      <c r="D304" s="146">
        <f>'Bookings Detail'!H264</f>
        <v/>
      </c>
      <c r="E304" s="148">
        <f>'Bookings Detail'!K264</f>
        <v/>
      </c>
      <c r="F304" s="149">
        <f>AVERAGEIFS('Bookings Detail'!$K$5:$K$274,'Bookings Detail'!$B$5:$B$274,C304,'Bookings Detail'!$H$5:$H$274,D304)</f>
        <v/>
      </c>
      <c r="G304" s="195">
        <f>IFERROR(E304/F304,0)</f>
        <v/>
      </c>
      <c r="H304" s="147">
        <f>IF(G304&gt;=2.5,"Outlier — 2.5x+ rep's typical deal size for this type","")</f>
        <v/>
      </c>
    </row>
    <row r="305" ht="15" customHeight="1" s="107">
      <c r="B305" s="140">
        <f>'Bookings Detail'!A265</f>
        <v/>
      </c>
      <c r="C305" s="140">
        <f>'Bookings Detail'!B265</f>
        <v/>
      </c>
      <c r="D305" s="140">
        <f>'Bookings Detail'!H265</f>
        <v/>
      </c>
      <c r="E305" s="142">
        <f>'Bookings Detail'!K265</f>
        <v/>
      </c>
      <c r="F305" s="143">
        <f>AVERAGEIFS('Bookings Detail'!$K$5:$K$274,'Bookings Detail'!$B$5:$B$274,C305,'Bookings Detail'!$H$5:$H$274,D305)</f>
        <v/>
      </c>
      <c r="G305" s="194">
        <f>IFERROR(E305/F305,0)</f>
        <v/>
      </c>
      <c r="H305" s="141">
        <f>IF(G305&gt;=2.5,"Outlier — 2.5x+ rep's typical deal size for this type","")</f>
        <v/>
      </c>
    </row>
    <row r="306" ht="15" customHeight="1" s="107">
      <c r="B306" s="146">
        <f>'Bookings Detail'!A266</f>
        <v/>
      </c>
      <c r="C306" s="146">
        <f>'Bookings Detail'!B266</f>
        <v/>
      </c>
      <c r="D306" s="146">
        <f>'Bookings Detail'!H266</f>
        <v/>
      </c>
      <c r="E306" s="148">
        <f>'Bookings Detail'!K266</f>
        <v/>
      </c>
      <c r="F306" s="149">
        <f>AVERAGEIFS('Bookings Detail'!$K$5:$K$274,'Bookings Detail'!$B$5:$B$274,C306,'Bookings Detail'!$H$5:$H$274,D306)</f>
        <v/>
      </c>
      <c r="G306" s="195">
        <f>IFERROR(E306/F306,0)</f>
        <v/>
      </c>
      <c r="H306" s="147">
        <f>IF(G306&gt;=2.5,"Outlier — 2.5x+ rep's typical deal size for this type","")</f>
        <v/>
      </c>
    </row>
    <row r="307" ht="15" customHeight="1" s="107">
      <c r="B307" s="140">
        <f>'Bookings Detail'!A267</f>
        <v/>
      </c>
      <c r="C307" s="140">
        <f>'Bookings Detail'!B267</f>
        <v/>
      </c>
      <c r="D307" s="140">
        <f>'Bookings Detail'!H267</f>
        <v/>
      </c>
      <c r="E307" s="142">
        <f>'Bookings Detail'!K267</f>
        <v/>
      </c>
      <c r="F307" s="143">
        <f>AVERAGEIFS('Bookings Detail'!$K$5:$K$274,'Bookings Detail'!$B$5:$B$274,C307,'Bookings Detail'!$H$5:$H$274,D307)</f>
        <v/>
      </c>
      <c r="G307" s="194">
        <f>IFERROR(E307/F307,0)</f>
        <v/>
      </c>
      <c r="H307" s="141">
        <f>IF(G307&gt;=2.5,"Outlier — 2.5x+ rep's typical deal size for this type","")</f>
        <v/>
      </c>
    </row>
    <row r="308" ht="15" customHeight="1" s="107">
      <c r="B308" s="146">
        <f>'Bookings Detail'!A268</f>
        <v/>
      </c>
      <c r="C308" s="146">
        <f>'Bookings Detail'!B268</f>
        <v/>
      </c>
      <c r="D308" s="146">
        <f>'Bookings Detail'!H268</f>
        <v/>
      </c>
      <c r="E308" s="148">
        <f>'Bookings Detail'!K268</f>
        <v/>
      </c>
      <c r="F308" s="149">
        <f>AVERAGEIFS('Bookings Detail'!$K$5:$K$274,'Bookings Detail'!$B$5:$B$274,C308,'Bookings Detail'!$H$5:$H$274,D308)</f>
        <v/>
      </c>
      <c r="G308" s="195">
        <f>IFERROR(E308/F308,0)</f>
        <v/>
      </c>
      <c r="H308" s="147">
        <f>IF(G308&gt;=2.5,"Outlier — 2.5x+ rep's typical deal size for this type","")</f>
        <v/>
      </c>
    </row>
    <row r="309" ht="15" customHeight="1" s="107">
      <c r="B309" s="140">
        <f>'Bookings Detail'!A269</f>
        <v/>
      </c>
      <c r="C309" s="140">
        <f>'Bookings Detail'!B269</f>
        <v/>
      </c>
      <c r="D309" s="140">
        <f>'Bookings Detail'!H269</f>
        <v/>
      </c>
      <c r="E309" s="142">
        <f>'Bookings Detail'!K269</f>
        <v/>
      </c>
      <c r="F309" s="143">
        <f>AVERAGEIFS('Bookings Detail'!$K$5:$K$274,'Bookings Detail'!$B$5:$B$274,C309,'Bookings Detail'!$H$5:$H$274,D309)</f>
        <v/>
      </c>
      <c r="G309" s="194">
        <f>IFERROR(E309/F309,0)</f>
        <v/>
      </c>
      <c r="H309" s="141">
        <f>IF(G309&gt;=2.5,"Outlier — 2.5x+ rep's typical deal size for this type","")</f>
        <v/>
      </c>
    </row>
    <row r="310" ht="15" customHeight="1" s="107">
      <c r="B310" s="146">
        <f>'Bookings Detail'!A270</f>
        <v/>
      </c>
      <c r="C310" s="146">
        <f>'Bookings Detail'!B270</f>
        <v/>
      </c>
      <c r="D310" s="146">
        <f>'Bookings Detail'!H270</f>
        <v/>
      </c>
      <c r="E310" s="148">
        <f>'Bookings Detail'!K270</f>
        <v/>
      </c>
      <c r="F310" s="149">
        <f>AVERAGEIFS('Bookings Detail'!$K$5:$K$274,'Bookings Detail'!$B$5:$B$274,C310,'Bookings Detail'!$H$5:$H$274,D310)</f>
        <v/>
      </c>
      <c r="G310" s="195">
        <f>IFERROR(E310/F310,0)</f>
        <v/>
      </c>
      <c r="H310" s="147">
        <f>IF(G310&gt;=2.5,"Outlier — 2.5x+ rep's typical deal size for this type","")</f>
        <v/>
      </c>
    </row>
    <row r="311" ht="15" customHeight="1" s="107">
      <c r="B311" s="140">
        <f>'Bookings Detail'!A271</f>
        <v/>
      </c>
      <c r="C311" s="140">
        <f>'Bookings Detail'!B271</f>
        <v/>
      </c>
      <c r="D311" s="140">
        <f>'Bookings Detail'!H271</f>
        <v/>
      </c>
      <c r="E311" s="142">
        <f>'Bookings Detail'!K271</f>
        <v/>
      </c>
      <c r="F311" s="143">
        <f>AVERAGEIFS('Bookings Detail'!$K$5:$K$274,'Bookings Detail'!$B$5:$B$274,C311,'Bookings Detail'!$H$5:$H$274,D311)</f>
        <v/>
      </c>
      <c r="G311" s="194">
        <f>IFERROR(E311/F311,0)</f>
        <v/>
      </c>
      <c r="H311" s="141">
        <f>IF(G311&gt;=2.5,"Outlier — 2.5x+ rep's typical deal size for this type","")</f>
        <v/>
      </c>
    </row>
    <row r="312" ht="15" customHeight="1" s="107">
      <c r="B312" s="146">
        <f>'Bookings Detail'!A272</f>
        <v/>
      </c>
      <c r="C312" s="146">
        <f>'Bookings Detail'!B272</f>
        <v/>
      </c>
      <c r="D312" s="146">
        <f>'Bookings Detail'!H272</f>
        <v/>
      </c>
      <c r="E312" s="148">
        <f>'Bookings Detail'!K272</f>
        <v/>
      </c>
      <c r="F312" s="149">
        <f>AVERAGEIFS('Bookings Detail'!$K$5:$K$274,'Bookings Detail'!$B$5:$B$274,C312,'Bookings Detail'!$H$5:$H$274,D312)</f>
        <v/>
      </c>
      <c r="G312" s="195">
        <f>IFERROR(E312/F312,0)</f>
        <v/>
      </c>
      <c r="H312" s="147">
        <f>IF(G312&gt;=2.5,"Outlier — 2.5x+ rep's typical deal size for this type","")</f>
        <v/>
      </c>
    </row>
    <row r="313" ht="15" customHeight="1" s="107">
      <c r="B313" s="140">
        <f>'Bookings Detail'!A273</f>
        <v/>
      </c>
      <c r="C313" s="140">
        <f>'Bookings Detail'!B273</f>
        <v/>
      </c>
      <c r="D313" s="140">
        <f>'Bookings Detail'!H273</f>
        <v/>
      </c>
      <c r="E313" s="142">
        <f>'Bookings Detail'!K273</f>
        <v/>
      </c>
      <c r="F313" s="143">
        <f>AVERAGEIFS('Bookings Detail'!$K$5:$K$274,'Bookings Detail'!$B$5:$B$274,C313,'Bookings Detail'!$H$5:$H$274,D313)</f>
        <v/>
      </c>
      <c r="G313" s="194">
        <f>IFERROR(E313/F313,0)</f>
        <v/>
      </c>
      <c r="H313" s="141">
        <f>IF(G313&gt;=2.5,"Outlier — 2.5x+ rep's typical deal size for this type","")</f>
        <v/>
      </c>
    </row>
    <row r="314" ht="15" customHeight="1" s="107">
      <c r="B314" s="146">
        <f>'Bookings Detail'!A274</f>
        <v/>
      </c>
      <c r="C314" s="146">
        <f>'Bookings Detail'!B274</f>
        <v/>
      </c>
      <c r="D314" s="146">
        <f>'Bookings Detail'!H274</f>
        <v/>
      </c>
      <c r="E314" s="148">
        <f>'Bookings Detail'!K274</f>
        <v/>
      </c>
      <c r="F314" s="149">
        <f>AVERAGEIFS('Bookings Detail'!$K$5:$K$274,'Bookings Detail'!$B$5:$B$274,C314,'Bookings Detail'!$H$5:$H$274,D314)</f>
        <v/>
      </c>
      <c r="G314" s="195">
        <f>IFERROR(E314/F314,0)</f>
        <v/>
      </c>
      <c r="H314" s="147">
        <f>IF(G314&gt;=2.5,"Outlier — 2.5x+ rep's typical deal size for this type","")</f>
        <v/>
      </c>
    </row>
  </sheetData>
  <mergeCells count="1">
    <mergeCell ref="B3:J3"/>
  </mergeCells>
  <conditionalFormatting sqref="B10:I39">
    <cfRule type="expression" rank="0" priority="2" equalAverage="0" aboveAverage="0" dxfId="7" text="" percent="0" bottom="0">
      <formula>$I10&lt;&gt;""</formula>
    </cfRule>
  </conditionalFormatting>
  <conditionalFormatting sqref="B45:H314">
    <cfRule type="expression" rank="0" priority="3" equalAverage="0" aboveAverage="0" dxfId="7" text="" percent="0" bottom="0">
      <formula>$H45&lt;&gt;""</formula>
    </cfRule>
  </conditionalFormatting>
  <printOptions horizontalCentered="0" verticalCentered="0" headings="0" gridLines="0" gridLinesSet="1"/>
  <pageMargins left="0.3" right="0.3" top="0.4" bottom="0.4" header="0.511811023622047" footer="0.511811023622047"/>
  <pageSetup orientation="landscape" paperSize="1" scale="100" fitToHeight="0" fitToWidth="1" pageOrder="downThenOver" blackAndWhite="0" draft="0" horizontalDpi="300" verticalDpi="300" copies="1"/>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filterMode="0">
    <outlinePr summaryBelow="1" summaryRight="1"/>
    <pageSetUpPr fitToPage="1"/>
  </sheetPr>
  <dimension ref="B2:M59"/>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106" min="1" max="1"/>
    <col width="10" customWidth="1" style="106" min="2" max="2"/>
    <col width="18" customWidth="1" style="106" min="3" max="3"/>
    <col width="20" customWidth="1" style="106" min="4" max="4"/>
    <col width="16" customWidth="1" style="106" min="5" max="5"/>
    <col width="14" customWidth="1" style="106" min="6" max="6"/>
    <col width="16" customWidth="1" style="106" min="7" max="7"/>
    <col width="18" customWidth="1" style="106" min="8" max="8"/>
    <col width="16" customWidth="1" style="106" min="9" max="9"/>
    <col width="14" customWidth="1" style="106" min="10" max="10"/>
    <col width="11" customWidth="1" style="106" min="11" max="11"/>
  </cols>
  <sheetData>
    <row r="2" ht="17.25" customHeight="1" s="107">
      <c r="B2" s="119" t="inlineStr">
        <is>
          <t>FY26 Budget vs. Actual — Bookings &amp; Commission Expense</t>
        </is>
      </c>
    </row>
    <row r="3" ht="15" customHeight="1" s="107">
      <c r="B3" s="110" t="inlineStr">
        <is>
          <t>Budget was set before the year began. Jan-Jun compares to actuals; Jul-Sep compares the budget to the trend-based forecast from Monthly Accrual &amp; Forecast, since actuals don't exist yet for those months.</t>
        </is>
      </c>
    </row>
    <row r="5" ht="23.25" customHeight="1" s="107">
      <c r="B5" s="120" t="inlineStr">
        <is>
          <t>Month</t>
        </is>
      </c>
      <c r="C5" s="120" t="inlineStr">
        <is>
          <t>Budgeted Bookings ARR</t>
        </is>
      </c>
      <c r="D5" s="120" t="inlineStr">
        <is>
          <t>Actual/Forecast Bookings ARR</t>
        </is>
      </c>
      <c r="E5" s="120" t="inlineStr">
        <is>
          <t>Bookings Variance $</t>
        </is>
      </c>
      <c r="F5" s="120" t="inlineStr">
        <is>
          <t>Bookings Variance %</t>
        </is>
      </c>
      <c r="G5" s="120" t="inlineStr">
        <is>
          <t>Budgeted Commission</t>
        </is>
      </c>
      <c r="H5" s="120" t="inlineStr">
        <is>
          <t>Actual/Forecast Commission</t>
        </is>
      </c>
      <c r="I5" s="120" t="inlineStr">
        <is>
          <t>Commission Variance $</t>
        </is>
      </c>
      <c r="J5" s="120" t="inlineStr">
        <is>
          <t>Commission Variance %</t>
        </is>
      </c>
      <c r="K5" s="120" t="inlineStr">
        <is>
          <t>Basis</t>
        </is>
      </c>
    </row>
    <row r="6" ht="15" customHeight="1" s="107">
      <c r="B6" s="130" t="inlineStr">
        <is>
          <t>2026-01</t>
        </is>
      </c>
      <c r="C6" s="196" t="n">
        <v>1500000</v>
      </c>
      <c r="D6" s="142">
        <f>'Monthly Accrual &amp; Forecast'!B5</f>
        <v/>
      </c>
      <c r="E6" s="143">
        <f>D6-C6</f>
        <v/>
      </c>
      <c r="F6" s="144">
        <f>IFERROR(E6/C6,0)</f>
        <v/>
      </c>
      <c r="G6" s="196" t="n">
        <v>97500</v>
      </c>
      <c r="H6" s="142">
        <f>'Monthly Accrual &amp; Forecast'!C5</f>
        <v/>
      </c>
      <c r="I6" s="143">
        <f>H6-G6</f>
        <v/>
      </c>
      <c r="J6" s="144">
        <f>IFERROR(I6/G6,0)</f>
        <v/>
      </c>
      <c r="K6" s="140">
        <f>'Monthly Accrual &amp; Forecast'!F5</f>
        <v/>
      </c>
    </row>
    <row r="7" ht="15" customHeight="1" s="107">
      <c r="B7" s="133" t="inlineStr">
        <is>
          <t>2026-02</t>
        </is>
      </c>
      <c r="C7" s="135" t="n">
        <v>2200000</v>
      </c>
      <c r="D7" s="148">
        <f>'Monthly Accrual &amp; Forecast'!B6</f>
        <v/>
      </c>
      <c r="E7" s="149">
        <f>D7-C7</f>
        <v/>
      </c>
      <c r="F7" s="150">
        <f>IFERROR(E7/C7,0)</f>
        <v/>
      </c>
      <c r="G7" s="135" t="n">
        <v>143000</v>
      </c>
      <c r="H7" s="148">
        <f>'Monthly Accrual &amp; Forecast'!C6</f>
        <v/>
      </c>
      <c r="I7" s="149">
        <f>H7-G7</f>
        <v/>
      </c>
      <c r="J7" s="150">
        <f>IFERROR(I7/G7,0)</f>
        <v/>
      </c>
      <c r="K7" s="146">
        <f>'Monthly Accrual &amp; Forecast'!F6</f>
        <v/>
      </c>
    </row>
    <row r="8" ht="15" customHeight="1" s="107">
      <c r="B8" s="130" t="inlineStr">
        <is>
          <t>2026-03</t>
        </is>
      </c>
      <c r="C8" s="196" t="n">
        <v>2600000</v>
      </c>
      <c r="D8" s="142">
        <f>'Monthly Accrual &amp; Forecast'!B7</f>
        <v/>
      </c>
      <c r="E8" s="143">
        <f>D8-C8</f>
        <v/>
      </c>
      <c r="F8" s="144">
        <f>IFERROR(E8/C8,0)</f>
        <v/>
      </c>
      <c r="G8" s="196" t="n">
        <v>169000</v>
      </c>
      <c r="H8" s="142">
        <f>'Monthly Accrual &amp; Forecast'!C7</f>
        <v/>
      </c>
      <c r="I8" s="143">
        <f>H8-G8</f>
        <v/>
      </c>
      <c r="J8" s="144">
        <f>IFERROR(I8/G8,0)</f>
        <v/>
      </c>
      <c r="K8" s="140">
        <f>'Monthly Accrual &amp; Forecast'!F7</f>
        <v/>
      </c>
    </row>
    <row r="9" ht="15" customHeight="1" s="107">
      <c r="B9" s="133" t="inlineStr">
        <is>
          <t>2026-04</t>
        </is>
      </c>
      <c r="C9" s="135" t="n">
        <v>2300000</v>
      </c>
      <c r="D9" s="148">
        <f>'Monthly Accrual &amp; Forecast'!B8</f>
        <v/>
      </c>
      <c r="E9" s="149">
        <f>D9-C9</f>
        <v/>
      </c>
      <c r="F9" s="150">
        <f>IFERROR(E9/C9,0)</f>
        <v/>
      </c>
      <c r="G9" s="135" t="n">
        <v>149500</v>
      </c>
      <c r="H9" s="148">
        <f>'Monthly Accrual &amp; Forecast'!C8</f>
        <v/>
      </c>
      <c r="I9" s="149">
        <f>H9-G9</f>
        <v/>
      </c>
      <c r="J9" s="150">
        <f>IFERROR(I9/G9,0)</f>
        <v/>
      </c>
      <c r="K9" s="146">
        <f>'Monthly Accrual &amp; Forecast'!F8</f>
        <v/>
      </c>
    </row>
    <row r="10" ht="15" customHeight="1" s="107">
      <c r="B10" s="130" t="inlineStr">
        <is>
          <t>2026-05</t>
        </is>
      </c>
      <c r="C10" s="196" t="n">
        <v>2400000</v>
      </c>
      <c r="D10" s="142">
        <f>'Monthly Accrual &amp; Forecast'!B9</f>
        <v/>
      </c>
      <c r="E10" s="143">
        <f>D10-C10</f>
        <v/>
      </c>
      <c r="F10" s="144">
        <f>IFERROR(E10/C10,0)</f>
        <v/>
      </c>
      <c r="G10" s="196" t="n">
        <v>156000</v>
      </c>
      <c r="H10" s="142">
        <f>'Monthly Accrual &amp; Forecast'!C9</f>
        <v/>
      </c>
      <c r="I10" s="143">
        <f>H10-G10</f>
        <v/>
      </c>
      <c r="J10" s="144">
        <f>IFERROR(I10/G10,0)</f>
        <v/>
      </c>
      <c r="K10" s="140">
        <f>'Monthly Accrual &amp; Forecast'!F9</f>
        <v/>
      </c>
    </row>
    <row r="11" ht="15" customHeight="1" s="107">
      <c r="B11" s="133" t="inlineStr">
        <is>
          <t>2026-06</t>
        </is>
      </c>
      <c r="C11" s="135" t="n">
        <v>2500000</v>
      </c>
      <c r="D11" s="148">
        <f>'Monthly Accrual &amp; Forecast'!B10</f>
        <v/>
      </c>
      <c r="E11" s="149">
        <f>D11-C11</f>
        <v/>
      </c>
      <c r="F11" s="150">
        <f>IFERROR(E11/C11,0)</f>
        <v/>
      </c>
      <c r="G11" s="135" t="n">
        <v>162500</v>
      </c>
      <c r="H11" s="148">
        <f>'Monthly Accrual &amp; Forecast'!C10</f>
        <v/>
      </c>
      <c r="I11" s="149">
        <f>H11-G11</f>
        <v/>
      </c>
      <c r="J11" s="150">
        <f>IFERROR(I11/G11,0)</f>
        <v/>
      </c>
      <c r="K11" s="146">
        <f>'Monthly Accrual &amp; Forecast'!F10</f>
        <v/>
      </c>
    </row>
    <row r="12" ht="15" customHeight="1" s="107">
      <c r="B12" s="130" t="inlineStr">
        <is>
          <t>2026-07</t>
        </is>
      </c>
      <c r="C12" s="196" t="n">
        <v>2500000</v>
      </c>
      <c r="D12" s="142">
        <f>'Monthly Accrual &amp; Forecast'!B11</f>
        <v/>
      </c>
      <c r="E12" s="143">
        <f>D12-C12</f>
        <v/>
      </c>
      <c r="F12" s="144">
        <f>IFERROR(E12/C12,0)</f>
        <v/>
      </c>
      <c r="G12" s="196" t="n">
        <v>162500</v>
      </c>
      <c r="H12" s="142">
        <f>'Monthly Accrual &amp; Forecast'!C11</f>
        <v/>
      </c>
      <c r="I12" s="143">
        <f>H12-G12</f>
        <v/>
      </c>
      <c r="J12" s="144">
        <f>IFERROR(I12/G12,0)</f>
        <v/>
      </c>
      <c r="K12" s="140">
        <f>'Monthly Accrual &amp; Forecast'!F11</f>
        <v/>
      </c>
    </row>
    <row r="13" ht="15" customHeight="1" s="107">
      <c r="B13" s="133" t="inlineStr">
        <is>
          <t>2026-08</t>
        </is>
      </c>
      <c r="C13" s="135" t="n">
        <v>2600000</v>
      </c>
      <c r="D13" s="148">
        <f>'Monthly Accrual &amp; Forecast'!B12</f>
        <v/>
      </c>
      <c r="E13" s="149">
        <f>D13-C13</f>
        <v/>
      </c>
      <c r="F13" s="150">
        <f>IFERROR(E13/C13,0)</f>
        <v/>
      </c>
      <c r="G13" s="135" t="n">
        <v>169000</v>
      </c>
      <c r="H13" s="148">
        <f>'Monthly Accrual &amp; Forecast'!C12</f>
        <v/>
      </c>
      <c r="I13" s="149">
        <f>H13-G13</f>
        <v/>
      </c>
      <c r="J13" s="150">
        <f>IFERROR(I13/G13,0)</f>
        <v/>
      </c>
      <c r="K13" s="146">
        <f>'Monthly Accrual &amp; Forecast'!F12</f>
        <v/>
      </c>
    </row>
    <row r="14" ht="15" customHeight="1" s="107">
      <c r="B14" s="130" t="inlineStr">
        <is>
          <t>2026-09</t>
        </is>
      </c>
      <c r="C14" s="196" t="n">
        <v>2700000</v>
      </c>
      <c r="D14" s="142">
        <f>'Monthly Accrual &amp; Forecast'!B13</f>
        <v/>
      </c>
      <c r="E14" s="143">
        <f>D14-C14</f>
        <v/>
      </c>
      <c r="F14" s="144">
        <f>IFERROR(E14/C14,0)</f>
        <v/>
      </c>
      <c r="G14" s="196" t="n">
        <v>175500</v>
      </c>
      <c r="H14" s="142">
        <f>'Monthly Accrual &amp; Forecast'!C13</f>
        <v/>
      </c>
      <c r="I14" s="143">
        <f>H14-G14</f>
        <v/>
      </c>
      <c r="J14" s="144">
        <f>IFERROR(I14/G14,0)</f>
        <v/>
      </c>
      <c r="K14" s="140">
        <f>'Monthly Accrual &amp; Forecast'!F13</f>
        <v/>
      </c>
    </row>
    <row r="15" ht="15" customHeight="1" s="107">
      <c r="B15" s="159" t="inlineStr">
        <is>
          <t>H1+Q3 Total</t>
        </is>
      </c>
      <c r="C15" s="154">
        <f>SUM(C6:C14)</f>
        <v/>
      </c>
      <c r="D15" s="154">
        <f>SUM(D6:D14)</f>
        <v/>
      </c>
      <c r="E15" s="154">
        <f>SUM(E6:E14)</f>
        <v/>
      </c>
      <c r="F15" s="152" t="n"/>
      <c r="G15" s="154">
        <f>SUM(G6:G14)</f>
        <v/>
      </c>
      <c r="H15" s="154">
        <f>SUM(H6:H14)</f>
        <v/>
      </c>
      <c r="I15" s="154">
        <f>SUM(I6:I14)</f>
        <v/>
      </c>
      <c r="J15" s="152" t="n"/>
      <c r="K15" s="152" t="n"/>
    </row>
    <row r="37" ht="15" customHeight="1" s="107">
      <c r="B37" s="114" t="inlineStr">
        <is>
          <t>Reading the variance</t>
        </is>
      </c>
    </row>
    <row r="38" ht="30" customHeight="1" s="107">
      <c r="B38" s="110" t="inlineStr">
        <is>
          <t>February bookings beat budget by a wide margin while January and April came in under. That kind of swing month to month is normal for a 15-rep org — the H1+Q3 total row is the number that actually matters for the annual commission budget conversation, not any single month.</t>
        </is>
      </c>
    </row>
    <row r="41" ht="15" customHeight="1" s="107">
      <c r="B41" s="114" t="inlineStr">
        <is>
          <t>Key Variance Drivers</t>
        </is>
      </c>
    </row>
    <row r="42" ht="15" customHeight="1" s="107">
      <c r="B42" s="110" t="inlineStr">
        <is>
          <t>Computed live from the underlying deals, not written commentary — every figure below is a formula referencing Bookings Detail. Only shown for months with a variance of 10% or more.</t>
        </is>
      </c>
    </row>
    <row r="44" ht="23.85" customHeight="1" s="107">
      <c r="B44" s="197" t="inlineStr">
        <is>
          <t>Month</t>
        </is>
      </c>
      <c r="C44" s="197" t="inlineStr">
        <is>
          <t>Deal Count</t>
        </is>
      </c>
      <c r="D44" s="197" t="inlineStr">
        <is>
          <t>Avg Deal Size</t>
        </is>
      </c>
      <c r="E44" s="197" t="inlineStr">
        <is>
          <t>H1 Avg Deal Size</t>
        </is>
      </c>
      <c r="F44" s="197" t="inlineStr">
        <is>
          <t>Size Deviation %</t>
        </is>
      </c>
      <c r="G44" s="197" t="inlineStr">
        <is>
          <t>Count Deviation</t>
        </is>
      </c>
      <c r="H44" s="197" t="inlineStr">
        <is>
          <t>Top 1 Rep</t>
        </is>
      </c>
      <c r="I44" s="197" t="inlineStr">
        <is>
          <t>Top 1 Amt</t>
        </is>
      </c>
      <c r="J44" s="197" t="inlineStr">
        <is>
          <t>Top 2 Rep</t>
        </is>
      </c>
      <c r="K44" s="197" t="inlineStr">
        <is>
          <t>Top 2 Amt</t>
        </is>
      </c>
      <c r="L44" s="197" t="inlineStr">
        <is>
          <t>Concentration %</t>
        </is>
      </c>
      <c r="M44" s="198" t="inlineStr">
        <is>
          <t>Concentration %</t>
        </is>
      </c>
    </row>
    <row r="45" ht="15" customHeight="1" s="107">
      <c r="B45" s="141" t="inlineStr">
        <is>
          <t>2026-01</t>
        </is>
      </c>
      <c r="C45" s="161">
        <f>COUNTIFS('Bookings Detail'!$F$5:$F$274,B45)</f>
        <v/>
      </c>
      <c r="D45" s="143">
        <f>IFERROR(D6/C45,0)</f>
        <v/>
      </c>
      <c r="E45" s="142">
        <f>SUM('Bookings Detail'!$K$5:$K$274)/COUNT('Bookings Detail'!$K$5:$K$274)</f>
        <v/>
      </c>
      <c r="F45" s="144">
        <f>IFERROR((D45-E45)/E45,0)</f>
        <v/>
      </c>
      <c r="G45" s="199">
        <f>C45-AVERAGE($C$45:$C$50)</f>
        <v/>
      </c>
      <c r="H45" s="140">
        <f>IFERROR(INDEX('Bookings Detail'!$C$5:$C$274,MATCH(B45&amp;"|1",'Bookings Detail'!$U$5:$U$274,0)),"")</f>
        <v/>
      </c>
      <c r="I45" s="142">
        <f>IFERROR(INDEX('Bookings Detail'!$K$5:$K$274,MATCH(B45&amp;"|1",'Bookings Detail'!$U$5:$U$274,0)),0)</f>
        <v/>
      </c>
      <c r="J45" s="140">
        <f>IFERROR(INDEX('Bookings Detail'!$C$5:$C$274,MATCH(B45&amp;"|2",'Bookings Detail'!$U$5:$U$274,0)),"")</f>
        <v/>
      </c>
      <c r="K45" s="142">
        <f>IFERROR(INDEX('Bookings Detail'!$K$5:$K$274,MATCH(B45&amp;"|2",'Bookings Detail'!$U$5:$U$274,0)),0)</f>
        <v/>
      </c>
      <c r="M45" s="144">
        <f>IFERROR((I45+K45)/D6,0)</f>
        <v/>
      </c>
    </row>
    <row r="46" ht="15" customHeight="1" s="107">
      <c r="B46" s="141" t="inlineStr">
        <is>
          <t>2026-02</t>
        </is>
      </c>
      <c r="C46" s="161">
        <f>COUNTIFS('Bookings Detail'!$F$5:$F$274,B46)</f>
        <v/>
      </c>
      <c r="D46" s="143">
        <f>IFERROR(D7/C46,0)</f>
        <v/>
      </c>
      <c r="E46" s="142">
        <f>SUM('Bookings Detail'!$K$5:$K$274)/COUNT('Bookings Detail'!$K$5:$K$274)</f>
        <v/>
      </c>
      <c r="F46" s="144">
        <f>IFERROR((D46-E46)/E46,0)</f>
        <v/>
      </c>
      <c r="G46" s="199">
        <f>C46-AVERAGE($C$45:$C$50)</f>
        <v/>
      </c>
      <c r="H46" s="140">
        <f>IFERROR(INDEX('Bookings Detail'!$C$5:$C$274,MATCH(B46&amp;"|1",'Bookings Detail'!$U$5:$U$274,0)),"")</f>
        <v/>
      </c>
      <c r="I46" s="142">
        <f>IFERROR(INDEX('Bookings Detail'!$K$5:$K$274,MATCH(B46&amp;"|1",'Bookings Detail'!$U$5:$U$274,0)),0)</f>
        <v/>
      </c>
      <c r="J46" s="140">
        <f>IFERROR(INDEX('Bookings Detail'!$C$5:$C$274,MATCH(B46&amp;"|2",'Bookings Detail'!$U$5:$U$274,0)),"")</f>
        <v/>
      </c>
      <c r="K46" s="142">
        <f>IFERROR(INDEX('Bookings Detail'!$K$5:$K$274,MATCH(B46&amp;"|2",'Bookings Detail'!$U$5:$U$274,0)),0)</f>
        <v/>
      </c>
      <c r="M46" s="144">
        <f>IFERROR((I46+K46)/D7,0)</f>
        <v/>
      </c>
    </row>
    <row r="47" ht="15" customHeight="1" s="107">
      <c r="B47" s="141" t="inlineStr">
        <is>
          <t>2026-03</t>
        </is>
      </c>
      <c r="C47" s="161">
        <f>COUNTIFS('Bookings Detail'!$F$5:$F$274,B47)</f>
        <v/>
      </c>
      <c r="D47" s="143">
        <f>IFERROR(D8/C47,0)</f>
        <v/>
      </c>
      <c r="E47" s="142">
        <f>SUM('Bookings Detail'!$K$5:$K$274)/COUNT('Bookings Detail'!$K$5:$K$274)</f>
        <v/>
      </c>
      <c r="F47" s="144">
        <f>IFERROR((D47-E47)/E47,0)</f>
        <v/>
      </c>
      <c r="G47" s="199">
        <f>C47-AVERAGE($C$45:$C$50)</f>
        <v/>
      </c>
      <c r="H47" s="140">
        <f>IFERROR(INDEX('Bookings Detail'!$C$5:$C$274,MATCH(B47&amp;"|1",'Bookings Detail'!$U$5:$U$274,0)),"")</f>
        <v/>
      </c>
      <c r="I47" s="142">
        <f>IFERROR(INDEX('Bookings Detail'!$K$5:$K$274,MATCH(B47&amp;"|1",'Bookings Detail'!$U$5:$U$274,0)),0)</f>
        <v/>
      </c>
      <c r="J47" s="140">
        <f>IFERROR(INDEX('Bookings Detail'!$C$5:$C$274,MATCH(B47&amp;"|2",'Bookings Detail'!$U$5:$U$274,0)),"")</f>
        <v/>
      </c>
      <c r="K47" s="142">
        <f>IFERROR(INDEX('Bookings Detail'!$K$5:$K$274,MATCH(B47&amp;"|2",'Bookings Detail'!$U$5:$U$274,0)),0)</f>
        <v/>
      </c>
      <c r="M47" s="144">
        <f>IFERROR((I47+K47)/D8,0)</f>
        <v/>
      </c>
    </row>
    <row r="48" ht="15" customHeight="1" s="107">
      <c r="B48" s="141" t="inlineStr">
        <is>
          <t>2026-04</t>
        </is>
      </c>
      <c r="C48" s="161">
        <f>COUNTIFS('Bookings Detail'!$F$5:$F$274,B48)</f>
        <v/>
      </c>
      <c r="D48" s="143">
        <f>IFERROR(D9/C48,0)</f>
        <v/>
      </c>
      <c r="E48" s="142">
        <f>SUM('Bookings Detail'!$K$5:$K$274)/COUNT('Bookings Detail'!$K$5:$K$274)</f>
        <v/>
      </c>
      <c r="F48" s="144">
        <f>IFERROR((D48-E48)/E48,0)</f>
        <v/>
      </c>
      <c r="G48" s="199">
        <f>C48-AVERAGE($C$45:$C$50)</f>
        <v/>
      </c>
      <c r="H48" s="140">
        <f>IFERROR(INDEX('Bookings Detail'!$C$5:$C$274,MATCH(B48&amp;"|1",'Bookings Detail'!$U$5:$U$274,0)),"")</f>
        <v/>
      </c>
      <c r="I48" s="142">
        <f>IFERROR(INDEX('Bookings Detail'!$K$5:$K$274,MATCH(B48&amp;"|1",'Bookings Detail'!$U$5:$U$274,0)),0)</f>
        <v/>
      </c>
      <c r="J48" s="140">
        <f>IFERROR(INDEX('Bookings Detail'!$C$5:$C$274,MATCH(B48&amp;"|2",'Bookings Detail'!$U$5:$U$274,0)),"")</f>
        <v/>
      </c>
      <c r="K48" s="142">
        <f>IFERROR(INDEX('Bookings Detail'!$K$5:$K$274,MATCH(B48&amp;"|2",'Bookings Detail'!$U$5:$U$274,0)),0)</f>
        <v/>
      </c>
      <c r="M48" s="144">
        <f>IFERROR((I48+K48)/D9,0)</f>
        <v/>
      </c>
    </row>
    <row r="49" ht="15" customHeight="1" s="107">
      <c r="B49" s="141" t="inlineStr">
        <is>
          <t>2026-05</t>
        </is>
      </c>
      <c r="C49" s="161">
        <f>COUNTIFS('Bookings Detail'!$F$5:$F$274,B49)</f>
        <v/>
      </c>
      <c r="D49" s="143">
        <f>IFERROR(D10/C49,0)</f>
        <v/>
      </c>
      <c r="E49" s="142">
        <f>SUM('Bookings Detail'!$K$5:$K$274)/COUNT('Bookings Detail'!$K$5:$K$274)</f>
        <v/>
      </c>
      <c r="F49" s="144">
        <f>IFERROR((D49-E49)/E49,0)</f>
        <v/>
      </c>
      <c r="G49" s="199">
        <f>C49-AVERAGE($C$45:$C$50)</f>
        <v/>
      </c>
      <c r="H49" s="140">
        <f>IFERROR(INDEX('Bookings Detail'!$C$5:$C$274,MATCH(B49&amp;"|1",'Bookings Detail'!$U$5:$U$274,0)),"")</f>
        <v/>
      </c>
      <c r="I49" s="142">
        <f>IFERROR(INDEX('Bookings Detail'!$K$5:$K$274,MATCH(B49&amp;"|1",'Bookings Detail'!$U$5:$U$274,0)),0)</f>
        <v/>
      </c>
      <c r="J49" s="140">
        <f>IFERROR(INDEX('Bookings Detail'!$C$5:$C$274,MATCH(B49&amp;"|2",'Bookings Detail'!$U$5:$U$274,0)),"")</f>
        <v/>
      </c>
      <c r="K49" s="142">
        <f>IFERROR(INDEX('Bookings Detail'!$K$5:$K$274,MATCH(B49&amp;"|2",'Bookings Detail'!$U$5:$U$274,0)),0)</f>
        <v/>
      </c>
      <c r="M49" s="144">
        <f>IFERROR((I49+K49)/D10,0)</f>
        <v/>
      </c>
    </row>
    <row r="50" ht="15" customHeight="1" s="107">
      <c r="B50" s="141" t="inlineStr">
        <is>
          <t>2026-06</t>
        </is>
      </c>
      <c r="C50" s="161">
        <f>COUNTIFS('Bookings Detail'!$F$5:$F$274,B50)</f>
        <v/>
      </c>
      <c r="D50" s="143">
        <f>IFERROR(D11/C50,0)</f>
        <v/>
      </c>
      <c r="E50" s="142">
        <f>SUM('Bookings Detail'!$K$5:$K$274)/COUNT('Bookings Detail'!$K$5:$K$274)</f>
        <v/>
      </c>
      <c r="F50" s="144">
        <f>IFERROR((D50-E50)/E50,0)</f>
        <v/>
      </c>
      <c r="G50" s="199">
        <f>C50-AVERAGE($C$45:$C$50)</f>
        <v/>
      </c>
      <c r="H50" s="140">
        <f>IFERROR(INDEX('Bookings Detail'!$C$5:$C$274,MATCH(B50&amp;"|1",'Bookings Detail'!$U$5:$U$274,0)),"")</f>
        <v/>
      </c>
      <c r="I50" s="142">
        <f>IFERROR(INDEX('Bookings Detail'!$K$5:$K$274,MATCH(B50&amp;"|1",'Bookings Detail'!$U$5:$U$274,0)),0)</f>
        <v/>
      </c>
      <c r="J50" s="140">
        <f>IFERROR(INDEX('Bookings Detail'!$C$5:$C$274,MATCH(B50&amp;"|2",'Bookings Detail'!$U$5:$U$274,0)),"")</f>
        <v/>
      </c>
      <c r="K50" s="142">
        <f>IFERROR(INDEX('Bookings Detail'!$K$5:$K$274,MATCH(B50&amp;"|2",'Bookings Detail'!$U$5:$U$274,0)),0)</f>
        <v/>
      </c>
      <c r="M50" s="144">
        <f>IFERROR((I50+K50)/D11,0)</f>
        <v/>
      </c>
    </row>
    <row r="52" ht="15" customHeight="1" s="107">
      <c r="B52" s="114" t="inlineStr">
        <is>
          <t>Month-by-Month Narrative (auto-generated from the metrics above)</t>
        </is>
      </c>
    </row>
    <row r="54" ht="45.75" customHeight="1" s="107">
      <c r="B54" s="200">
        <f>B6&amp;" ("&amp;TEXT(F6,"+0.0%;-0.0%")&amp;")"</f>
        <v/>
      </c>
      <c r="D54" s="201">
        <f>IF(ABS(F6)&lt;0.1,"",IF(M45&gt;=0.3,"Driven largely by two deals — "&amp;H45&amp;" ("&amp;TEXT(I45,"$#,##0")&amp;") and "&amp;J45&amp;" ("&amp;TEXT(K45,"$#,##0")&amp;") — together ~"&amp;TEXT(M45,"0.0%")&amp;" of the month. "&amp;IF(F6&gt;=0,"Concentration risk, not broad-based strength.",""),IF(F45&lt;=-0.2,"Driven by deal size, not count ("&amp;C45&amp;" deals, near the H1 average of "&amp;TEXT(AVERAGE($C$45:$C$50),"0")&amp;") — average deal size was "&amp;TEXT(D45,"$#,##0")&amp;", "&amp;TEXT(ABS(F45),"0.0%")&amp;" below the H1 average of "&amp;TEXT(E45,"$#,##0")&amp;". Largest deal all month: "&amp;TEXT(I45,"$#,##0")&amp;". No large deals closed, not fewer deals overall.","Driven by deal volume — "&amp;C45&amp;" deals vs. an H1 average of "&amp;TEXT(AVERAGE($C$45:$C$50),"0")&amp;" ("&amp;TEXT(G45,"+0;-0")&amp;"), with average deal size close to normal. A pipeline/velocity pattern worth flagging to Sales leadership, not a one-off miss.")))</f>
        <v/>
      </c>
    </row>
    <row r="55" ht="45.75" customHeight="1" s="107">
      <c r="B55" s="200">
        <f>B7&amp;" ("&amp;TEXT(F7,"+0.0%;-0.0%")&amp;")"</f>
        <v/>
      </c>
      <c r="D55" s="201">
        <f>IF(ABS(F7)&lt;0.1,"",IF(M46&gt;=0.3,"Driven largely by two deals — "&amp;H46&amp;" ("&amp;TEXT(I46,"$#,##0")&amp;") and "&amp;J46&amp;" ("&amp;TEXT(K46,"$#,##0")&amp;") — together ~"&amp;TEXT(M46,"0.0%")&amp;" of the month. "&amp;IF(F7&gt;=0,"Concentration risk, not broad-based strength.",""),IF(F46&lt;=-0.2,"Driven by deal size, not count ("&amp;C46&amp;" deals, near the H1 average of "&amp;TEXT(AVERAGE($C$45:$C$50),"0")&amp;") — average deal size was "&amp;TEXT(D46,"$#,##0")&amp;", "&amp;TEXT(ABS(F46),"0.0%")&amp;" below the H1 average of "&amp;TEXT(E46,"$#,##0")&amp;". Largest deal all month: "&amp;TEXT(I46,"$#,##0")&amp;". No large deals closed, not fewer deals overall.","Driven by deal volume — "&amp;C46&amp;" deals vs. an H1 average of "&amp;TEXT(AVERAGE($C$45:$C$50),"0")&amp;" ("&amp;TEXT(G46,"+0;-0")&amp;"), with average deal size close to normal. A pipeline/velocity pattern worth flagging to Sales leadership, not a one-off miss.")))</f>
        <v/>
      </c>
    </row>
    <row r="56" ht="45.75" customHeight="1" s="107">
      <c r="B56" s="200">
        <f>B8&amp;" ("&amp;TEXT(F8,"+0.0%;-0.0%")&amp;")"</f>
        <v/>
      </c>
      <c r="D56" s="201">
        <f>IF(ABS(F8)&lt;0.1,"",IF(M47&gt;=0.3,"Driven largely by two deals — "&amp;H47&amp;" ("&amp;TEXT(I47,"$#,##0")&amp;") and "&amp;J47&amp;" ("&amp;TEXT(K47,"$#,##0")&amp;") — together ~"&amp;TEXT(M47,"0.0%")&amp;" of the month. "&amp;IF(F8&gt;=0,"Concentration risk, not broad-based strength.",""),IF(F47&lt;=-0.2,"Driven by deal size, not count ("&amp;C47&amp;" deals, near the H1 average of "&amp;TEXT(AVERAGE($C$45:$C$50),"0")&amp;") — average deal size was "&amp;TEXT(D47,"$#,##0")&amp;", "&amp;TEXT(ABS(F47),"0.0%")&amp;" below the H1 average of "&amp;TEXT(E47,"$#,##0")&amp;". Largest deal all month: "&amp;TEXT(I47,"$#,##0")&amp;". No large deals closed, not fewer deals overall.","Driven by deal volume — "&amp;C47&amp;" deals vs. an H1 average of "&amp;TEXT(AVERAGE($C$45:$C$50),"0")&amp;" ("&amp;TEXT(G47,"+0;-0")&amp;"), with average deal size close to normal. A pipeline/velocity pattern worth flagging to Sales leadership, not a one-off miss.")))</f>
        <v/>
      </c>
    </row>
    <row r="57" ht="45.75" customHeight="1" s="107">
      <c r="B57" s="200">
        <f>B9&amp;" ("&amp;TEXT(F9,"+0.0%;-0.0%")&amp;")"</f>
        <v/>
      </c>
      <c r="D57" s="201">
        <f>IF(ABS(F9)&lt;0.1,"",IF(M48&gt;=0.3,"Driven largely by two deals — "&amp;H48&amp;" ("&amp;TEXT(I48,"$#,##0")&amp;") and "&amp;J48&amp;" ("&amp;TEXT(K48,"$#,##0")&amp;") — together ~"&amp;TEXT(M48,"0.0%")&amp;" of the month. "&amp;IF(F9&gt;=0,"Concentration risk, not broad-based strength.",""),IF(F48&lt;=-0.2,"Driven by deal size, not count ("&amp;C48&amp;" deals, near the H1 average of "&amp;TEXT(AVERAGE($C$45:$C$50),"0")&amp;") — average deal size was "&amp;TEXT(D48,"$#,##0")&amp;", "&amp;TEXT(ABS(F48),"0.0%")&amp;" below the H1 average of "&amp;TEXT(E48,"$#,##0")&amp;". Largest deal all month: "&amp;TEXT(I48,"$#,##0")&amp;". No large deals closed, not fewer deals overall.","Driven by deal volume — "&amp;C48&amp;" deals vs. an H1 average of "&amp;TEXT(AVERAGE($C$45:$C$50),"0")&amp;" ("&amp;TEXT(G48,"+0;-0")&amp;"), with average deal size close to normal. A pipeline/velocity pattern worth flagging to Sales leadership, not a one-off miss.")))</f>
        <v/>
      </c>
    </row>
    <row r="58" ht="45.75" customHeight="1" s="107">
      <c r="B58" s="200">
        <f>B10&amp;" ("&amp;TEXT(F10,"+0.0%;-0.0%")&amp;")"</f>
        <v/>
      </c>
      <c r="D58" s="201">
        <f>IF(ABS(F10)&lt;0.1,"",IF(M49&gt;=0.3,"Driven largely by two deals — "&amp;H49&amp;" ("&amp;TEXT(I49,"$#,##0")&amp;") and "&amp;J49&amp;" ("&amp;TEXT(K49,"$#,##0")&amp;") — together ~"&amp;TEXT(M49,"0.0%")&amp;" of the month. "&amp;IF(F10&gt;=0,"Concentration risk, not broad-based strength.",""),IF(F49&lt;=-0.2,"Driven by deal size, not count ("&amp;C49&amp;" deals, near the H1 average of "&amp;TEXT(AVERAGE($C$45:$C$50),"0")&amp;") — average deal size was "&amp;TEXT(D49,"$#,##0")&amp;", "&amp;TEXT(ABS(F49),"0.0%")&amp;" below the H1 average of "&amp;TEXT(E49,"$#,##0")&amp;". Largest deal all month: "&amp;TEXT(I49,"$#,##0")&amp;". No large deals closed, not fewer deals overall.","Driven by deal volume — "&amp;C49&amp;" deals vs. an H1 average of "&amp;TEXT(AVERAGE($C$45:$C$50),"0")&amp;" ("&amp;TEXT(G49,"+0;-0")&amp;"), with average deal size close to normal. A pipeline/velocity pattern worth flagging to Sales leadership, not a one-off miss.")))</f>
        <v/>
      </c>
    </row>
    <row r="59" ht="45.75" customHeight="1" s="107">
      <c r="B59" s="200">
        <f>B11&amp;" ("&amp;TEXT(F11,"+0.0%;-0.0%")&amp;")"</f>
        <v/>
      </c>
      <c r="D59" s="201">
        <f>IF(ABS(F11)&lt;0.1,"",IF(M50&gt;=0.3,"Driven largely by two deals — "&amp;H50&amp;" ("&amp;TEXT(I50,"$#,##0")&amp;") and "&amp;J50&amp;" ("&amp;TEXT(K50,"$#,##0")&amp;") — together ~"&amp;TEXT(M50,"0.0%")&amp;" of the month. "&amp;IF(F11&gt;=0,"Concentration risk, not broad-based strength.",""),IF(F50&lt;=-0.2,"Driven by deal size, not count ("&amp;C50&amp;" deals, near the H1 average of "&amp;TEXT(AVERAGE($C$45:$C$50),"0")&amp;") — average deal size was "&amp;TEXT(D50,"$#,##0")&amp;", "&amp;TEXT(ABS(F50),"0.0%")&amp;" below the H1 average of "&amp;TEXT(E50,"$#,##0")&amp;". Largest deal all month: "&amp;TEXT(I50,"$#,##0")&amp;". No large deals closed, not fewer deals overall.","Driven by deal volume — "&amp;C50&amp;" deals vs. an H1 average of "&amp;TEXT(AVERAGE($C$45:$C$50),"0")&amp;" ("&amp;TEXT(G50,"+0;-0")&amp;"), with average deal size close to normal. A pipeline/velocity pattern worth flagging to Sales leadership, not a one-off miss.")))</f>
        <v/>
      </c>
    </row>
  </sheetData>
  <mergeCells count="9">
    <mergeCell ref="B38:J38"/>
    <mergeCell ref="B3:J3"/>
    <mergeCell ref="D57:K57"/>
    <mergeCell ref="D55:K55"/>
    <mergeCell ref="D56:K56"/>
    <mergeCell ref="D54:K54"/>
    <mergeCell ref="B42:K42"/>
    <mergeCell ref="D59:K59"/>
    <mergeCell ref="D58:K58"/>
  </mergeCells>
  <conditionalFormatting sqref="E6:E14">
    <cfRule type="cellIs" rank="0" priority="2" equalAverage="0" operator="lessThan" aboveAverage="0" dxfId="8" text="" percent="0" bottom="0">
      <formula>0</formula>
    </cfRule>
    <cfRule type="cellIs" rank="0" priority="3" equalAverage="0" operator="greaterThanOrEqual" aboveAverage="0" dxfId="9" text="" percent="0" bottom="0">
      <formula>0</formula>
    </cfRule>
  </conditionalFormatting>
  <conditionalFormatting sqref="B54:K54">
    <cfRule type="expression" rank="0" priority="4" equalAverage="0" aboveAverage="0" dxfId="10" text="" percent="0" bottom="0">
      <formula>$D54&lt;&gt;""</formula>
    </cfRule>
  </conditionalFormatting>
  <conditionalFormatting sqref="B55:K55">
    <cfRule type="expression" rank="0" priority="5" equalAverage="0" aboveAverage="0" dxfId="10" text="" percent="0" bottom="0">
      <formula>$D55&lt;&gt;""</formula>
    </cfRule>
  </conditionalFormatting>
  <conditionalFormatting sqref="B56:K56">
    <cfRule type="expression" rank="0" priority="6" equalAverage="0" aboveAverage="0" dxfId="10" text="" percent="0" bottom="0">
      <formula>$D56&lt;&gt;""</formula>
    </cfRule>
  </conditionalFormatting>
  <conditionalFormatting sqref="B57:K57">
    <cfRule type="expression" rank="0" priority="7" equalAverage="0" aboveAverage="0" dxfId="10" text="" percent="0" bottom="0">
      <formula>$D57&lt;&gt;""</formula>
    </cfRule>
  </conditionalFormatting>
  <conditionalFormatting sqref="B58:K58">
    <cfRule type="expression" rank="0" priority="8" equalAverage="0" aboveAverage="0" dxfId="10" text="" percent="0" bottom="0">
      <formula>$D58&lt;&gt;""</formula>
    </cfRule>
  </conditionalFormatting>
  <conditionalFormatting sqref="B59:K59">
    <cfRule type="expression" rank="0" priority="9" equalAverage="0" aboveAverage="0" dxfId="10" text="" percent="0" bottom="0">
      <formula>$D59&lt;&gt;""</formula>
    </cfRule>
  </conditionalFormatting>
  <printOptions horizontalCentered="0" verticalCentered="0" headings="0" gridLines="0" gridLinesSet="1"/>
  <pageMargins left="0.3" right="0.3" top="0.4" bottom="0.4"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2026-09-05T19:14:36Z</dcterms:created>
  <dcterms:modified xmlns:dcterms="http://purl.org/dc/terms/" xmlns:xsi="http://www.w3.org/2001/XMLSchema-instance" xsi:type="dcterms:W3CDTF">2026-09-30T03:22:13Z</dcterms:modified>
  <cp:revision>4</cp:revision>
</cp:coreProperties>
</file>